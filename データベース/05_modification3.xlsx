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データベース\"/>
    </mc:Choice>
  </mc:AlternateContent>
  <xr:revisionPtr revIDLastSave="0" documentId="13_ncr:1_{07539F78-5604-45CD-89B2-C468F1804A32}" xr6:coauthVersionLast="47" xr6:coauthVersionMax="47" xr10:uidLastSave="{00000000-0000-0000-0000-000000000000}"/>
  <bookViews>
    <workbookView xWindow="-28920" yWindow="-120" windowWidth="29040" windowHeight="15720" xr2:uid="{DBD89CAF-107D-4B99-997B-DCB179DFA5EC}"/>
  </bookViews>
  <sheets>
    <sheet name="modification3" sheetId="1" r:id="rId1"/>
  </sheets>
  <externalReferences>
    <externalReference r:id="rId2"/>
  </externalReferences>
  <definedNames>
    <definedName name="baseline_sequence">'[1]ref-&gt;'!$A$4</definedName>
    <definedName name="columns">#REF!</definedName>
    <definedName name="name_mod3">'[1]ref-&gt;'!$C$4</definedName>
    <definedName name="name_mod5">'[1]ref-&gt;'!$B$4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A13" i="1"/>
  <c r="N13" i="1" s="1"/>
  <c r="C13" i="1"/>
  <c r="C12" i="1"/>
  <c r="A12" i="1"/>
  <c r="D12" i="1" s="1"/>
  <c r="C11" i="1"/>
  <c r="A11" i="1"/>
  <c r="N11" i="1" s="1"/>
  <c r="A10" i="1"/>
  <c r="D10" i="1" s="1"/>
  <c r="C10" i="1"/>
  <c r="C9" i="1"/>
  <c r="A9" i="1"/>
  <c r="D9" i="1" s="1"/>
  <c r="D11" i="1" l="1"/>
  <c r="N12" i="1"/>
  <c r="N9" i="1"/>
  <c r="N10" i="1"/>
  <c r="C8" i="1"/>
  <c r="A8" i="1"/>
  <c r="N8" i="1" s="1"/>
  <c r="A7" i="1"/>
  <c r="D7" i="1" s="1"/>
  <c r="C7" i="1"/>
  <c r="A2" i="1"/>
  <c r="D2" i="1" s="1"/>
  <c r="C2" i="1"/>
  <c r="A3" i="1"/>
  <c r="D3" i="1" s="1"/>
  <c r="C3" i="1"/>
  <c r="A4" i="1"/>
  <c r="D4" i="1" s="1"/>
  <c r="C4" i="1"/>
  <c r="A5" i="1"/>
  <c r="D5" i="1" s="1"/>
  <c r="C5" i="1"/>
  <c r="A6" i="1"/>
  <c r="D6" i="1" s="1"/>
  <c r="C6" i="1"/>
  <c r="N5" i="1" l="1"/>
  <c r="D8" i="1"/>
  <c r="N7" i="1"/>
  <c r="N3" i="1"/>
  <c r="N6" i="1"/>
  <c r="N4" i="1"/>
  <c r="N2" i="1"/>
</calcChain>
</file>

<file path=xl/sharedStrings.xml><?xml version="1.0" encoding="utf-8"?>
<sst xmlns="http://schemas.openxmlformats.org/spreadsheetml/2006/main" count="68" uniqueCount="54">
  <si>
    <t>[X]</t>
  </si>
  <si>
    <t>X</t>
    <phoneticPr fontId="2"/>
  </si>
  <si>
    <t>Rena(Aba)-[33K]-9N</t>
    <phoneticPr fontId="2"/>
  </si>
  <si>
    <t>岡本</t>
    <rPh sb="0" eb="2">
      <t>オカモト</t>
    </rPh>
    <phoneticPr fontId="2"/>
  </si>
  <si>
    <t>Rena(Aba)-[33K]</t>
    <phoneticPr fontId="2"/>
  </si>
  <si>
    <t>[X:DBCO][H2N(CH2)6O];DBCO(CAS 1353016-71-3),H2N(CH2)6O(3'-PT-Amino-Modifier C6)</t>
    <phoneticPr fontId="2"/>
  </si>
  <si>
    <t>[X:DBCO]N(6);DBCO(CAS 1353016-71-3)</t>
    <phoneticPr fontId="2"/>
  </si>
  <si>
    <t>DBCO</t>
  </si>
  <si>
    <t>[H2N(CH2)6O];H2N(CH2)6O(3'-PT-Amino-Modifier C6)</t>
    <phoneticPr fontId="2"/>
  </si>
  <si>
    <t>N(6)</t>
    <phoneticPr fontId="2"/>
  </si>
  <si>
    <t>C6Amine</t>
  </si>
  <si>
    <t>H</t>
    <phoneticPr fontId="2"/>
  </si>
  <si>
    <t>Si</t>
  </si>
  <si>
    <t>S</t>
  </si>
  <si>
    <t>P</t>
  </si>
  <si>
    <t>O</t>
  </si>
  <si>
    <t>Na</t>
  </si>
  <si>
    <t>N</t>
  </si>
  <si>
    <t>K</t>
  </si>
  <si>
    <t>F</t>
  </si>
  <si>
    <t>Cl</t>
  </si>
  <si>
    <t>B</t>
  </si>
  <si>
    <t>H</t>
  </si>
  <si>
    <t>C</t>
  </si>
  <si>
    <t>note_for_ns</t>
    <phoneticPr fontId="2"/>
  </si>
  <si>
    <t>note_for_gd</t>
    <phoneticPr fontId="2"/>
  </si>
  <si>
    <t>name2</t>
  </si>
  <si>
    <t>ref</t>
    <phoneticPr fontId="2"/>
  </si>
  <si>
    <t>extinction</t>
    <phoneticPr fontId="2"/>
  </si>
  <si>
    <t>note_ligand</t>
    <phoneticPr fontId="2"/>
  </si>
  <si>
    <t>ligand</t>
    <phoneticPr fontId="2"/>
  </si>
  <si>
    <t>memo</t>
    <phoneticPr fontId="2"/>
  </si>
  <si>
    <t>確認者</t>
    <rPh sb="0" eb="3">
      <t>カクニンシャ</t>
    </rPh>
    <phoneticPr fontId="2"/>
  </si>
  <si>
    <t>確認日</t>
    <rPh sb="0" eb="2">
      <t>カクニン</t>
    </rPh>
    <rPh sb="2" eb="3">
      <t>ビ</t>
    </rPh>
    <phoneticPr fontId="2"/>
  </si>
  <si>
    <t>登録者</t>
    <rPh sb="0" eb="3">
      <t>トウロクシャ</t>
    </rPh>
    <phoneticPr fontId="2"/>
  </si>
  <si>
    <t>登録日</t>
    <rPh sb="0" eb="3">
      <t>トウロクビ</t>
    </rPh>
    <phoneticPr fontId="2"/>
  </si>
  <si>
    <t>link</t>
    <phoneticPr fontId="2"/>
  </si>
  <si>
    <t>name</t>
    <phoneticPr fontId="2"/>
  </si>
  <si>
    <t>num</t>
    <phoneticPr fontId="2"/>
  </si>
  <si>
    <t>id_modification</t>
    <phoneticPr fontId="2"/>
  </si>
  <si>
    <t>FTY-P-P</t>
  </si>
  <si>
    <t>AF488</t>
  </si>
  <si>
    <t>[Y*:Alexa488];貴社標準品</t>
    <rPh sb="14" eb="16">
      <t>キシャ</t>
    </rPh>
    <rPh sb="16" eb="19">
      <t>ヒョウジュンヒン</t>
    </rPh>
    <phoneticPr fontId="3"/>
  </si>
  <si>
    <t>[X:Alexa488];Alexa488（貴社標準品）</t>
    <rPh sb="22" eb="24">
      <t>キシャ</t>
    </rPh>
    <rPh sb="24" eb="27">
      <t>ヒョウジュンヒン</t>
    </rPh>
    <phoneticPr fontId="3"/>
  </si>
  <si>
    <t>AF647PS</t>
    <phoneticPr fontId="2"/>
  </si>
  <si>
    <t>[Y*:AF647]N(6)^;AF647NHS(Lumiprobe)</t>
    <phoneticPr fontId="2"/>
  </si>
  <si>
    <t>[X:AF647][H2N(CH2)6O]^;AF647NHS(Lumiprobe)</t>
    <phoneticPr fontId="2"/>
  </si>
  <si>
    <t>AF488PS</t>
    <phoneticPr fontId="2"/>
  </si>
  <si>
    <t>TetraEG PS</t>
    <phoneticPr fontId="2"/>
  </si>
  <si>
    <t>Chol;Chol分岐あり(CLP-2794)</t>
    <rPh sb="9" eb="11">
      <t>ブンキ</t>
    </rPh>
    <phoneticPr fontId="2"/>
  </si>
  <si>
    <t>[Cho];Cho分岐あり(CLP-2794)</t>
    <rPh sb="9" eb="11">
      <t>ブンキ</t>
    </rPh>
    <phoneticPr fontId="2"/>
  </si>
  <si>
    <t>Chol分岐あり</t>
    <rPh sb="4" eb="6">
      <t>ブンキ</t>
    </rPh>
    <phoneticPr fontId="2"/>
  </si>
  <si>
    <t>(AL-013)-DBCO-C6</t>
    <phoneticPr fontId="2"/>
  </si>
  <si>
    <t>(AL-038)-DBCO-C6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</si>
</sst>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Meiryo UI"/>
      <family val="2"/>
      <charset val="128"/>
    </font>
    <font>
      <sz val="10.5"/>
      <color theme="1"/>
      <name val="メイリオ"/>
      <family val="3"/>
      <charset val="128"/>
    </font>
    <font>
      <sz val="6"/>
      <name val="Meiryo UI"/>
      <family val="2"/>
      <charset val="128"/>
    </font>
    <font>
      <u/>
      <sz val="10.5"/>
      <color theme="4"/>
      <name val="メイリオ"/>
      <family val="3"/>
      <charset val="128"/>
    </font>
    <font>
      <sz val="11"/>
      <color theme="1"/>
      <name val="メイリオ"/>
      <family val="3"/>
      <charset val="128"/>
    </font>
    <font>
      <u/>
      <sz val="11"/>
      <color theme="10"/>
      <name val="Meiryo UI"/>
      <family val="2"/>
      <charset val="128"/>
    </font>
    <font>
      <sz val="10.5"/>
      <name val="メイリオ"/>
      <family val="3"/>
      <charset val="128"/>
    </font>
    <font>
      <u/>
      <sz val="11"/>
      <color theme="4"/>
      <name val="Meiryo UI"/>
      <family val="2"/>
      <charset val="128"/>
    </font>
    <font>
      <sz val="11"/>
      <color theme="1"/>
      <name val="Meiryo UI"/>
      <family val="2"/>
      <charset val="128"/>
    </font>
    <font>
      <u/>
      <sz val="10.5"/>
      <color theme="1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1" applyFont="1">
      <alignment vertical="center"/>
    </xf>
    <xf numFmtId="14" fontId="1" fillId="0" borderId="0" xfId="0" applyNumberFormat="1" applyFont="1">
      <alignment vertical="center"/>
    </xf>
    <xf numFmtId="0" fontId="7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2" borderId="0" xfId="0" applyFont="1" applyFill="1">
      <alignment vertical="center"/>
    </xf>
    <xf numFmtId="14" fontId="9" fillId="0" borderId="0" xfId="1" applyNumberFormat="1" applyFont="1">
      <alignment vertical="center"/>
    </xf>
    <xf numFmtId="0" fontId="5" fillId="0" borderId="0" xfId="1" applyNumberFormat="1" applyAlignment="1">
      <alignment horizontal="center" vertical="center"/>
    </xf>
    <xf numFmtId="38" fontId="1" fillId="0" borderId="0" xfId="2" applyFont="1">
      <alignment vertical="center"/>
    </xf>
    <xf numFmtId="0" fontId="3" fillId="0" borderId="0" xfId="1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30"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/>
        <vertAlign val="baseline"/>
        <sz val="10.5"/>
        <color theme="10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.5"/>
        <color theme="4"/>
        <name val="メイリオ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rgb="FF000000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20849;&#26377;&#12489;&#12521;&#12452;&#12502;\&#30740;&#31350;&#25152;\04%20&#21508;&#12481;&#12540;&#12512;\&#21512;&#25104;&#65332;\01_&#12458;&#12522;&#12468;&#31649;&#29702;\&#12487;&#12540;&#12479;&#12505;&#12540;&#12473;\02_ss_oligonucleotide.xlsx" TargetMode="External"/><Relationship Id="rId1" Type="http://schemas.openxmlformats.org/officeDocument/2006/relationships/externalLinkPath" Target="02_ss_oligonucleot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_ss_oligonucleotide"/>
      <sheetName val="Sheet1"/>
      <sheetName val="input-&gt;"/>
      <sheetName val="sequence"/>
      <sheetName val="ref-&gt;"/>
      <sheetName val="DB04_Modification5"/>
      <sheetName val="DB06_rawbaseline"/>
      <sheetName val="DB05_Modification3"/>
      <sheetName val="DB07_baselinesequence"/>
    </sheetNames>
    <sheetDataSet>
      <sheetData sheetId="0"/>
      <sheetData sheetId="1"/>
      <sheetData sheetId="2"/>
      <sheetData sheetId="3"/>
      <sheetData sheetId="4">
        <row r="4">
          <cell r="A4" t="str">
            <v>07-00-01 GAP-ASO(1)</v>
          </cell>
          <cell r="B4" t="str">
            <v>04-00-00 H</v>
          </cell>
          <cell r="C4" t="str">
            <v>05-00-00 H</v>
          </cell>
        </row>
      </sheetData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3CC93-EE26-4416-A232-DC526AEB45BD}" name="DB05_modification3" displayName="DB05_modification3" ref="A1:AB13" totalsRowShown="0" headerRowDxfId="29" dataDxfId="28">
  <autoFilter ref="A1:AB13" xr:uid="{C57E88FE-50A8-4DE4-86AA-3D3845D636DA}"/>
  <tableColumns count="28">
    <tableColumn id="1" xr3:uid="{3930AF3C-7C33-4D67-BD03-1B9D675C821C}" name="id_modification" dataDxfId="27">
      <calculatedColumnFormula>"05-"&amp;LEFT(RIGHTB(REPT(0,4)&amp;_xlfn.BASE(DB05_modification3[[#This Row],[num]],36),4),2)&amp;"-"&amp;RIGHT(RIGHTB(REPT(0,4)&amp;_xlfn.BASE(DB05_modification3[[#This Row],[num]],36),4),2)</calculatedColumnFormula>
    </tableColumn>
    <tableColumn id="17" xr3:uid="{6CB7CCAA-EE8A-403C-86F6-D74D002FCE77}" name="num" dataDxfId="26"/>
    <tableColumn id="2" xr3:uid="{31146AD4-DA56-499D-BA91-F55F449EA073}" name="name" dataDxfId="25">
      <calculatedColumnFormula>DB05_modification3[[#This Row],[ligand]]&amp;IF(DB05_modification3[[#This Row],[note_ligand]]="",""," "&amp;DB05_modification3[[#This Row],[note_ligand]])</calculatedColumnFormula>
    </tableColumn>
    <tableColumn id="19" xr3:uid="{85118BBF-65E9-4C58-85F7-D57096B5D1B7}" name="link" dataDxfId="24">
      <calculatedColumnFormula>HYPERLINK("./img/"&amp;DB05_modification3[[#This Row],[id_modification]]&amp;".png","◆")</calculatedColumnFormula>
    </tableColumn>
    <tableColumn id="3" xr3:uid="{9AA9F122-FE62-495D-89BA-E18F0504526D}" name="登録日" dataDxfId="23" dataCellStyle="ハイパーリンク"/>
    <tableColumn id="25" xr3:uid="{9AEFD1D1-8C7A-4AEF-8E0A-43ADB4B218AE}" name="登録者" dataDxfId="22"/>
    <tableColumn id="20" xr3:uid="{4265A049-A8BF-44A2-AA71-BF05B4539830}" name="確認日" dataDxfId="21" dataCellStyle="ハイパーリンク"/>
    <tableColumn id="24" xr3:uid="{BDDF5281-9A89-4FD6-98E8-BCA9EE2A6D8B}" name="確認者" dataDxfId="20"/>
    <tableColumn id="29" xr3:uid="{9CD8A7DB-0513-4BF9-8159-898194EDAFFA}" name="memo" dataDxfId="19"/>
    <tableColumn id="31" xr3:uid="{E0BDDFBF-1326-4BC3-9795-1DEADFE278B4}" name="ligand" dataDxfId="18"/>
    <tableColumn id="30" xr3:uid="{779DE2D7-4EA5-402E-AF15-12495E458ED0}" name="note_ligand" dataDxfId="17"/>
    <tableColumn id="16" xr3:uid="{1C3CCA1C-4F0E-42F6-BE34-99B355D1BDF5}" name="extinction" dataDxfId="16"/>
    <tableColumn id="28" xr3:uid="{20886F12-2277-47C7-9E23-38973878C1D3}" name="ref" dataDxfId="15"/>
    <tableColumn id="18" xr3:uid="{4F27F122-6AA4-46F9-94CD-B657BF113F09}" name="name2" dataDxfId="14">
      <calculatedColumnFormula>"("&amp;DB05_modification3[[#This Row],[id_modification]]&amp;")"&amp;DB05_modification3[[#This Row],[ligand]]&amp;IF(DB05_modification3[[#This Row],[note_ligand]]="",,"-"&amp;DB05_modification3[[#This Row],[note_ligand]])</calculatedColumnFormula>
    </tableColumn>
    <tableColumn id="22" xr3:uid="{E402C9CC-9C3A-4723-9F8D-A5D36F2D3376}" name="note_for_gd" dataDxfId="13"/>
    <tableColumn id="21" xr3:uid="{418E171B-B89F-4C7D-8C07-10DAA612DF8E}" name="note_for_ns" dataDxfId="12"/>
    <tableColumn id="4" xr3:uid="{05B58ECE-0923-4B57-B22C-8292A0836CEC}" name="C" dataDxfId="11"/>
    <tableColumn id="5" xr3:uid="{0FF0AF5B-81F9-41FA-ACA9-D8C323B25939}" name="H" dataDxfId="10"/>
    <tableColumn id="6" xr3:uid="{B2B65D01-FC29-41F3-9A46-4D8579BCD723}" name="B" dataDxfId="9"/>
    <tableColumn id="7" xr3:uid="{54FF8214-C616-440B-AB54-3164E025CB0F}" name="Cl" dataDxfId="8"/>
    <tableColumn id="8" xr3:uid="{54576A25-65EA-43F7-B44E-243DAEE23551}" name="F" dataDxfId="7"/>
    <tableColumn id="9" xr3:uid="{AFF35DDC-D5BD-42E1-8F29-0211362714D1}" name="K" dataDxfId="6"/>
    <tableColumn id="10" xr3:uid="{98E212AA-BCDB-4572-86F5-4820CD3BE3A3}" name="N" dataDxfId="5"/>
    <tableColumn id="11" xr3:uid="{97E0A246-B7C2-42D7-9D0F-C856D6CBF09C}" name="Na" dataDxfId="4"/>
    <tableColumn id="12" xr3:uid="{76F96B85-7E6E-4929-A718-3E81B588A631}" name="O" dataDxfId="3"/>
    <tableColumn id="13" xr3:uid="{BD25B844-DCF7-43BE-A063-CF05883923C6}" name="P" dataDxfId="2"/>
    <tableColumn id="14" xr3:uid="{2797498E-A248-4225-8251-0FDBD76A359C}" name="S" dataDxfId="1"/>
    <tableColumn id="15" xr3:uid="{DA37B8EE-5ABF-4B88-B8A9-37F2BF8985A3}" name="Si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355A-9BAD-4115-AA7D-2DEB514EC6B4}">
  <dimension ref="A1:AB13"/>
  <sheetViews>
    <sheetView tabSelected="1" topLeftCell="F1" zoomScale="70" zoomScaleNormal="70" workbookViewId="0">
      <selection activeCell="S23" sqref="S23"/>
    </sheetView>
  </sheetViews>
  <sheetFormatPr defaultColWidth="8.78515625" defaultRowHeight="16.5" x14ac:dyDescent="0.35"/>
  <cols>
    <col min="1" max="1" width="8.78515625" style="1" bestFit="1" customWidth="1"/>
    <col min="2" max="2" width="7.35546875" style="1" bestFit="1" customWidth="1"/>
    <col min="3" max="3" width="18.2109375" style="1" bestFit="1" customWidth="1"/>
    <col min="4" max="4" width="6.78515625" style="1" bestFit="1" customWidth="1"/>
    <col min="5" max="5" width="11" style="1" bestFit="1" customWidth="1"/>
    <col min="6" max="8" width="8.35546875" style="1" bestFit="1" customWidth="1"/>
    <col min="9" max="9" width="8.78515625" style="1" bestFit="1" customWidth="1"/>
    <col min="10" max="10" width="18.2109375" style="1" bestFit="1" customWidth="1"/>
    <col min="11" max="11" width="13.78515625" style="1" bestFit="1" customWidth="1"/>
    <col min="12" max="12" width="12.2109375" style="1" bestFit="1" customWidth="1"/>
    <col min="13" max="13" width="6" style="1" bestFit="1" customWidth="1"/>
    <col min="14" max="14" width="27.640625" style="1" bestFit="1" customWidth="1"/>
    <col min="15" max="15" width="35.78515625" style="1" bestFit="1" customWidth="1"/>
    <col min="16" max="16" width="78.5703125" style="1" bestFit="1" customWidth="1"/>
    <col min="17" max="17" width="4.640625" style="1" bestFit="1" customWidth="1"/>
    <col min="18" max="18" width="5" style="1" bestFit="1" customWidth="1"/>
    <col min="19" max="19" width="4.78515625" style="1" bestFit="1" customWidth="1"/>
    <col min="20" max="20" width="5.2109375" style="1" bestFit="1" customWidth="1"/>
    <col min="21" max="21" width="4.5703125" style="1" bestFit="1" customWidth="1"/>
    <col min="22" max="22" width="4.78515625" style="1" bestFit="1" customWidth="1"/>
    <col min="23" max="23" width="5" style="1" bestFit="1" customWidth="1"/>
    <col min="24" max="24" width="6" style="1" bestFit="1" customWidth="1"/>
    <col min="25" max="25" width="5" style="1" bestFit="1" customWidth="1"/>
    <col min="26" max="27" width="4.640625" style="1" bestFit="1" customWidth="1"/>
    <col min="28" max="28" width="5.2109375" style="1" bestFit="1" customWidth="1"/>
    <col min="29" max="16384" width="8.78515625" style="1"/>
  </cols>
  <sheetData>
    <row r="1" spans="1:28" x14ac:dyDescent="0.35">
      <c r="A1" s="1" t="s">
        <v>39</v>
      </c>
      <c r="B1" s="1" t="s">
        <v>38</v>
      </c>
      <c r="C1" s="1" t="s">
        <v>37</v>
      </c>
      <c r="D1" s="1" t="s">
        <v>36</v>
      </c>
      <c r="E1" s="8" t="s">
        <v>35</v>
      </c>
      <c r="F1" s="8" t="s">
        <v>34</v>
      </c>
      <c r="G1" s="8" t="s">
        <v>33</v>
      </c>
      <c r="H1" s="8" t="s">
        <v>32</v>
      </c>
      <c r="I1" s="8" t="s">
        <v>31</v>
      </c>
      <c r="J1" s="8" t="s">
        <v>30</v>
      </c>
      <c r="K1" s="8" t="s">
        <v>29</v>
      </c>
      <c r="L1" s="8" t="s">
        <v>28</v>
      </c>
      <c r="M1" s="8" t="s">
        <v>27</v>
      </c>
      <c r="N1" s="8" t="s">
        <v>26</v>
      </c>
      <c r="O1" s="8" t="s">
        <v>25</v>
      </c>
      <c r="P1" s="8" t="s">
        <v>24</v>
      </c>
      <c r="Q1" s="8" t="s">
        <v>23</v>
      </c>
      <c r="R1" s="8" t="s">
        <v>22</v>
      </c>
      <c r="S1" s="8" t="s">
        <v>21</v>
      </c>
      <c r="T1" s="8" t="s">
        <v>20</v>
      </c>
      <c r="U1" s="8" t="s">
        <v>19</v>
      </c>
      <c r="V1" s="8" t="s">
        <v>18</v>
      </c>
      <c r="W1" s="8" t="s">
        <v>17</v>
      </c>
      <c r="X1" s="8" t="s">
        <v>16</v>
      </c>
      <c r="Y1" s="8" t="s">
        <v>15</v>
      </c>
      <c r="Z1" s="8" t="s">
        <v>14</v>
      </c>
      <c r="AA1" s="8" t="s">
        <v>13</v>
      </c>
      <c r="AB1" s="8" t="s">
        <v>12</v>
      </c>
    </row>
    <row r="2" spans="1:28" x14ac:dyDescent="0.35">
      <c r="A2" s="1" t="str">
        <f>"05-"&amp;LEFT(RIGHTB(REPT(0,4)&amp;_xlfn.BASE(DB05_modification3[[#This Row],[num]],36),4),2)&amp;"-"&amp;RIGHT(RIGHTB(REPT(0,4)&amp;_xlfn.BASE(DB05_modification3[[#This Row],[num]],36),4),2)</f>
        <v>05-00-00</v>
      </c>
      <c r="B2" s="1">
        <v>0</v>
      </c>
      <c r="C2" s="1" t="str">
        <f>DB05_modification3[[#This Row],[ligand]]&amp;IF(DB05_modification3[[#This Row],[note_ligand]]="",""," "&amp;DB05_modification3[[#This Row],[note_ligand]])</f>
        <v>H</v>
      </c>
      <c r="D2" s="6" t="str">
        <f>HYPERLINK("./img/"&amp;DB05_modification3[[#This Row],[id_modification]]&amp;".png","◆")</f>
        <v>◆</v>
      </c>
      <c r="E2" s="5">
        <v>44926</v>
      </c>
      <c r="F2" s="1" t="s">
        <v>3</v>
      </c>
      <c r="J2" s="1" t="s">
        <v>11</v>
      </c>
      <c r="N2" s="1" t="str">
        <f>"("&amp;DB05_modification3[[#This Row],[id_modification]]&amp;")"&amp;DB05_modification3[[#This Row],[ligand]]&amp;IF(DB05_modification3[[#This Row],[note_ligand]]="",,"-"&amp;DB05_modification3[[#This Row],[note_ligand]])</f>
        <v>(05-00-00)H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28" x14ac:dyDescent="0.35">
      <c r="A3" s="1" t="str">
        <f>"05-"&amp;LEFT(RIGHTB(REPT(0,4)&amp;_xlfn.BASE(DB05_modification3[[#This Row],[num]],36),4),2)&amp;"-"&amp;RIGHT(RIGHTB(REPT(0,4)&amp;_xlfn.BASE(DB05_modification3[[#This Row],[num]],36),4),2)</f>
        <v>05-00-01</v>
      </c>
      <c r="B3" s="1">
        <v>1</v>
      </c>
      <c r="C3" s="1" t="str">
        <f>DB05_modification3[[#This Row],[ligand]]&amp;IF(DB05_modification3[[#This Row],[note_ligand]]="",""," "&amp;DB05_modification3[[#This Row],[note_ligand]])</f>
        <v>C6Amine</v>
      </c>
      <c r="D3" s="7" t="str">
        <f>HYPERLINK("./img/"&amp;DB05_modification3[[#This Row],[id_modification]]&amp;".png","◆")</f>
        <v>◆</v>
      </c>
      <c r="E3" s="5">
        <v>44926</v>
      </c>
      <c r="F3" s="1" t="s">
        <v>3</v>
      </c>
      <c r="G3" s="4"/>
      <c r="J3" s="1" t="s">
        <v>10</v>
      </c>
      <c r="N3" s="3" t="str">
        <f>"("&amp;DB05_modification3[[#This Row],[id_modification]]&amp;")"&amp;DB05_modification3[[#This Row],[ligand]]&amp;IF(DB05_modification3[[#This Row],[note_ligand]]="",,"-"&amp;DB05_modification3[[#This Row],[note_ligand]])</f>
        <v>(05-00-01)C6Amine</v>
      </c>
      <c r="O3" s="3" t="s">
        <v>9</v>
      </c>
      <c r="P3" s="3" t="s">
        <v>8</v>
      </c>
      <c r="Q3" s="1">
        <v>6</v>
      </c>
      <c r="R3" s="1">
        <v>15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3</v>
      </c>
      <c r="Z3" s="1">
        <v>1</v>
      </c>
      <c r="AA3" s="1">
        <v>0</v>
      </c>
      <c r="AB3" s="1">
        <v>0</v>
      </c>
    </row>
    <row r="4" spans="1:28" x14ac:dyDescent="0.35">
      <c r="A4" s="1" t="str">
        <f>"05-"&amp;LEFT(RIGHTB(REPT(0,4)&amp;_xlfn.BASE(DB05_modification3[[#This Row],[num]],36),4),2)&amp;"-"&amp;RIGHT(RIGHTB(REPT(0,4)&amp;_xlfn.BASE(DB05_modification3[[#This Row],[num]],36),4),2)</f>
        <v>05-00-02</v>
      </c>
      <c r="B4" s="1">
        <v>2</v>
      </c>
      <c r="C4" s="1" t="str">
        <f>DB05_modification3[[#This Row],[ligand]]&amp;IF(DB05_modification3[[#This Row],[note_ligand]]="",""," "&amp;DB05_modification3[[#This Row],[note_ligand]])</f>
        <v>DBCO</v>
      </c>
      <c r="D4" s="7" t="str">
        <f>HYPERLINK("./img/"&amp;DB05_modification3[[#This Row],[id_modification]]&amp;".png","◆")</f>
        <v>◆</v>
      </c>
      <c r="E4" s="5">
        <v>44926</v>
      </c>
      <c r="F4" s="1" t="s">
        <v>3</v>
      </c>
      <c r="G4" s="4"/>
      <c r="J4" s="1" t="s">
        <v>7</v>
      </c>
      <c r="N4" s="3" t="str">
        <f>"("&amp;DB05_modification3[[#This Row],[id_modification]]&amp;")"&amp;DB05_modification3[[#This Row],[ligand]]&amp;IF(DB05_modification3[[#This Row],[note_ligand]]="",,"-"&amp;DB05_modification3[[#This Row],[note_ligand]])</f>
        <v>(05-00-02)DBCO</v>
      </c>
      <c r="O4" s="1" t="s">
        <v>6</v>
      </c>
      <c r="P4" s="1" t="s">
        <v>5</v>
      </c>
      <c r="Q4" s="1">
        <v>25</v>
      </c>
      <c r="R4" s="1">
        <v>28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0</v>
      </c>
      <c r="Y4" s="1">
        <v>5</v>
      </c>
      <c r="Z4" s="1">
        <v>1</v>
      </c>
      <c r="AA4" s="1">
        <v>0</v>
      </c>
      <c r="AB4" s="1">
        <v>0</v>
      </c>
    </row>
    <row r="5" spans="1:28" x14ac:dyDescent="0.35">
      <c r="A5" s="1" t="str">
        <f>"05-"&amp;LEFT(RIGHTB(REPT(0,4)&amp;_xlfn.BASE(DB05_modification3[[#This Row],[num]],36),4),2)&amp;"-"&amp;RIGHT(RIGHTB(REPT(0,4)&amp;_xlfn.BASE(DB05_modification3[[#This Row],[num]],36),4),2)</f>
        <v>05-00-03</v>
      </c>
      <c r="B5" s="1">
        <v>3</v>
      </c>
      <c r="C5" s="1" t="str">
        <f>DB05_modification3[[#This Row],[ligand]]&amp;IF(DB05_modification3[[#This Row],[note_ligand]]="",""," "&amp;DB05_modification3[[#This Row],[note_ligand]])</f>
        <v>Rena(Aba)-[33K]</v>
      </c>
      <c r="D5" s="7" t="str">
        <f>HYPERLINK("./img/"&amp;DB05_modification3[[#This Row],[id_modification]]&amp;".png","◆")</f>
        <v>◆</v>
      </c>
      <c r="E5" s="5">
        <v>44926</v>
      </c>
      <c r="F5" s="1" t="s">
        <v>3</v>
      </c>
      <c r="G5" s="4"/>
      <c r="J5" s="1" t="s">
        <v>4</v>
      </c>
      <c r="N5" s="3" t="str">
        <f>"("&amp;DB05_modification3[[#This Row],[id_modification]]&amp;")"&amp;DB05_modification3[[#This Row],[ligand]]&amp;IF(DB05_modification3[[#This Row],[note_ligand]]="",,"-"&amp;DB05_modification3[[#This Row],[note_ligand]])</f>
        <v>(05-00-03)Rena(Aba)-[33K]</v>
      </c>
      <c r="O5" s="1" t="s">
        <v>1</v>
      </c>
      <c r="P5" s="1" t="s">
        <v>0</v>
      </c>
      <c r="Q5" s="1">
        <v>208</v>
      </c>
      <c r="R5" s="1">
        <v>344</v>
      </c>
      <c r="S5" s="1">
        <v>0</v>
      </c>
      <c r="T5" s="1">
        <v>0</v>
      </c>
      <c r="U5" s="1">
        <v>0</v>
      </c>
      <c r="V5" s="1">
        <v>0</v>
      </c>
      <c r="W5" s="1">
        <v>62</v>
      </c>
      <c r="X5" s="1">
        <v>0</v>
      </c>
      <c r="Y5" s="1">
        <v>57</v>
      </c>
      <c r="Z5" s="1">
        <v>1</v>
      </c>
      <c r="AA5" s="1">
        <v>0</v>
      </c>
      <c r="AB5" s="1">
        <v>0</v>
      </c>
    </row>
    <row r="6" spans="1:28" ht="17.5" x14ac:dyDescent="0.35">
      <c r="A6" s="1" t="str">
        <f>"05-"&amp;LEFT(RIGHTB(REPT(0,4)&amp;_xlfn.BASE(DB05_modification3[[#This Row],[num]],36),4),2)&amp;"-"&amp;RIGHT(RIGHTB(REPT(0,4)&amp;_xlfn.BASE(DB05_modification3[[#This Row],[num]],36),4),2)</f>
        <v>05-00-04</v>
      </c>
      <c r="B6" s="1">
        <v>4</v>
      </c>
      <c r="C6" s="1" t="str">
        <f>DB05_modification3[[#This Row],[ligand]]&amp;IF(DB05_modification3[[#This Row],[note_ligand]]="",""," "&amp;DB05_modification3[[#This Row],[note_ligand]])</f>
        <v>Rena(Aba)-[33K]-9N</v>
      </c>
      <c r="D6" s="6" t="str">
        <f>HYPERLINK("./img/"&amp;DB05_modification3[[#This Row],[id_modification]]&amp;".png","◆")</f>
        <v>◆</v>
      </c>
      <c r="E6" s="5">
        <v>44926</v>
      </c>
      <c r="F6" s="1" t="s">
        <v>3</v>
      </c>
      <c r="G6" s="4"/>
      <c r="J6" s="1" t="s">
        <v>2</v>
      </c>
      <c r="N6" s="3" t="str">
        <f>"("&amp;DB05_modification3[[#This Row],[id_modification]]&amp;")"&amp;DB05_modification3[[#This Row],[ligand]]&amp;IF(DB05_modification3[[#This Row],[note_ligand]]="",,"-"&amp;DB05_modification3[[#This Row],[note_ligand]])</f>
        <v>(05-00-04)Rena(Aba)-[33K]-9N</v>
      </c>
      <c r="O6" s="1" t="s">
        <v>1</v>
      </c>
      <c r="P6" s="1" t="s">
        <v>0</v>
      </c>
      <c r="Q6" s="2">
        <v>163</v>
      </c>
      <c r="R6" s="2">
        <v>274</v>
      </c>
      <c r="S6" s="2">
        <v>0</v>
      </c>
      <c r="T6" s="2">
        <v>0</v>
      </c>
      <c r="U6" s="2">
        <v>0</v>
      </c>
      <c r="V6" s="2">
        <v>0</v>
      </c>
      <c r="W6" s="2">
        <v>48</v>
      </c>
      <c r="X6" s="2">
        <v>0</v>
      </c>
      <c r="Y6" s="2">
        <v>44</v>
      </c>
      <c r="Z6" s="2">
        <v>1</v>
      </c>
      <c r="AA6" s="2">
        <v>0</v>
      </c>
      <c r="AB6" s="2">
        <v>0</v>
      </c>
    </row>
    <row r="7" spans="1:28" x14ac:dyDescent="0.35">
      <c r="A7" s="1" t="str">
        <f>"05-"&amp;LEFT(RIGHTB(REPT(0,4)&amp;_xlfn.BASE(DB05_modification3[[#This Row],[num]],36),4),2)&amp;"-"&amp;RIGHT(RIGHTB(REPT(0,4)&amp;_xlfn.BASE(DB05_modification3[[#This Row],[num]],36),4),2)</f>
        <v>05-00-05</v>
      </c>
      <c r="B7" s="1">
        <v>5</v>
      </c>
      <c r="C7" s="1" t="str">
        <f>DB05_modification3[[#This Row],[ligand]]&amp;IF(DB05_modification3[[#This Row],[note_ligand]]="",""," "&amp;DB05_modification3[[#This Row],[note_ligand]])</f>
        <v>FTY-P-P</v>
      </c>
      <c r="D7" s="10" t="str">
        <f>HYPERLINK("./img/"&amp;DB05_modification3[[#This Row],[id_modification]]&amp;".png","◆")</f>
        <v>◆</v>
      </c>
      <c r="E7" s="9"/>
      <c r="F7" s="5"/>
      <c r="G7" s="4"/>
      <c r="J7" s="1" t="s">
        <v>40</v>
      </c>
      <c r="L7" s="11"/>
      <c r="N7" s="3" t="str">
        <f>"("&amp;DB05_modification3[[#This Row],[id_modification]]&amp;")"&amp;DB05_modification3[[#This Row],[ligand]]&amp;IF(DB05_modification3[[#This Row],[note_ligand]]="",,"-"&amp;DB05_modification3[[#This Row],[note_ligand]])</f>
        <v>(05-00-05)FTY-P-P</v>
      </c>
      <c r="O7" s="1" t="s">
        <v>1</v>
      </c>
      <c r="P7" s="1" t="s">
        <v>0</v>
      </c>
      <c r="Q7" s="1">
        <v>54</v>
      </c>
      <c r="R7" s="1">
        <v>81</v>
      </c>
      <c r="S7" s="1">
        <v>0</v>
      </c>
      <c r="T7" s="1">
        <v>0</v>
      </c>
      <c r="U7" s="1">
        <v>0</v>
      </c>
      <c r="V7" s="1">
        <v>0</v>
      </c>
      <c r="W7" s="1">
        <v>6</v>
      </c>
      <c r="X7" s="1">
        <v>0</v>
      </c>
      <c r="Y7" s="1">
        <v>14</v>
      </c>
      <c r="Z7" s="1">
        <v>2</v>
      </c>
      <c r="AA7" s="1">
        <v>0</v>
      </c>
      <c r="AB7" s="1">
        <v>0</v>
      </c>
    </row>
    <row r="8" spans="1:28" x14ac:dyDescent="0.35">
      <c r="A8" s="1" t="str">
        <f>"05-"&amp;LEFT(RIGHTB(REPT(0,4)&amp;_xlfn.BASE(DB05_modification3[[#This Row],[num]],36),4),2)&amp;"-"&amp;RIGHT(RIGHTB(REPT(0,4)&amp;_xlfn.BASE(DB05_modification3[[#This Row],[num]],36),4),2)</f>
        <v>05-00-06</v>
      </c>
      <c r="B8" s="1">
        <v>6</v>
      </c>
      <c r="C8" s="1" t="str">
        <f>DB05_modification3[[#This Row],[ligand]]&amp;IF(DB05_modification3[[#This Row],[note_ligand]]="",""," "&amp;DB05_modification3[[#This Row],[note_ligand]])</f>
        <v>AF488</v>
      </c>
      <c r="D8" s="12" t="str">
        <f>HYPERLINK("./img/"&amp;DB05_modification3[[#This Row],[id_modification]]&amp;".png","◆")</f>
        <v>◆</v>
      </c>
      <c r="E8" s="9"/>
      <c r="F8" s="5"/>
      <c r="G8" s="4"/>
      <c r="J8" s="1" t="s">
        <v>41</v>
      </c>
      <c r="N8" s="3" t="str">
        <f>"("&amp;DB05_modification3[[#This Row],[id_modification]]&amp;")"&amp;DB05_modification3[[#This Row],[ligand]]&amp;IF(DB05_modification3[[#This Row],[note_ligand]]="",,"-"&amp;DB05_modification3[[#This Row],[note_ligand]])</f>
        <v>(05-00-06)AF488</v>
      </c>
      <c r="O8" s="3" t="s">
        <v>42</v>
      </c>
      <c r="P8" s="3" t="s">
        <v>43</v>
      </c>
      <c r="Q8" s="1">
        <v>27</v>
      </c>
      <c r="R8" s="1">
        <v>27</v>
      </c>
      <c r="S8" s="1">
        <v>0</v>
      </c>
      <c r="T8" s="1">
        <v>0</v>
      </c>
      <c r="U8" s="1">
        <v>0</v>
      </c>
      <c r="V8" s="1">
        <v>0</v>
      </c>
      <c r="W8" s="1">
        <v>3</v>
      </c>
      <c r="X8" s="1">
        <v>0</v>
      </c>
      <c r="Y8" s="1">
        <v>13</v>
      </c>
      <c r="Z8" s="1">
        <v>1</v>
      </c>
      <c r="AA8" s="1">
        <v>2</v>
      </c>
      <c r="AB8" s="1">
        <v>0</v>
      </c>
    </row>
    <row r="9" spans="1:28" x14ac:dyDescent="0.35">
      <c r="A9" s="1" t="str">
        <f>"05-"&amp;LEFT(RIGHTB(REPT(0,4)&amp;_xlfn.BASE(DB05_modification3[[#This Row],[num]],36),4),2)&amp;"-"&amp;RIGHT(RIGHTB(REPT(0,4)&amp;_xlfn.BASE(DB05_modification3[[#This Row],[num]],36),4),2)</f>
        <v>05-00-07</v>
      </c>
      <c r="B9" s="1">
        <v>7</v>
      </c>
      <c r="C9" s="1" t="str">
        <f>DB05_modification3[[#This Row],[ligand]]&amp;IF(DB05_modification3[[#This Row],[note_ligand]]="",""," "&amp;DB05_modification3[[#This Row],[note_ligand]])</f>
        <v>AF647PS</v>
      </c>
      <c r="D9" s="12" t="str">
        <f>HYPERLINK("./img/"&amp;DB05_modification3[[#This Row],[id_modification]]&amp;".png","◆")</f>
        <v>◆</v>
      </c>
      <c r="E9" s="9"/>
      <c r="F9" s="5"/>
      <c r="G9" s="4"/>
      <c r="J9" s="1" t="s">
        <v>44</v>
      </c>
      <c r="N9" s="3" t="str">
        <f>"("&amp;DB05_modification3[[#This Row],[id_modification]]&amp;")"&amp;DB05_modification3[[#This Row],[ligand]]&amp;IF(DB05_modification3[[#This Row],[note_ligand]]="",,"-"&amp;DB05_modification3[[#This Row],[note_ligand]])</f>
        <v>(05-00-07)AF647PS</v>
      </c>
      <c r="O9" s="1" t="s">
        <v>45</v>
      </c>
      <c r="P9" s="1" t="s">
        <v>46</v>
      </c>
      <c r="Q9" s="1">
        <v>41</v>
      </c>
      <c r="R9" s="1">
        <v>59</v>
      </c>
      <c r="S9" s="1">
        <v>0</v>
      </c>
      <c r="T9" s="1">
        <v>0</v>
      </c>
      <c r="U9" s="1">
        <v>0</v>
      </c>
      <c r="V9" s="1">
        <v>0</v>
      </c>
      <c r="W9" s="1">
        <v>3</v>
      </c>
      <c r="X9" s="1">
        <v>0</v>
      </c>
      <c r="Y9" s="1">
        <v>15</v>
      </c>
      <c r="Z9" s="1">
        <v>1</v>
      </c>
      <c r="AA9" s="1">
        <v>5</v>
      </c>
      <c r="AB9" s="1">
        <v>0</v>
      </c>
    </row>
    <row r="10" spans="1:28" x14ac:dyDescent="0.35">
      <c r="A10" s="1" t="str">
        <f>"05-"&amp;LEFT(RIGHTB(REPT(0,4)&amp;_xlfn.BASE(DB05_modification3[[#This Row],[num]],36),4),2)&amp;"-"&amp;RIGHT(RIGHTB(REPT(0,4)&amp;_xlfn.BASE(DB05_modification3[[#This Row],[num]],36),4),2)</f>
        <v>05-00-08</v>
      </c>
      <c r="B10" s="1">
        <v>8</v>
      </c>
      <c r="C10" s="1" t="str">
        <f>DB05_modification3[[#This Row],[ligand]]&amp;IF(DB05_modification3[[#This Row],[note_ligand]]="",""," "&amp;DB05_modification3[[#This Row],[note_ligand]])</f>
        <v>AF488PS</v>
      </c>
      <c r="D10" s="12" t="str">
        <f>HYPERLINK("./img/"&amp;DB05_modification3[[#This Row],[id_modification]]&amp;".png","◆")</f>
        <v>◆</v>
      </c>
      <c r="E10" s="9"/>
      <c r="F10" s="5"/>
      <c r="G10" s="4"/>
      <c r="J10" s="1" t="s">
        <v>47</v>
      </c>
      <c r="N10" s="3" t="str">
        <f>"("&amp;DB05_modification3[[#This Row],[id_modification]]&amp;")"&amp;DB05_modification3[[#This Row],[ligand]]&amp;IF(DB05_modification3[[#This Row],[note_ligand]]="",,"-"&amp;DB05_modification3[[#This Row],[note_ligand]])</f>
        <v>(05-00-08)AF488PS</v>
      </c>
      <c r="O10" s="3" t="s">
        <v>42</v>
      </c>
      <c r="P10" s="3" t="s">
        <v>43</v>
      </c>
      <c r="Q10" s="1">
        <v>27</v>
      </c>
      <c r="R10" s="1">
        <v>27</v>
      </c>
      <c r="S10" s="1">
        <v>0</v>
      </c>
      <c r="T10" s="1">
        <v>0</v>
      </c>
      <c r="U10" s="1">
        <v>0</v>
      </c>
      <c r="V10" s="1">
        <v>0</v>
      </c>
      <c r="W10" s="1">
        <v>3</v>
      </c>
      <c r="X10" s="1">
        <v>0</v>
      </c>
      <c r="Y10" s="1">
        <v>12</v>
      </c>
      <c r="Z10" s="1">
        <v>1</v>
      </c>
      <c r="AA10" s="1">
        <v>3</v>
      </c>
      <c r="AB10" s="1">
        <v>0</v>
      </c>
    </row>
    <row r="11" spans="1:28" x14ac:dyDescent="0.35">
      <c r="A11" s="1" t="str">
        <f>"05-"&amp;LEFT(RIGHTB(REPT(0,4)&amp;_xlfn.BASE(DB05_modification3[[#This Row],[num]],36),4),2)&amp;"-"&amp;RIGHT(RIGHTB(REPT(0,4)&amp;_xlfn.BASE(DB05_modification3[[#This Row],[num]],36),4),2)</f>
        <v>05-00-09</v>
      </c>
      <c r="B11" s="1">
        <v>9</v>
      </c>
      <c r="C11" s="1" t="str">
        <f>DB05_modification3[[#This Row],[ligand]]&amp;IF(DB05_modification3[[#This Row],[note_ligand]]="",""," "&amp;DB05_modification3[[#This Row],[note_ligand]])</f>
        <v>Chol分岐あり TetraEG PS</v>
      </c>
      <c r="D11" s="12" t="str">
        <f>HYPERLINK("./img/"&amp;DB05_modification3[[#This Row],[id_modification]]&amp;".png","◆")</f>
        <v>◆</v>
      </c>
      <c r="E11" s="9"/>
      <c r="F11" s="5"/>
      <c r="G11" s="4"/>
      <c r="J11" s="1" t="s">
        <v>51</v>
      </c>
      <c r="K11" s="1" t="s">
        <v>48</v>
      </c>
      <c r="N11" s="3" t="str">
        <f>"("&amp;DB05_modification3[[#This Row],[id_modification]]&amp;")"&amp;DB05_modification3[[#This Row],[ligand]]&amp;IF(DB05_modification3[[#This Row],[note_ligand]]="",,"-"&amp;DB05_modification3[[#This Row],[note_ligand]])</f>
        <v>(05-00-09)Chol分岐あり-TetraEG PS</v>
      </c>
      <c r="O11" s="3" t="s">
        <v>49</v>
      </c>
      <c r="P11" s="3" t="s">
        <v>50</v>
      </c>
      <c r="Q11" s="1">
        <v>40</v>
      </c>
      <c r="R11" s="1">
        <v>71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9</v>
      </c>
      <c r="Z11" s="1">
        <v>1</v>
      </c>
      <c r="AA11" s="1">
        <v>1</v>
      </c>
      <c r="AB11" s="1">
        <v>0</v>
      </c>
    </row>
    <row r="12" spans="1:28" x14ac:dyDescent="0.35">
      <c r="A12" s="1" t="str">
        <f>"05-"&amp;LEFT(RIGHTB(REPT(0,4)&amp;_xlfn.BASE(DB05_modification3[[#This Row],[num]],36),4),2)&amp;"-"&amp;RIGHT(RIGHTB(REPT(0,4)&amp;_xlfn.BASE(DB05_modification3[[#This Row],[num]],36),4),2)</f>
        <v>05-00-0A</v>
      </c>
      <c r="B12" s="1">
        <v>10</v>
      </c>
      <c r="C12" s="1" t="str">
        <f>DB05_modification3[[#This Row],[ligand]]&amp;IF(DB05_modification3[[#This Row],[note_ligand]]="",""," "&amp;DB05_modification3[[#This Row],[note_ligand]])</f>
        <v>(AL-013)-DBCO-C6</v>
      </c>
      <c r="D12" s="12" t="str">
        <f>HYPERLINK("./img/"&amp;DB05_modification3[[#This Row],[id_modification]]&amp;".png","◆")</f>
        <v>◆</v>
      </c>
      <c r="E12" s="9"/>
      <c r="F12" s="5"/>
      <c r="G12" s="4"/>
      <c r="J12" s="1" t="s">
        <v>52</v>
      </c>
      <c r="N12" s="3" t="str">
        <f>"("&amp;DB05_modification3[[#This Row],[id_modification]]&amp;")"&amp;DB05_modification3[[#This Row],[ligand]]&amp;IF(DB05_modification3[[#This Row],[note_ligand]]="",,"-"&amp;DB05_modification3[[#This Row],[note_ligand]])</f>
        <v>(05-00-0A)(AL-013)-DBCO-C6</v>
      </c>
      <c r="O12" s="1" t="s">
        <v>1</v>
      </c>
      <c r="P12" s="1" t="s">
        <v>1</v>
      </c>
      <c r="Q12" s="1">
        <v>53</v>
      </c>
      <c r="R12" s="1">
        <v>81</v>
      </c>
      <c r="W12" s="1">
        <v>6</v>
      </c>
      <c r="Y12" s="1">
        <v>14</v>
      </c>
      <c r="Z12" s="1">
        <v>2</v>
      </c>
    </row>
    <row r="13" spans="1:28" x14ac:dyDescent="0.35">
      <c r="A13" s="1" t="str">
        <f>"05-"&amp;LEFT(RIGHTB(REPT(0,4)&amp;_xlfn.BASE(DB05_modification3[[#This Row],[num]],36),4),2)&amp;"-"&amp;RIGHT(RIGHTB(REPT(0,4)&amp;_xlfn.BASE(DB05_modification3[[#This Row],[num]],36),4),2)</f>
        <v>05-00-0B</v>
      </c>
      <c r="B13" s="1">
        <v>11</v>
      </c>
      <c r="C13" s="1" t="str">
        <f>DB05_modification3[[#This Row],[ligand]]&amp;IF(DB05_modification3[[#This Row],[note_ligand]]="",""," "&amp;DB05_modification3[[#This Row],[note_ligand]])</f>
        <v>(AL-038)-DBCO-C6</v>
      </c>
      <c r="D13" s="12" t="str">
        <f>HYPERLINK("./img/"&amp;DB05_modification3[[#This Row],[id_modification]]&amp;".png","◆")</f>
        <v>◆</v>
      </c>
      <c r="E13" s="9"/>
      <c r="F13" s="5"/>
      <c r="G13" s="4"/>
      <c r="J13" s="1" t="s">
        <v>53</v>
      </c>
      <c r="N13" s="13" t="str">
        <f>"("&amp;DB05_modification3[[#This Row],[id_modification]]&amp;")"&amp;DB05_modification3[[#This Row],[ligand]]&amp;IF(DB05_modification3[[#This Row],[note_ligand]]="",,"-"&amp;DB05_modification3[[#This Row],[note_ligand]])</f>
        <v>(05-00-0B)(AL-038)-DBCO-C6</v>
      </c>
      <c r="O13" s="1" t="s">
        <v>1</v>
      </c>
      <c r="P13" s="1" t="s">
        <v>1</v>
      </c>
      <c r="Q13" s="1">
        <v>54</v>
      </c>
      <c r="R13" s="1">
        <v>83</v>
      </c>
      <c r="W13" s="1">
        <v>6</v>
      </c>
      <c r="Y13" s="1">
        <v>14</v>
      </c>
      <c r="Z13" s="1">
        <v>2</v>
      </c>
    </row>
  </sheetData>
  <phoneticPr fontId="2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modification3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御原 康洋</cp:lastModifiedBy>
  <dcterms:created xsi:type="dcterms:W3CDTF">2023-02-07T00:03:30Z</dcterms:created>
  <dcterms:modified xsi:type="dcterms:W3CDTF">2026-01-18T23:19:31Z</dcterms:modified>
</cp:coreProperties>
</file>