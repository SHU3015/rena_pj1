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D3FED2DE-FFEE-437F-9F1B-F9DF23733D63}" xr6:coauthVersionLast="47" xr6:coauthVersionMax="47" xr10:uidLastSave="{00000000-0000-0000-0000-000000000000}"/>
  <bookViews>
    <workbookView xWindow="-108" yWindow="-108" windowWidth="23256" windowHeight="13896" tabRatio="547" activeTab="2" xr2:uid="{00000000-000D-0000-FFFF-FFFF00000000}"/>
  </bookViews>
  <sheets>
    <sheet name="DB07_baseline" sheetId="7" r:id="rId1"/>
    <sheet name="ref_data-&gt;" sheetId="3" r:id="rId2"/>
    <sheet name="DB06_baseline" sheetId="5" r:id="rId3"/>
  </sheets>
  <definedNames>
    <definedName name="ExternalData_1" localSheetId="2" hidden="1">DB06_baseline!$A$1:$K$809</definedName>
    <definedName name="filepath">'ref_data-&gt;'!$F$1</definedName>
    <definedName name="idname">'ref_data-&gt;'!$C$1</definedName>
    <definedName name="path">'ref_data-&gt;'!$F$1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02" i="7" l="1"/>
  <c r="G902" i="7"/>
  <c r="B902" i="7"/>
  <c r="B901" i="7"/>
  <c r="G901" i="7"/>
  <c r="H901" i="7"/>
  <c r="G900" i="7"/>
  <c r="H900" i="7"/>
  <c r="B900" i="7"/>
  <c r="G899" i="7"/>
  <c r="H899" i="7"/>
  <c r="B899" i="7"/>
  <c r="G898" i="7"/>
  <c r="H898" i="7"/>
  <c r="B898" i="7"/>
  <c r="G897" i="7"/>
  <c r="H897" i="7"/>
  <c r="B897" i="7"/>
  <c r="B896" i="7"/>
  <c r="G896" i="7"/>
  <c r="H896" i="7"/>
  <c r="B895" i="7"/>
  <c r="G895" i="7"/>
  <c r="H895" i="7"/>
  <c r="B822" i="7"/>
  <c r="B891" i="7"/>
  <c r="B892" i="7"/>
  <c r="B893" i="7"/>
  <c r="B894" i="7"/>
  <c r="G891" i="7"/>
  <c r="G892" i="7"/>
  <c r="G893" i="7"/>
  <c r="G894" i="7"/>
  <c r="H891" i="7"/>
  <c r="H892" i="7"/>
  <c r="H893" i="7"/>
  <c r="H894" i="7"/>
  <c r="G890" i="7"/>
  <c r="H890" i="7"/>
  <c r="B890" i="7"/>
  <c r="G889" i="7"/>
  <c r="H889" i="7"/>
  <c r="B889" i="7"/>
  <c r="G888" i="7"/>
  <c r="H888" i="7"/>
  <c r="B888" i="7"/>
  <c r="G887" i="7"/>
  <c r="H887" i="7"/>
  <c r="B887" i="7"/>
  <c r="G886" i="7"/>
  <c r="H886" i="7"/>
  <c r="B886" i="7"/>
  <c r="G884" i="7" l="1"/>
  <c r="G885" i="7"/>
  <c r="H884" i="7"/>
  <c r="H885" i="7"/>
  <c r="B884" i="7"/>
  <c r="B885" i="7"/>
  <c r="G882" i="7"/>
  <c r="G883" i="7"/>
  <c r="H882" i="7"/>
  <c r="H883" i="7"/>
  <c r="B882" i="7"/>
  <c r="B883" i="7"/>
  <c r="G881" i="7"/>
  <c r="H881" i="7"/>
  <c r="B881" i="7"/>
  <c r="B880" i="7"/>
  <c r="G880" i="7"/>
  <c r="H880" i="7"/>
  <c r="G874" i="7"/>
  <c r="G875" i="7"/>
  <c r="G876" i="7"/>
  <c r="G877" i="7"/>
  <c r="G878" i="7"/>
  <c r="G879" i="7"/>
  <c r="H874" i="7"/>
  <c r="H875" i="7"/>
  <c r="H876" i="7"/>
  <c r="H877" i="7"/>
  <c r="H878" i="7"/>
  <c r="H879" i="7"/>
  <c r="B874" i="7"/>
  <c r="B875" i="7"/>
  <c r="B876" i="7"/>
  <c r="B877" i="7"/>
  <c r="B878" i="7"/>
  <c r="B879" i="7"/>
  <c r="G873" i="7"/>
  <c r="H873" i="7"/>
  <c r="B873" i="7"/>
  <c r="G872" i="7"/>
  <c r="H872" i="7"/>
  <c r="B872" i="7"/>
  <c r="G871" i="7"/>
  <c r="H871" i="7"/>
  <c r="B871" i="7"/>
  <c r="G870" i="7"/>
  <c r="H870" i="7"/>
  <c r="B870" i="7"/>
  <c r="G869" i="7"/>
  <c r="H869" i="7"/>
  <c r="B869" i="7"/>
  <c r="G868" i="7"/>
  <c r="H868" i="7"/>
  <c r="B868" i="7"/>
  <c r="G867" i="7"/>
  <c r="H867" i="7"/>
  <c r="B867" i="7"/>
  <c r="G866" i="7"/>
  <c r="H866" i="7"/>
  <c r="B866" i="7"/>
  <c r="G865" i="7"/>
  <c r="H865" i="7"/>
  <c r="B865" i="7"/>
  <c r="G864" i="7"/>
  <c r="H864" i="7"/>
  <c r="B864" i="7"/>
  <c r="H863" i="7"/>
  <c r="G863" i="7"/>
  <c r="B863" i="7"/>
  <c r="G861" i="7"/>
  <c r="H861" i="7"/>
  <c r="G862" i="7"/>
  <c r="H862" i="7"/>
  <c r="B861" i="7"/>
  <c r="B862" i="7"/>
  <c r="G857" i="7"/>
  <c r="H857" i="7"/>
  <c r="G860" i="7" l="1"/>
  <c r="H860" i="7"/>
  <c r="B860" i="7"/>
  <c r="B858" i="7"/>
  <c r="B859" i="7"/>
  <c r="G858" i="7"/>
  <c r="G859" i="7"/>
  <c r="H858" i="7"/>
  <c r="H859" i="7"/>
  <c r="B857" i="7"/>
  <c r="G855" i="7" l="1"/>
  <c r="G856" i="7"/>
  <c r="H855" i="7"/>
  <c r="H856" i="7"/>
  <c r="B855" i="7"/>
  <c r="B856" i="7"/>
  <c r="G854" i="7"/>
  <c r="B854" i="7" l="1"/>
  <c r="H854" i="7"/>
  <c r="G853" i="7"/>
  <c r="H853" i="7"/>
  <c r="B853" i="7"/>
  <c r="G852" i="7"/>
  <c r="G850" i="7"/>
  <c r="G851" i="7"/>
  <c r="H850" i="7"/>
  <c r="H851" i="7"/>
  <c r="H852" i="7"/>
  <c r="B850" i="7"/>
  <c r="B851" i="7"/>
  <c r="B852" i="7"/>
  <c r="B845" i="7"/>
  <c r="G844" i="7"/>
  <c r="G843" i="7"/>
  <c r="G845" i="7"/>
  <c r="G846" i="7"/>
  <c r="G847" i="7"/>
  <c r="G848" i="7"/>
  <c r="G849" i="7"/>
  <c r="H843" i="7"/>
  <c r="H844" i="7"/>
  <c r="H845" i="7"/>
  <c r="H846" i="7"/>
  <c r="H847" i="7"/>
  <c r="H848" i="7"/>
  <c r="H849" i="7"/>
  <c r="B843" i="7"/>
  <c r="B844" i="7"/>
  <c r="B846" i="7"/>
  <c r="B847" i="7"/>
  <c r="B848" i="7"/>
  <c r="B849" i="7"/>
  <c r="G830" i="7"/>
  <c r="G829" i="7"/>
  <c r="G828" i="7"/>
  <c r="G827" i="7"/>
  <c r="G826" i="7"/>
  <c r="G825" i="7"/>
  <c r="G824" i="7"/>
  <c r="G823" i="7"/>
  <c r="G822" i="7"/>
  <c r="G842" i="7"/>
  <c r="H842" i="7"/>
  <c r="B842" i="7"/>
  <c r="G831" i="7"/>
  <c r="G832" i="7"/>
  <c r="G833" i="7"/>
  <c r="G834" i="7"/>
  <c r="G835" i="7"/>
  <c r="G836" i="7"/>
  <c r="G837" i="7"/>
  <c r="G838" i="7"/>
  <c r="G839" i="7"/>
  <c r="G840" i="7"/>
  <c r="G841" i="7"/>
  <c r="H831" i="7"/>
  <c r="H832" i="7"/>
  <c r="H833" i="7"/>
  <c r="H834" i="7"/>
  <c r="H835" i="7"/>
  <c r="H836" i="7"/>
  <c r="H837" i="7"/>
  <c r="H838" i="7"/>
  <c r="H839" i="7"/>
  <c r="H840" i="7"/>
  <c r="H841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H829" i="7"/>
  <c r="H825" i="7"/>
  <c r="H824" i="7"/>
  <c r="H822" i="7"/>
  <c r="H823" i="7"/>
  <c r="H826" i="7"/>
  <c r="H827" i="7"/>
  <c r="H828" i="7"/>
  <c r="H830" i="7"/>
  <c r="G820" i="7"/>
  <c r="G821" i="7"/>
  <c r="H820" i="7"/>
  <c r="H821" i="7"/>
  <c r="B820" i="7"/>
  <c r="B821" i="7"/>
  <c r="G818" i="7"/>
  <c r="G819" i="7"/>
  <c r="H818" i="7"/>
  <c r="H819" i="7"/>
  <c r="B818" i="7"/>
  <c r="B819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B705" i="7"/>
  <c r="G705" i="7"/>
  <c r="H705" i="7"/>
  <c r="B704" i="7"/>
  <c r="G704" i="7"/>
  <c r="H704" i="7"/>
  <c r="H703" i="7"/>
  <c r="B703" i="7"/>
  <c r="H701" i="7"/>
  <c r="H702" i="7"/>
  <c r="B701" i="7"/>
  <c r="B702" i="7"/>
  <c r="H700" i="7"/>
  <c r="B700" i="7"/>
  <c r="H699" i="7"/>
  <c r="B699" i="7"/>
  <c r="B698" i="7"/>
  <c r="H698" i="7"/>
  <c r="B694" i="7"/>
  <c r="B695" i="7"/>
  <c r="B696" i="7"/>
  <c r="B697" i="7"/>
  <c r="G694" i="7"/>
  <c r="G695" i="7"/>
  <c r="G696" i="7"/>
  <c r="G697" i="7"/>
  <c r="H694" i="7"/>
  <c r="H695" i="7"/>
  <c r="H696" i="7"/>
  <c r="H697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B440" i="7"/>
  <c r="G440" i="7"/>
  <c r="H440" i="7"/>
  <c r="B439" i="7"/>
  <c r="G439" i="7"/>
  <c r="H439" i="7"/>
  <c r="B438" i="7"/>
  <c r="G438" i="7"/>
  <c r="H438" i="7"/>
  <c r="B437" i="7"/>
  <c r="G437" i="7"/>
  <c r="H437" i="7"/>
  <c r="B436" i="7"/>
  <c r="G436" i="7"/>
  <c r="H436" i="7"/>
  <c r="B435" i="7"/>
  <c r="G435" i="7"/>
  <c r="H435" i="7"/>
  <c r="B434" i="7"/>
  <c r="G434" i="7"/>
  <c r="H434" i="7"/>
  <c r="B433" i="7"/>
  <c r="G433" i="7"/>
  <c r="H433" i="7"/>
  <c r="B432" i="7"/>
  <c r="G432" i="7"/>
  <c r="H432" i="7"/>
  <c r="B431" i="7"/>
  <c r="G431" i="7"/>
  <c r="H431" i="7"/>
  <c r="B430" i="7"/>
  <c r="G430" i="7"/>
  <c r="H430" i="7"/>
  <c r="B429" i="7"/>
  <c r="G429" i="7"/>
  <c r="H429" i="7"/>
  <c r="H104" i="7"/>
  <c r="G104" i="7"/>
  <c r="B10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B102" i="7"/>
  <c r="G102" i="7"/>
  <c r="H102" i="7"/>
  <c r="B103" i="7"/>
  <c r="G103" i="7"/>
  <c r="H103" i="7"/>
  <c r="B428" i="7"/>
  <c r="G428" i="7"/>
  <c r="H428" i="7"/>
  <c r="H99" i="7"/>
  <c r="H100" i="7"/>
  <c r="H101" i="7"/>
  <c r="G101" i="7"/>
  <c r="B101" i="7"/>
  <c r="G100" i="7"/>
  <c r="B100" i="7"/>
  <c r="G99" i="7"/>
  <c r="B99" i="7"/>
  <c r="G98" i="7"/>
  <c r="G97" i="7"/>
  <c r="G96" i="7"/>
  <c r="B96" i="7"/>
  <c r="B98" i="7"/>
  <c r="H98" i="7"/>
  <c r="B97" i="7"/>
  <c r="H97" i="7"/>
  <c r="H96" i="7"/>
  <c r="B94" i="7"/>
  <c r="B95" i="7"/>
  <c r="G94" i="7"/>
  <c r="G95" i="7"/>
  <c r="H94" i="7"/>
  <c r="H95" i="7"/>
  <c r="B92" i="7"/>
  <c r="B93" i="7"/>
  <c r="G92" i="7"/>
  <c r="G93" i="7"/>
  <c r="H92" i="7"/>
  <c r="H93" i="7"/>
  <c r="B91" i="7"/>
  <c r="G91" i="7"/>
  <c r="H91" i="7"/>
  <c r="G89" i="7"/>
  <c r="B86" i="7"/>
  <c r="B87" i="7"/>
  <c r="B88" i="7"/>
  <c r="B89" i="7"/>
  <c r="B90" i="7"/>
  <c r="G86" i="7"/>
  <c r="G87" i="7"/>
  <c r="G88" i="7"/>
  <c r="G90" i="7"/>
  <c r="H86" i="7"/>
  <c r="H87" i="7"/>
  <c r="H88" i="7"/>
  <c r="H89" i="7"/>
  <c r="H90" i="7"/>
  <c r="B83" i="7"/>
  <c r="B84" i="7"/>
  <c r="B85" i="7"/>
  <c r="G83" i="7"/>
  <c r="G84" i="7"/>
  <c r="G85" i="7"/>
  <c r="H83" i="7"/>
  <c r="H84" i="7"/>
  <c r="H85" i="7"/>
  <c r="B81" i="7"/>
  <c r="B82" i="7"/>
  <c r="G81" i="7"/>
  <c r="G82" i="7"/>
  <c r="H81" i="7"/>
  <c r="H82" i="7"/>
  <c r="G78" i="7"/>
  <c r="B80" i="7"/>
  <c r="G80" i="7"/>
  <c r="H80" i="7"/>
  <c r="B78" i="7"/>
  <c r="B79" i="7"/>
  <c r="G79" i="7"/>
  <c r="H78" i="7"/>
  <c r="H79" i="7"/>
  <c r="H52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" i="7"/>
  <c r="H3" i="7"/>
  <c r="H4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B77" i="7"/>
  <c r="B76" i="7"/>
  <c r="B74" i="7"/>
  <c r="B75" i="7"/>
  <c r="J3" i="3" a="1"/>
  <c r="J3" i="3" s="1"/>
  <c r="I3" i="3" a="1"/>
  <c r="I3" i="3" s="1"/>
  <c r="H3" i="3" a="1"/>
  <c r="H3" i="3" s="1"/>
  <c r="F3" i="3" a="1"/>
  <c r="F3" i="3" s="1"/>
  <c r="B72" i="7"/>
  <c r="B73" i="7"/>
  <c r="B71" i="7"/>
  <c r="B67" i="7"/>
  <c r="B68" i="7"/>
  <c r="B69" i="7"/>
  <c r="B70" i="7"/>
  <c r="B64" i="7"/>
  <c r="B65" i="7"/>
  <c r="B66" i="7"/>
  <c r="B63" i="7"/>
  <c r="B62" i="7"/>
  <c r="B61" i="7"/>
  <c r="B60" i="7"/>
  <c r="B58" i="7"/>
  <c r="B59" i="7"/>
  <c r="B56" i="7"/>
  <c r="B57" i="7"/>
  <c r="B55" i="7"/>
  <c r="B46" i="7"/>
  <c r="B47" i="7"/>
  <c r="B48" i="7"/>
  <c r="B49" i="7"/>
  <c r="B50" i="7"/>
  <c r="B51" i="7"/>
  <c r="B52" i="7"/>
  <c r="B53" i="7"/>
  <c r="B54" i="7"/>
  <c r="B43" i="7"/>
  <c r="B44" i="7"/>
  <c r="B45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F1" i="3" a="1"/>
  <c r="F1" i="3" s="1"/>
  <c r="C1" i="3" l="1" a="1"/>
  <c r="C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C5E4CD-00A7-40A0-B5DE-1D33FDBBCC4A}" keepAlive="1" name="クエリ - calcdDB07_baselinesequence" description="ブック内の 'calcdDB07_baselinesequence' クエリへの接続です。" type="5" refreshedVersion="8" background="1" refreshOnLoad="1" saveData="1">
    <dbPr connection="Provider=Microsoft.Mashup.OleDb.1;Data Source=$Workbook$;Location=calcdDB07_baselinesequence;Extended Properties=&quot;&quot;" command="SELECT * FROM [calcdDB07_baselinesequence]"/>
  </connection>
  <connection id="2" xr16:uid="{13FFE298-B8EE-496A-9330-82F429507154}" keepAlive="1" name="クエリ - DB06_baseline" description="ブック内の 'DB06_baseline' クエリへの接続です。" type="5" refreshedVersion="8" background="1" refreshOnLoad="1" saveData="1">
    <dbPr connection="Provider=Microsoft.Mashup.OleDb.1;Data Source=$Workbook$;Location=DB06_baseline;Extended Properties=&quot;&quot;" command="SELECT * FROM [DB06_baselin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<sst xmlns="http://schemas.openxmlformats.org/spreadsheetml/2006/main" count="6467" uniqueCount="3956">
  <si>
    <t>num</t>
  </si>
  <si>
    <t>name</t>
  </si>
  <si>
    <t>malat1-ASO</t>
  </si>
  <si>
    <t>CTAGTTCACTGAATGC</t>
  </si>
  <si>
    <t>ASO</t>
  </si>
  <si>
    <t>LNA</t>
  </si>
  <si>
    <t>DNA</t>
  </si>
  <si>
    <t>PS</t>
  </si>
  <si>
    <t>malat1-SO</t>
  </si>
  <si>
    <t>OMe</t>
  </si>
  <si>
    <t>RNA</t>
  </si>
  <si>
    <t>PO</t>
  </si>
  <si>
    <t>GTTATGCCACCCTA</t>
  </si>
  <si>
    <t>MOE</t>
  </si>
  <si>
    <t>BNA(NC-Me)</t>
  </si>
  <si>
    <t>PTEN-ASO</t>
  </si>
  <si>
    <t>TCATGGCTGCAGCT</t>
  </si>
  <si>
    <t>GGGTCAGCTGCCAATGCTAG</t>
  </si>
  <si>
    <t>Apob-ASO</t>
  </si>
  <si>
    <t>GCATTGGTATTCA</t>
  </si>
  <si>
    <t>Full</t>
  </si>
  <si>
    <t>TTGATTTAATGGTTGC</t>
  </si>
  <si>
    <t>配列名</t>
  </si>
  <si>
    <t>Baseline</t>
  </si>
  <si>
    <t>length</t>
  </si>
  <si>
    <t>Folder</t>
  </si>
  <si>
    <t>根拠情報</t>
  </si>
  <si>
    <t>確認者</t>
  </si>
  <si>
    <t>入力日</t>
  </si>
  <si>
    <t>◆</t>
  </si>
  <si>
    <t>DNA/DNA対応</t>
  </si>
  <si>
    <t>岡本・高木・布施</t>
  </si>
  <si>
    <t>Bace1-ASO</t>
  </si>
  <si>
    <t>GTATTGCTGAGGA</t>
  </si>
  <si>
    <t>INGOT</t>
  </si>
  <si>
    <t>GAP-ASO(1)</t>
  </si>
  <si>
    <t>ACCGACCTTCACCATTT</t>
  </si>
  <si>
    <t>GAP-ASO(2)</t>
  </si>
  <si>
    <t>AGCACCAGTGGATGCAGG</t>
  </si>
  <si>
    <t>ATTGTCATTGAGAGCAATGCCAG</t>
  </si>
  <si>
    <t>兼子</t>
  </si>
  <si>
    <t>gapdh-si-so</t>
  </si>
  <si>
    <t>GGCATTGCTCTCAATGACAAT</t>
  </si>
  <si>
    <t>GFP5L-ASO</t>
  </si>
  <si>
    <t>CGGTGGTGCAGATGAA</t>
  </si>
  <si>
    <t>GCCAGGCTGGTTATGACTCA</t>
  </si>
  <si>
    <t>GCATTCTAATAGCAGC</t>
  </si>
  <si>
    <t>毒性</t>
  </si>
  <si>
    <t>薬学会発表用スライド</t>
  </si>
  <si>
    <t>Ren1-ASO</t>
  </si>
  <si>
    <t>GAGCAATGCACGTGGGC</t>
  </si>
  <si>
    <t>Ren5-ASO</t>
  </si>
  <si>
    <t>ACCTTAAATCCTTCTC</t>
  </si>
  <si>
    <t>TCCTATCTTCTCTAACAGCTT</t>
  </si>
  <si>
    <t>GCTGTTAGAGAAGATAGGATT</t>
  </si>
  <si>
    <t>TGTGGATAAAGCTTGGTAGTT</t>
  </si>
  <si>
    <t>CTACCAAGCTTTATCCACATT</t>
  </si>
  <si>
    <t>GACACCAGGGAGAGACAG</t>
  </si>
  <si>
    <t>TAKC02-ASO</t>
  </si>
  <si>
    <t>GCGGATACTACAGCTT</t>
  </si>
  <si>
    <t>TAK社からの提供</t>
  </si>
  <si>
    <t>核酸医薬学会スライド</t>
  </si>
  <si>
    <t>YB1-ASO</t>
  </si>
  <si>
    <t>TCTCCTGCACCCTGG</t>
  </si>
  <si>
    <t>Zic42-ASO</t>
  </si>
  <si>
    <t>CTAATTAGACCCGGTG</t>
  </si>
  <si>
    <t>薬科大</t>
  </si>
  <si>
    <t>木澤・高木・布施</t>
  </si>
  <si>
    <t>ENA</t>
  </si>
  <si>
    <t>cEt</t>
  </si>
  <si>
    <t>scpBNA</t>
  </si>
  <si>
    <t>AmNA</t>
  </si>
  <si>
    <t>F</t>
  </si>
  <si>
    <t>PMO</t>
  </si>
  <si>
    <t>InvDNA</t>
  </si>
  <si>
    <t>PB</t>
  </si>
  <si>
    <t>si_as</t>
  </si>
  <si>
    <t>si_so</t>
  </si>
  <si>
    <t>確認済</t>
  </si>
  <si>
    <t>06-00-01</t>
  </si>
  <si>
    <t>06-00-02</t>
  </si>
  <si>
    <t>06-00-03</t>
  </si>
  <si>
    <t>06-00-04</t>
  </si>
  <si>
    <t>06-00-05</t>
  </si>
  <si>
    <t>06-00-06</t>
  </si>
  <si>
    <t>06-00-07</t>
  </si>
  <si>
    <t>06-00-08</t>
  </si>
  <si>
    <t>06-00-09</t>
  </si>
  <si>
    <t>06-00-0A</t>
  </si>
  <si>
    <t>06-00-0B</t>
  </si>
  <si>
    <t>06-00-0C</t>
  </si>
  <si>
    <t>06-00-0D</t>
  </si>
  <si>
    <t>06-00-0E</t>
  </si>
  <si>
    <t>06-00-0F</t>
  </si>
  <si>
    <t>06-00-0G</t>
  </si>
  <si>
    <t>06-00-0H</t>
  </si>
  <si>
    <t>06-00-0I</t>
  </si>
  <si>
    <t>06-00-0J</t>
  </si>
  <si>
    <t>06-00-0K</t>
  </si>
  <si>
    <t>06-00-0L</t>
  </si>
  <si>
    <t>06-00-0M</t>
  </si>
  <si>
    <t>06-00-0N</t>
  </si>
  <si>
    <t>06-00-0O</t>
  </si>
  <si>
    <t>06-00-0P</t>
  </si>
  <si>
    <t>06-00-0Q</t>
  </si>
  <si>
    <t>兼子さん資料より、</t>
  </si>
  <si>
    <t>兼子、岡本、布施</t>
  </si>
  <si>
    <t>ID</t>
  </si>
  <si>
    <t>SO</t>
    <phoneticPr fontId="1"/>
  </si>
  <si>
    <t>GFP5L-SO</t>
  </si>
  <si>
    <t>malat1-hm-SO</t>
  </si>
  <si>
    <t>Ren1-SO</t>
  </si>
  <si>
    <t>Ren5-SO</t>
  </si>
  <si>
    <t>YB1-ASO(ENA)</t>
  </si>
  <si>
    <t>YB1-SO</t>
  </si>
  <si>
    <t>Myd88-ASO(LNA)</t>
  </si>
  <si>
    <t>Myd88-ASO(ENA)</t>
  </si>
  <si>
    <t>Myd88-SO</t>
  </si>
  <si>
    <t>Zic42-SO</t>
  </si>
  <si>
    <t>Bace1-ASO(PB)</t>
  </si>
  <si>
    <t>Apob-SO</t>
  </si>
  <si>
    <t>malat1-SO(OMe-DNA-OMe,(3,3),PS0)</t>
  </si>
  <si>
    <t>malat1-SO(LNA-DNA-LNA,(3,3),PS0)</t>
  </si>
  <si>
    <t>malat1-SO(LNA-DNA-LNA,(2,2),PS0)</t>
  </si>
  <si>
    <t>malat1-SO(LNA-DNA-LNA,(1,1),PS0)</t>
  </si>
  <si>
    <t>malat1-SO(All-DNA,PS0)</t>
  </si>
  <si>
    <t>malat1-SO(MOE-DNA-MOE,(3,3),PS0)</t>
  </si>
  <si>
    <t>malat1-SO(LNA-RNA-LNA,(3,3),PS0)</t>
  </si>
  <si>
    <t>TAKC02-SO</t>
  </si>
  <si>
    <t>TS1-ASO(LNA)</t>
  </si>
  <si>
    <t>TS1-ASO(MOE)</t>
  </si>
  <si>
    <t>TS1-ASO(BNA-NC-Me)</t>
  </si>
  <si>
    <t>TS1-SO</t>
  </si>
  <si>
    <t>PTEN-SO</t>
  </si>
  <si>
    <t>MECP2-52-ASO</t>
  </si>
  <si>
    <t>AR-SO(3-10-3)</t>
  </si>
  <si>
    <t>AR-SO(4-9-3)</t>
  </si>
  <si>
    <t>記入者</t>
  </si>
  <si>
    <t>GAP(1)</t>
  </si>
  <si>
    <t>岡本</t>
  </si>
  <si>
    <t>GAP(2)</t>
  </si>
  <si>
    <t>GFP5L</t>
  </si>
  <si>
    <t>malat1-hm</t>
  </si>
  <si>
    <t>malat1</t>
  </si>
  <si>
    <t>Ren1</t>
  </si>
  <si>
    <t>Ren5</t>
  </si>
  <si>
    <t>YB1</t>
  </si>
  <si>
    <t>Myd88</t>
  </si>
  <si>
    <t>Zic42</t>
  </si>
  <si>
    <t>Bace1</t>
  </si>
  <si>
    <t>SYNGAP1-24</t>
  </si>
  <si>
    <t>AGAAATGGAGAGGGAGAG</t>
  </si>
  <si>
    <t>INGOT資料</t>
  </si>
  <si>
    <t>SYNGAP1-5</t>
  </si>
  <si>
    <t>si_01_si_aso</t>
  </si>
  <si>
    <t>si_01_si_so</t>
  </si>
  <si>
    <t>si_02_si_aso</t>
  </si>
  <si>
    <t>si_02_si_so</t>
  </si>
  <si>
    <t>Apob</t>
  </si>
  <si>
    <t>TAKC02</t>
  </si>
  <si>
    <t>gapdh-si-as</t>
  </si>
  <si>
    <t>TS1</t>
  </si>
  <si>
    <t>PTEN</t>
  </si>
  <si>
    <t>AR</t>
  </si>
  <si>
    <t>06-00-0R</t>
  </si>
  <si>
    <t>TCTACAGAAGCAAGGTGT</t>
  </si>
  <si>
    <t>06-00-0S</t>
  </si>
  <si>
    <t>GGCCAAACCAGGACATAT</t>
  </si>
  <si>
    <t>ID</t>
    <phoneticPr fontId="1"/>
  </si>
  <si>
    <t>GATGCCTCCCAGTT</t>
  </si>
  <si>
    <t>A(L)^mC(L)^mC(L)^G^A^C^C^T^T^C^A^C^C^A^T(L)^T(L)^T(L)</t>
  </si>
  <si>
    <t>G(L)^mC(L)^A(L)^T^T^C^T^A^A^T^A^G^C^A(L)^G(L)^mC(L)</t>
  </si>
  <si>
    <t>G(O)^C(O)^U(O)^gcuauuagaa^U(O)^G(O)^C(O)</t>
  </si>
  <si>
    <t>mC(L)^T(L)^A(L)^G^T^T^C^A^C^T^G^A^A^T(L)^G(L)^mC(L)</t>
  </si>
  <si>
    <t>G(O)^C(O)^A(O)^uucagugaac^U(O)^A(O)^G(O)</t>
  </si>
  <si>
    <t>G(L)^A(L)^G(L)^C^A^A^T^G^C^A^C^G^T^G^G(L)^G(L)^mC(L)</t>
  </si>
  <si>
    <t>G(O)^C(O)^C(O)^cacgugcauug^C(O)^U(O)^C(O)</t>
  </si>
  <si>
    <t>A(L)^mC(L)^mC(L)^T^T^A^A^A^T^C^C^T^T^mC(L)^T(L)^mC(L)</t>
  </si>
  <si>
    <t>G(O)^A(O)^G(O)^aaggauuuaa^G(O)^G(O)^U(O)</t>
  </si>
  <si>
    <t>G(E)^A(E)^T(E)^G^C^C^T^C^C^C^A^G(E)^T(E)^T(E)</t>
  </si>
  <si>
    <t>G(L)^A(L)^T(L)^G^C^C^T^C^C^C^A^G(L)^T(L)^T(L)</t>
  </si>
  <si>
    <t>A(O)^A(O)^C(O)^ugggaggc^A(O)^U(O)^C(O)</t>
  </si>
  <si>
    <t>mC(L)^T(L)^A(L)^A^T^T^A^G^A^C^C^C^G^G(L)^T(L)^G(L)</t>
  </si>
  <si>
    <t>C(O)^A(O)^C(O)^cgggucuaau^U(O)^A(O)^G(O)</t>
  </si>
  <si>
    <t>malat1-SO(OMe-DNA-OMe,(3,3),PS6)</t>
  </si>
  <si>
    <t>G(O)^C(O)^A(O)^TTCAGTGAAC^U(O)^A(O)^G(O)</t>
  </si>
  <si>
    <t>G(O)C(O)A(O)TTCAGTGAACU(O)A(O)G(O)</t>
  </si>
  <si>
    <t>G(L)mC(L)A(L)TTCAGTGAACT(L)A(L)G(L)</t>
  </si>
  <si>
    <t>G(L)mC(L)ATTCAGTGAACTA(L)G(L)</t>
  </si>
  <si>
    <t>G(L)CATTCAGTGAACTAG(L)</t>
  </si>
  <si>
    <t>GCATTCAGTGAACTAG</t>
  </si>
  <si>
    <t>G(M)mC(M)A(M)TTCAGTGAACT(M)A(M)G(M)</t>
  </si>
  <si>
    <t>G(L)mC(L)A(L)uucagugaacT(L)A(L)G(L)</t>
  </si>
  <si>
    <t>G(E)^mC(E)^G^G^A^T^A^C^T^A^C^A^G^C^T(E)^T(E)</t>
  </si>
  <si>
    <t>A(O)^A(O)^gcuguaguaucc^G(O)^C(O)</t>
  </si>
  <si>
    <t>T(L)^mC(L)^A^T^G^G^C^T^G^C^A^G^mC(L)^T(L)</t>
  </si>
  <si>
    <t>A(O)^G(O)^cugcagccau^G(O)^A(O)</t>
  </si>
  <si>
    <t>MECP2-33-ASO</t>
  </si>
  <si>
    <t>T(M)*mC(M)*T(M)*A(M)*mC(M)*A(M)*G(M)*A(M)*A(M)*G(M)*mC(M)*A(M)*A(M)*G(M)*G(M)*T(M)*G(M)*T(M)</t>
  </si>
  <si>
    <t>G(M)*G(M)*mC(M)*mC(M)*A(M)*A(M)*A(M)*mC(M)*mC(M)*A(M)*G(M)*G(M)*A(M)*mC(M)*A(M)*T(M)*A(M)*T(M)</t>
  </si>
  <si>
    <t>AR-ASO(3-9-3-1)</t>
  </si>
  <si>
    <t>G(O)^C(O)^A(O)^A(O)^ccauuaaau^C(O)^A(O)^A(O)</t>
  </si>
  <si>
    <t>G(O)^C(O)^A(O)^accauuaaau^C(O)^A(O)^A(O)</t>
  </si>
  <si>
    <t>num</t>
    <phoneticPr fontId="1"/>
  </si>
  <si>
    <t>name</t>
    <phoneticPr fontId="1"/>
  </si>
  <si>
    <t>sequence_ns</t>
    <phoneticPr fontId="1"/>
  </si>
  <si>
    <t>確認者</t>
    <rPh sb="0" eb="3">
      <t>カクニンシャ</t>
    </rPh>
    <phoneticPr fontId="1"/>
  </si>
  <si>
    <t>確認日</t>
    <rPh sb="0" eb="2">
      <t>カクニン</t>
    </rPh>
    <rPh sb="2" eb="3">
      <t>ビ</t>
    </rPh>
    <phoneticPr fontId="1"/>
  </si>
  <si>
    <t>gcuguuagagaagauaggaTT</t>
  </si>
  <si>
    <t>cuaccaagcuuuauccacaTT</t>
  </si>
  <si>
    <t>06-00-0T</t>
  </si>
  <si>
    <t>T16</t>
  </si>
  <si>
    <t>TTTTTTTTTTTTTTTT</t>
  </si>
  <si>
    <t>自明</t>
  </si>
  <si>
    <t>植原</t>
  </si>
  <si>
    <t>T16(PS)</t>
  </si>
  <si>
    <t>T^T^T^T^T^T^T^T^T^T^T^T^T^T^T^T</t>
  </si>
  <si>
    <t>T16(PB)</t>
  </si>
  <si>
    <t>T*T*T*T*T*T*T*T*T*T*T*T*T*T*T*T</t>
  </si>
  <si>
    <t>植原</t>
    <rPh sb="0" eb="2">
      <t>ウエハラ</t>
    </rPh>
    <phoneticPr fontId="1"/>
  </si>
  <si>
    <t>A(L)^G(L)^mC(L)^A^C^C^A^G^T^G^G^A^T^G^C^A(L)^G(L)^G(L)</t>
  </si>
  <si>
    <t>mC(L)^G(L)^G(L)^T^G^G^T^G^C^A^G^A^T^G(L)^A(L)^A(L)</t>
  </si>
  <si>
    <t>U(O)^U(O)^C(O)^aucugcacca^C(O)^C(O)^G(O)</t>
  </si>
  <si>
    <t>C(O)^C(O)^A(O)^G(O)^ggugcagg^A(O)^G(O)^A(O)</t>
  </si>
  <si>
    <t>G(L)^T(L)^A^T^T^G^C^T^G^A^G(L)^G(L)^A(L)</t>
  </si>
  <si>
    <t>G(L)*T(L)*A*T*T*G*C*T*G*A*G(L)*G(L)*A(L)</t>
  </si>
  <si>
    <t>G(L)^mC(L)^A^T^T^G^G^T^A^T^T(L)^mC(L)^A(L)</t>
  </si>
  <si>
    <t>U(O)^G(O)^A(O)^auaccaau^G(O)^C(O)</t>
  </si>
  <si>
    <t>G(L)^T(L)^T(L)^A^T^G^C^C^A^C^C^mC(L)^T(L)^A(L)</t>
  </si>
  <si>
    <t>G(M)^T(M)^T(M)^A^T^G^C^C^A^C^C^mC(M)^T(M)^A(M)</t>
  </si>
  <si>
    <t>G(BN-Me)^T(BN-Me)^T(BN-Me)^A^T^G^C^C^A^C^C^mC(BN-Me)^T(BN-Me)^A(BN-Me)</t>
  </si>
  <si>
    <t>U(O)^A(O)^G(O)^gguggcau^A(O)^A(O)^C(O)</t>
  </si>
  <si>
    <t>U(O)^G(O)^A(O)^ATACCAAT^G(O)^C(O)</t>
  </si>
  <si>
    <t>T(L)G(L)A(L)ATACCAATG(L)mC(L)</t>
  </si>
  <si>
    <t>U(O)G(O)A(O)ATACCAATG(O)C(O)</t>
  </si>
  <si>
    <t>06-00-0U</t>
  </si>
  <si>
    <t>BCL2</t>
  </si>
  <si>
    <t>CTCCCAGCGTGCGCCA</t>
  </si>
  <si>
    <t>BCL2-ASO</t>
  </si>
  <si>
    <t>mC(L)^T(L)^C^C^C^A^G^C^G^T^G^C^G^C^mC(L)^A(L)</t>
  </si>
  <si>
    <t>BCL2-SO</t>
  </si>
  <si>
    <t>U(O)^G(O)^gcgcacgcuggg^A(O)^G(O)</t>
  </si>
  <si>
    <t>06-00-0V</t>
  </si>
  <si>
    <t>PTEN(20mer)</t>
  </si>
  <si>
    <t>CTGCTAGCCTCTGGATTTGA</t>
  </si>
  <si>
    <t>mC(M)^T(M)^G(M)^mC(M)^T(M)^A^G^C^C^T^C^T^G^G^A^T(M)^T(M)^T(M)^G(M)^A(M)</t>
  </si>
  <si>
    <t>U(O)^C(O)^A(O)^A(O)^A(O)^uccagaggcu^A(O)^G(O)^C(O)^A(O)^G(O)</t>
  </si>
  <si>
    <t>Apob-SO(OMe-DNA-OMe,PS5)</t>
  </si>
  <si>
    <t>Apob-SO(LNA-DNA-LNA,PS0)</t>
  </si>
  <si>
    <t>Apob-SOOMe-DNA-OMe,PS0)</t>
  </si>
  <si>
    <t>PTEN-ASO(MOE20mer)</t>
  </si>
  <si>
    <t>PTEN-SO(20mer)</t>
  </si>
  <si>
    <t>PTEN-SO(All-RNA20mer)</t>
  </si>
  <si>
    <t>ucaaauccagaggcuagcag</t>
  </si>
  <si>
    <t>MECP2-33-ASO(PS)</t>
  </si>
  <si>
    <t>T(M)^mC(M)^T(M)^A(M)^mC(M)^A(M)^G(M)^A(M)^A(M)^G(M)^mC(M)^A(M)^A(M)^G(M)^G(M)^T(M)^G(M)^T(M)</t>
  </si>
  <si>
    <t>MECP2-52-ASO(PS)</t>
  </si>
  <si>
    <t>G(M)^G(M)^mC(M)^mC(M)^A(M)^A(M)^A(M)^mC(M)^mC(M)^A(M)^G(M)^G(M)^A(M)^mC(M)^A(M)^T(M)^A(M)^T(M)</t>
  </si>
  <si>
    <t>MECP2-33-SO</t>
  </si>
  <si>
    <t>A(M)^mC(M)^A(M)^mC(M)^mC(M)^T(M)^T(M)^G(M)^mC(M)^T(M)^T(M)^mC(M)^T(M)^G(M)^T(M)^A(M)^G(M)^A(M)</t>
  </si>
  <si>
    <t>MECP2-52-SO</t>
  </si>
  <si>
    <t>A(M)^T(M)^A(M)^T(M)^G(M)^T(M)^mC(M)^mC(M)^T(M)^G(M)^G(M)^T(M)^T(M)^T(M)^G(M)^G(M)^mC(M)^mC(M)</t>
  </si>
  <si>
    <t>06-00-0W</t>
  </si>
  <si>
    <t>GFP_original</t>
  </si>
  <si>
    <t>TTGCCGGTGGTGCAGATAAA</t>
  </si>
  <si>
    <t>06-00-0X</t>
  </si>
  <si>
    <t>GFP_L3</t>
  </si>
  <si>
    <t>GCCGGTGGTGCAGATA</t>
  </si>
  <si>
    <t>06-00-0Y</t>
  </si>
  <si>
    <t>GFP_L4</t>
  </si>
  <si>
    <t>CCGGTGGTGCAGATAA</t>
  </si>
  <si>
    <t>06-00-0Z</t>
  </si>
  <si>
    <t>GFP_L5</t>
  </si>
  <si>
    <t>CGGTGGTGCAGATAAA</t>
  </si>
  <si>
    <t>U(O)^U(O)^G(O)^C(O)^C(O)^G^G^T^G^G^T^G^C^A^G^A(O)^U(O)^A(O)^A(O)^A(O)</t>
  </si>
  <si>
    <t>T(M)^T(M)^G(M)^mC(M)^mC(M)^G^G^T^G^G^T^G^C^A^G^A(M)^T(M)^A(M)^A(M)^A(M)</t>
  </si>
  <si>
    <t>G(L)^mC(L)^mC(L)^G^G^T^G^G^T^G^C^A^G^A(L)^T(L)^A(L)</t>
  </si>
  <si>
    <t>mC(L)^mC(L)^G(L)^G^T^G^G^T^G^C^A^G^A^T(L)^A(L)^A(L)</t>
  </si>
  <si>
    <t>mC(L)^G(L)^G(L)^T^G^G^T^G^C^A^G^A^T^A(L)^A(L)^A(L)</t>
  </si>
  <si>
    <t>malat1(626112)</t>
  </si>
  <si>
    <t>malat1(399462)</t>
  </si>
  <si>
    <t>06-00-10</t>
  </si>
  <si>
    <t>malat1(395251)</t>
  </si>
  <si>
    <t>CCAGGCTGGTTATGACTCAG</t>
  </si>
  <si>
    <t>https://doi.org/10.1016/j.omtn.2023.03.017</t>
  </si>
  <si>
    <t>06-00-11</t>
  </si>
  <si>
    <t>malat1(18mer)</t>
  </si>
  <si>
    <t>CGGTGCAAGGCTTAGGAA</t>
  </si>
  <si>
    <t>mC(M)^mC(M)^A(M)^G(M)^G(M)^C^T^G^G^T^T^A^T^G^A^mC(M)^T(M)^mC(M)^A(M)^G(M)</t>
  </si>
  <si>
    <t>C(O)^U(O)^G(O)^A(O)^G(O)^ucauaaccag^C(O)^C(O)^U(O)^G(O)^G(O)</t>
  </si>
  <si>
    <t>T(E)^mC(E)^T(E)^C^C^T^G^C^A^C^C^mC(E)^T(E)^G(E)^G</t>
  </si>
  <si>
    <t>T(L)^mC(L)^T(L)^C^C^T^G^C^A^C^C^mC(L)^T(L)^G(L)^G</t>
  </si>
  <si>
    <t>uccuaucuucucuaacagcTT</t>
  </si>
  <si>
    <t>uguggauaaagcuugguagTT</t>
  </si>
  <si>
    <t>G(F)G(O)C(F)A(O)U(F)U(O)G(F)C(O)U(F)C(F)U(F)C(O)A(F)A(O)U(F)G(O)A(F)C(O)A(F)A(O)U(F)</t>
  </si>
  <si>
    <t>A(O)U(F)U(O)G(F)U(O)C(F)A(O)U(F)U(O)G(F)A(O)G(O)A(O)G(F)C(O)A(F)A(O)U(F)G(O)C(F)C(O)^A(F)^G(O)</t>
  </si>
  <si>
    <t>T(L)^T(L)^G(L)^A^T^T^T^A^A^T^G^G^T(L)^T(L)^G(L)^mC(M)</t>
  </si>
  <si>
    <t>note(sequence)</t>
    <phoneticPr fontId="1"/>
  </si>
  <si>
    <t>note(modification)</t>
    <phoneticPr fontId="1"/>
  </si>
  <si>
    <t>gap-dh</t>
    <phoneticPr fontId="1"/>
  </si>
  <si>
    <t>LNA16mer(3-10-3)</t>
    <phoneticPr fontId="1"/>
  </si>
  <si>
    <t>StandardSO16mer(3-10-3)</t>
    <phoneticPr fontId="1"/>
  </si>
  <si>
    <t>Malat1-Mouse Standard ASO</t>
    <phoneticPr fontId="1"/>
  </si>
  <si>
    <t>Malat1-hm-sequence SO</t>
    <phoneticPr fontId="1"/>
  </si>
  <si>
    <t>Malat1-Mouse Standard SO</t>
    <phoneticPr fontId="1"/>
  </si>
  <si>
    <t>Malat1-hm-sequence ASO</t>
    <phoneticPr fontId="1"/>
  </si>
  <si>
    <t>GFP16mer(ミスマッチ）</t>
    <phoneticPr fontId="1"/>
  </si>
  <si>
    <t>basesequence-ID</t>
    <phoneticPr fontId="1"/>
  </si>
  <si>
    <t>basesequence</t>
    <phoneticPr fontId="1"/>
  </si>
  <si>
    <t>LNA17mer(3-11-3)</t>
    <phoneticPr fontId="1"/>
  </si>
  <si>
    <t>LNA18mer(3-12-3)</t>
    <phoneticPr fontId="1"/>
  </si>
  <si>
    <t>ENA15mer(3-8-3-1)</t>
    <phoneticPr fontId="1"/>
  </si>
  <si>
    <t>LNA15mer(3-8-3-1)</t>
    <phoneticPr fontId="1"/>
  </si>
  <si>
    <t>LNA14mer(3-8-3)</t>
    <phoneticPr fontId="1"/>
  </si>
  <si>
    <t>ENA14mer(3-8-3)</t>
    <phoneticPr fontId="1"/>
  </si>
  <si>
    <t>StandardSO15mer(3-8-3)</t>
    <phoneticPr fontId="1"/>
  </si>
  <si>
    <t>StandardSO15mer(4-8-3)</t>
    <phoneticPr fontId="1"/>
  </si>
  <si>
    <t>東京薬科大共研用配列 ASO</t>
    <rPh sb="0" eb="2">
      <t>トウキョウ</t>
    </rPh>
    <rPh sb="2" eb="5">
      <t>ヤッカダイ</t>
    </rPh>
    <rPh sb="5" eb="7">
      <t>キョウケン</t>
    </rPh>
    <rPh sb="7" eb="8">
      <t>ヨウ</t>
    </rPh>
    <rPh sb="8" eb="10">
      <t>ハイレツ</t>
    </rPh>
    <phoneticPr fontId="1"/>
  </si>
  <si>
    <t>東京薬科大共研用配列 SO</t>
    <rPh sb="0" eb="2">
      <t>トウキョウ</t>
    </rPh>
    <rPh sb="2" eb="5">
      <t>ヤッカダイ</t>
    </rPh>
    <rPh sb="5" eb="7">
      <t>キョウケン</t>
    </rPh>
    <rPh sb="7" eb="8">
      <t>ヨウ</t>
    </rPh>
    <rPh sb="8" eb="10">
      <t>ハイレツ</t>
    </rPh>
    <phoneticPr fontId="1"/>
  </si>
  <si>
    <t>INGOT目的配列1 ASO</t>
    <rPh sb="5" eb="7">
      <t>モクテキ</t>
    </rPh>
    <rPh sb="7" eb="9">
      <t>ハイレツ</t>
    </rPh>
    <phoneticPr fontId="1"/>
  </si>
  <si>
    <t>INGOT目的配列1 ASO PB</t>
    <rPh sb="5" eb="7">
      <t>モクテキ</t>
    </rPh>
    <rPh sb="7" eb="9">
      <t>ハイレツ</t>
    </rPh>
    <phoneticPr fontId="1"/>
  </si>
  <si>
    <t>LNA13mer(2-8-3)</t>
    <phoneticPr fontId="1"/>
  </si>
  <si>
    <t>LNA13mer(2-8-3)PB</t>
    <phoneticPr fontId="1"/>
  </si>
  <si>
    <t>siRNA検討用配列</t>
    <rPh sb="5" eb="7">
      <t>ケントウ</t>
    </rPh>
    <rPh sb="7" eb="8">
      <t>ヨウ</t>
    </rPh>
    <rPh sb="8" eb="10">
      <t>ハイレツ</t>
    </rPh>
    <phoneticPr fontId="1"/>
  </si>
  <si>
    <t>fullRNA-TT 21mer</t>
    <phoneticPr fontId="1"/>
  </si>
  <si>
    <t>ApoB Standard ASO</t>
    <phoneticPr fontId="1"/>
  </si>
  <si>
    <t>StandardSO13mer(3-8-2)</t>
    <phoneticPr fontId="1"/>
  </si>
  <si>
    <t>ApoB 相補鎖修飾検討用</t>
    <rPh sb="5" eb="8">
      <t>ソウホサ</t>
    </rPh>
    <rPh sb="8" eb="10">
      <t>シュウショク</t>
    </rPh>
    <rPh sb="10" eb="12">
      <t>ケントウ</t>
    </rPh>
    <rPh sb="12" eb="13">
      <t>ヨウ</t>
    </rPh>
    <phoneticPr fontId="1"/>
  </si>
  <si>
    <t>SO OMe-DNA-OMe(3-8-2)PS有</t>
    <rPh sb="23" eb="24">
      <t>ア</t>
    </rPh>
    <phoneticPr fontId="1"/>
  </si>
  <si>
    <t>SO OMe-DNA-OMe(3-8-2)PS無</t>
    <rPh sb="23" eb="24">
      <t>ナ</t>
    </rPh>
    <phoneticPr fontId="1"/>
  </si>
  <si>
    <t>SO LNA-DNA-LNA(3-8-2)PS無</t>
    <rPh sb="23" eb="24">
      <t>ナ</t>
    </rPh>
    <phoneticPr fontId="1"/>
  </si>
  <si>
    <t>malat1 standard 相補鎖修飾検討用</t>
    <phoneticPr fontId="1"/>
  </si>
  <si>
    <t>SO OMe-DNA-OMe(3-10-3)PS有</t>
    <rPh sb="24" eb="25">
      <t>ア</t>
    </rPh>
    <phoneticPr fontId="1"/>
  </si>
  <si>
    <t>SO OMe-DNA-OMe(3-10-3)PS無</t>
    <rPh sb="24" eb="25">
      <t>ナ</t>
    </rPh>
    <phoneticPr fontId="1"/>
  </si>
  <si>
    <t>SO LNA-DNA-LNA(3-10-3)PS無</t>
    <rPh sb="24" eb="25">
      <t>ナ</t>
    </rPh>
    <phoneticPr fontId="1"/>
  </si>
  <si>
    <t>SO LNA-DNA-LNA(2-12-2)PS無</t>
    <phoneticPr fontId="1"/>
  </si>
  <si>
    <t>SO LNA-DNA-LNA(1-14-1)PS無</t>
    <phoneticPr fontId="1"/>
  </si>
  <si>
    <t>SO Full-DNA PS無</t>
    <phoneticPr fontId="1"/>
  </si>
  <si>
    <t>SO LNA-RNA-LNA(3-10-3)PS無</t>
    <rPh sb="24" eb="25">
      <t>ナ</t>
    </rPh>
    <phoneticPr fontId="1"/>
  </si>
  <si>
    <t>SO MOE-RNA-MOE(3-10-3)PS無</t>
    <rPh sb="24" eb="25">
      <t>ナ</t>
    </rPh>
    <phoneticPr fontId="1"/>
  </si>
  <si>
    <t>ENA16mer(2-12-2)</t>
    <phoneticPr fontId="1"/>
  </si>
  <si>
    <t>TAKC-02 ASO</t>
    <phoneticPr fontId="1"/>
  </si>
  <si>
    <t>TAKC-02 SO</t>
    <phoneticPr fontId="1"/>
  </si>
  <si>
    <t>ApoB Standard SO</t>
    <phoneticPr fontId="1"/>
  </si>
  <si>
    <t>毒性評価用配列(LNA) ASO</t>
    <rPh sb="0" eb="2">
      <t>ドクセイ</t>
    </rPh>
    <rPh sb="2" eb="4">
      <t>ヒョウカ</t>
    </rPh>
    <rPh sb="4" eb="5">
      <t>ヨウ</t>
    </rPh>
    <rPh sb="5" eb="7">
      <t>ハイレツ</t>
    </rPh>
    <phoneticPr fontId="1"/>
  </si>
  <si>
    <t>毒性評価用配列(ENA) ASO</t>
    <rPh sb="0" eb="2">
      <t>ドクセイ</t>
    </rPh>
    <rPh sb="2" eb="4">
      <t>ヒョウカ</t>
    </rPh>
    <rPh sb="4" eb="5">
      <t>ヨウ</t>
    </rPh>
    <rPh sb="5" eb="7">
      <t>ハイレツ</t>
    </rPh>
    <phoneticPr fontId="1"/>
  </si>
  <si>
    <t>毒性評価用配列相補鎖 SO</t>
    <rPh sb="0" eb="2">
      <t>ドクセイ</t>
    </rPh>
    <rPh sb="2" eb="4">
      <t>ヒョウカ</t>
    </rPh>
    <rPh sb="4" eb="5">
      <t>ヨウ</t>
    </rPh>
    <rPh sb="5" eb="7">
      <t>ハイレツ</t>
    </rPh>
    <rPh sb="7" eb="10">
      <t>ソウホサ</t>
    </rPh>
    <phoneticPr fontId="1"/>
  </si>
  <si>
    <t>gap-dh siRNA</t>
    <phoneticPr fontId="1"/>
  </si>
  <si>
    <t>毒性評価用 non-target SO</t>
    <rPh sb="0" eb="2">
      <t>ドクセイ</t>
    </rPh>
    <rPh sb="2" eb="5">
      <t>ヒョウカヨウ</t>
    </rPh>
    <phoneticPr fontId="1"/>
  </si>
  <si>
    <t>毒性評価用 non-target(LNA)ASO</t>
    <rPh sb="0" eb="2">
      <t>ドクセイ</t>
    </rPh>
    <rPh sb="2" eb="5">
      <t>ヒョウカヨウ</t>
    </rPh>
    <phoneticPr fontId="1"/>
  </si>
  <si>
    <t>毒性評価用 non-target(BNA)ASO</t>
    <rPh sb="0" eb="2">
      <t>ドクセイ</t>
    </rPh>
    <rPh sb="2" eb="5">
      <t>ヒョウカヨウ</t>
    </rPh>
    <phoneticPr fontId="1"/>
  </si>
  <si>
    <t>毒性評価用 non-target(ENA)ASO</t>
    <rPh sb="0" eb="2">
      <t>ドクセイ</t>
    </rPh>
    <rPh sb="2" eb="5">
      <t>ヒョウカヨウ</t>
    </rPh>
    <phoneticPr fontId="1"/>
  </si>
  <si>
    <t>BNA14mer(3-8-3)</t>
    <phoneticPr fontId="1"/>
  </si>
  <si>
    <t>StandardSO14mer(3-8-3)</t>
    <phoneticPr fontId="1"/>
  </si>
  <si>
    <t>basesequence登録状況</t>
    <rPh sb="12" eb="14">
      <t>トウロク</t>
    </rPh>
    <rPh sb="14" eb="16">
      <t>ジョウキョウ</t>
    </rPh>
    <phoneticPr fontId="1"/>
  </si>
  <si>
    <t>basesequence情報</t>
    <rPh sb="12" eb="14">
      <t>ジョウホウ</t>
    </rPh>
    <phoneticPr fontId="1"/>
  </si>
  <si>
    <t>LNA14mer(2-10-2)</t>
    <phoneticPr fontId="1"/>
  </si>
  <si>
    <t>StandardSO14mer(2-10-2)</t>
    <phoneticPr fontId="1"/>
  </si>
  <si>
    <t>PTEN standard ASO</t>
    <phoneticPr fontId="1"/>
  </si>
  <si>
    <t>PTEN standard SO</t>
    <phoneticPr fontId="1"/>
  </si>
  <si>
    <t>FullMOE 18mer</t>
    <phoneticPr fontId="1"/>
  </si>
  <si>
    <t>FullMOE PB 18mer</t>
    <phoneticPr fontId="1"/>
  </si>
  <si>
    <t>INGOT標的配列2 ASO</t>
    <rPh sb="5" eb="7">
      <t>ヒョウテキ</t>
    </rPh>
    <rPh sb="7" eb="9">
      <t>ハイレツ</t>
    </rPh>
    <phoneticPr fontId="1"/>
  </si>
  <si>
    <t>INGOT標的配列3 ASO</t>
    <rPh sb="5" eb="7">
      <t>ヒョウテキ</t>
    </rPh>
    <rPh sb="7" eb="9">
      <t>ハイレツ</t>
    </rPh>
    <phoneticPr fontId="1"/>
  </si>
  <si>
    <t>INGOT標的配列2 ASO PS</t>
    <rPh sb="5" eb="7">
      <t>ヒョウテキ</t>
    </rPh>
    <rPh sb="7" eb="9">
      <t>ハイレツ</t>
    </rPh>
    <phoneticPr fontId="1"/>
  </si>
  <si>
    <t>INGOT標的配列3 ASO PS</t>
    <rPh sb="5" eb="7">
      <t>ヒョウテキ</t>
    </rPh>
    <rPh sb="7" eb="9">
      <t>ハイレツ</t>
    </rPh>
    <phoneticPr fontId="1"/>
  </si>
  <si>
    <t>INGOT標的配列2 SO</t>
    <phoneticPr fontId="1"/>
  </si>
  <si>
    <t>INGOT標的配列3 SO</t>
    <phoneticPr fontId="1"/>
  </si>
  <si>
    <t>Standard SO 18mer(3-12-3)</t>
    <phoneticPr fontId="1"/>
  </si>
  <si>
    <t>GFP 20mer 基配列</t>
    <rPh sb="10" eb="11">
      <t>モト</t>
    </rPh>
    <rPh sb="11" eb="13">
      <t>ハイレツ</t>
    </rPh>
    <phoneticPr fontId="1"/>
  </si>
  <si>
    <t>GFP 20mer (MOE)</t>
    <phoneticPr fontId="1"/>
  </si>
  <si>
    <t>GFP 16mer 20-&gt;16 (LNA)-3</t>
    <phoneticPr fontId="1"/>
  </si>
  <si>
    <t>OMe20mer(5-10-5)</t>
    <phoneticPr fontId="1"/>
  </si>
  <si>
    <t>MOE20mer(5-10-5)</t>
    <phoneticPr fontId="1"/>
  </si>
  <si>
    <t>StandardSO20mer(5-10-5)</t>
    <phoneticPr fontId="1"/>
  </si>
  <si>
    <t>Malat1 MOE20mer SO ionis-id395251</t>
    <phoneticPr fontId="1"/>
  </si>
  <si>
    <t>Malat1 MOE20mer ASO  ionis-id395251</t>
    <phoneticPr fontId="1"/>
  </si>
  <si>
    <t>岡本、中村</t>
    <rPh sb="0" eb="2">
      <t>オカモト</t>
    </rPh>
    <rPh sb="3" eb="5">
      <t>ナカムラ</t>
    </rPh>
    <phoneticPr fontId="1"/>
  </si>
  <si>
    <t>岡本、田浦</t>
    <rPh sb="0" eb="2">
      <t>オカモト</t>
    </rPh>
    <rPh sb="3" eb="5">
      <t>タウラ</t>
    </rPh>
    <phoneticPr fontId="1"/>
  </si>
  <si>
    <t>StandardSO(2-12-2)</t>
    <phoneticPr fontId="1"/>
  </si>
  <si>
    <t>LNA16mer(2-12-2)</t>
    <phoneticPr fontId="1"/>
  </si>
  <si>
    <t>MOE 20mer(5-10-5)</t>
    <phoneticPr fontId="1"/>
  </si>
  <si>
    <t>StandardSO(5-10-5)</t>
    <phoneticPr fontId="1"/>
  </si>
  <si>
    <t>SO Full-RNA</t>
    <phoneticPr fontId="1"/>
  </si>
  <si>
    <t>FPアッセイ用 PTEN SO</t>
    <rPh sb="6" eb="7">
      <t>ヨウ</t>
    </rPh>
    <phoneticPr fontId="1"/>
  </si>
  <si>
    <t>FPアッセイ用 PTEN MOE ASO</t>
    <rPh sb="6" eb="7">
      <t>ヨウ</t>
    </rPh>
    <phoneticPr fontId="1"/>
  </si>
  <si>
    <t>AR ASO</t>
    <phoneticPr fontId="1"/>
  </si>
  <si>
    <t>AR SO</t>
    <phoneticPr fontId="1"/>
  </si>
  <si>
    <t>AR LNA15+MOE1mer(3-9-3-1)</t>
    <phoneticPr fontId="1"/>
  </si>
  <si>
    <t>StandardSO16mer(4-9-3)</t>
    <phoneticPr fontId="1"/>
  </si>
  <si>
    <t>FullDNA-T</t>
    <phoneticPr fontId="1"/>
  </si>
  <si>
    <t>FullDNA-T PB</t>
    <phoneticPr fontId="1"/>
  </si>
  <si>
    <t>GFP-ASO(OMe20mer)</t>
    <phoneticPr fontId="1"/>
  </si>
  <si>
    <t>GFP-ASO((MOE20mer)</t>
    <phoneticPr fontId="1"/>
  </si>
  <si>
    <t>GFPL3-ASO((LNA16mer)</t>
    <phoneticPr fontId="1"/>
  </si>
  <si>
    <t>GFPL4-ASO((LNA16mer)</t>
    <phoneticPr fontId="1"/>
  </si>
  <si>
    <t>GFPL5-ASO((LNA16mer)</t>
    <phoneticPr fontId="1"/>
  </si>
  <si>
    <t>si_01-SO</t>
    <phoneticPr fontId="1"/>
  </si>
  <si>
    <t>si_01-ASO</t>
    <phoneticPr fontId="1"/>
  </si>
  <si>
    <t>si_02-ASO</t>
    <phoneticPr fontId="1"/>
  </si>
  <si>
    <t>si_02-SO</t>
    <phoneticPr fontId="1"/>
  </si>
  <si>
    <t>gapdh-si-SO</t>
    <phoneticPr fontId="1"/>
  </si>
  <si>
    <t>gapdh-si-ASO</t>
    <phoneticPr fontId="1"/>
  </si>
  <si>
    <t>06-00-12</t>
  </si>
  <si>
    <t>Ifngr1_NM_010511 so</t>
  </si>
  <si>
    <t>TTAGCTAATACTAACATT</t>
  </si>
  <si>
    <t>06-00-13</t>
  </si>
  <si>
    <t>Ifngr1_NM_010511 ASO</t>
  </si>
  <si>
    <t>Ifngr1_NM_010511 ASO</t>
    <phoneticPr fontId="1"/>
  </si>
  <si>
    <t>Ifngr1_NM_010511 SO</t>
    <phoneticPr fontId="1"/>
  </si>
  <si>
    <t>manual</t>
    <phoneticPr fontId="1"/>
  </si>
  <si>
    <t>G(F)^U(O)U(O)A(O)G(F)U(O)A(O)U(O)U(O)A(O)G(O)C(O)^U(F)^A(O)^A(F)^U(O)^G(O)^U(O)^A(F)</t>
    <phoneticPr fontId="1"/>
  </si>
  <si>
    <t>U(O)^U(O)^A(O)G(F)C(O)U(F)A(O)A(F)U(O)A(F)C(O)U(O)A(O)A(F)^C(O)^A(O)TT</t>
    <phoneticPr fontId="1"/>
  </si>
  <si>
    <t>06-00-14</t>
  </si>
  <si>
    <t>TCTCCCAGCGTGCGCCAT</t>
  </si>
  <si>
    <t>布施、佐々木</t>
  </si>
  <si>
    <t>MOE18mer(4-10-4)</t>
    <phoneticPr fontId="1"/>
  </si>
  <si>
    <t>T(L)^mC(L)^T(L)^C^C^C^A^G^C^G^T^G^C^G^C^mC(L)^A(L)^T(L)</t>
    <phoneticPr fontId="1"/>
  </si>
  <si>
    <t>T(M)^mC(M)^T(M)^mC(M)^C^C^A^G^C^G^T^G^C^G^mC(M)^mC(M)^A(M)^T(M)</t>
  </si>
  <si>
    <t>布施、佐々木</t>
    <rPh sb="0" eb="2">
      <t>フセ</t>
    </rPh>
    <rPh sb="3" eb="6">
      <t>ササキ</t>
    </rPh>
    <phoneticPr fontId="1"/>
  </si>
  <si>
    <t>GTTAGTATTAGCTAATGTA</t>
  </si>
  <si>
    <t>06-00-15</t>
  </si>
  <si>
    <t>TTCATCTGCACCACCG</t>
  </si>
  <si>
    <t>06-00-16</t>
  </si>
  <si>
    <t>GCTGCTATTAGAATGC</t>
  </si>
  <si>
    <t>06-00-17</t>
  </si>
  <si>
    <t>06-00-18</t>
  </si>
  <si>
    <t>GCCCACGTGCATTGCTC</t>
  </si>
  <si>
    <t>06-00-19</t>
  </si>
  <si>
    <t>GAGAAGGATTTAAGGT</t>
  </si>
  <si>
    <t>06-00-1A</t>
  </si>
  <si>
    <t>CCAGGGTGCAGGAGA</t>
  </si>
  <si>
    <t>06-00-1B</t>
  </si>
  <si>
    <t>AACTGGGAGGCATC</t>
  </si>
  <si>
    <t>06-00-1C</t>
  </si>
  <si>
    <t>CACCGGGTCTAATTAG</t>
  </si>
  <si>
    <t>06-00-1D</t>
  </si>
  <si>
    <t>TGAATACCAATGC</t>
  </si>
  <si>
    <t>06-00-1E</t>
  </si>
  <si>
    <t>AAGCTGTAGTATCCGC</t>
  </si>
  <si>
    <t>06-00-1F</t>
  </si>
  <si>
    <t>TAGGGTGGCATAAC</t>
  </si>
  <si>
    <t>06-00-1G</t>
  </si>
  <si>
    <t>AGCTGCAGCCATGA</t>
  </si>
  <si>
    <t>06-00-1H</t>
  </si>
  <si>
    <t>AR-SO</t>
  </si>
  <si>
    <t>GCAACCATTAAATCAA</t>
  </si>
  <si>
    <t>06-00-1I</t>
  </si>
  <si>
    <t>TGGCGCACGCTGGGAG</t>
  </si>
  <si>
    <t>06-00-1J</t>
  </si>
  <si>
    <t>PTEN(20mer)-SO</t>
  </si>
  <si>
    <t>TCAAATCCAGAGGCTAGCAG</t>
  </si>
  <si>
    <t>06-00-1K</t>
  </si>
  <si>
    <t>ACACCTTGCTTCTGTAGA</t>
  </si>
  <si>
    <t>06-00-1L</t>
  </si>
  <si>
    <t>ATATGTCCTGGTTTGGCC</t>
  </si>
  <si>
    <t>06-00-1M</t>
  </si>
  <si>
    <t>CTGAGTCATAACCAGCCTGG</t>
  </si>
  <si>
    <t>malat1-hm-ASO</t>
    <phoneticPr fontId="1"/>
  </si>
  <si>
    <t>5rU-&gt;AminopropylU</t>
    <phoneticPr fontId="1"/>
  </si>
  <si>
    <t>9rU-&gt;AminopropylU</t>
    <phoneticPr fontId="1"/>
  </si>
  <si>
    <t>13rC-&gt;AminopropylC</t>
    <phoneticPr fontId="1"/>
  </si>
  <si>
    <t>06-00-1N</t>
  </si>
  <si>
    <t>Apob(intron)-ASO</t>
  </si>
  <si>
    <t>CATCCCACCACATAGC</t>
  </si>
  <si>
    <t>06-00-1O</t>
  </si>
  <si>
    <t>Apob(intron)-SO</t>
  </si>
  <si>
    <t>GCTATGTGGTGGGATG</t>
  </si>
  <si>
    <t>G(O)^C(O)^U(O)^augugguggg^A(O)^U(O)^G(O)</t>
  </si>
  <si>
    <t>mC(L)^A(L)^T(L)^C^C^C^A^C^C^A^C^A^T^A(L)^G(L)^mC(L)</t>
    <phoneticPr fontId="1"/>
  </si>
  <si>
    <t>G(O)^C(O)^A(O)^uU(AP)cagugaac^U(O)^A(O)^G(O)</t>
    <phoneticPr fontId="1"/>
  </si>
  <si>
    <t>G(O)^C(O)^A(O)^uucagugaaC(AP)^U(O)^A(O)^G(O)</t>
    <phoneticPr fontId="1"/>
  </si>
  <si>
    <t>G(O)^C(O)^A(O)^uucagU(AP)gaac^U(O)^A(O)^G(O)</t>
    <phoneticPr fontId="1"/>
  </si>
  <si>
    <t>malat1-SO-AP05</t>
    <phoneticPr fontId="1"/>
  </si>
  <si>
    <t>malat1-SO-AP09</t>
    <phoneticPr fontId="1"/>
  </si>
  <si>
    <t>malat1-SO-AP13</t>
    <phoneticPr fontId="1"/>
  </si>
  <si>
    <t>malat1-SO-AP05-DBCO</t>
    <phoneticPr fontId="1"/>
  </si>
  <si>
    <t>malat1-SO-AP09-DBCO</t>
    <phoneticPr fontId="1"/>
  </si>
  <si>
    <t>malat1-SO-AP13-DBCO</t>
    <phoneticPr fontId="1"/>
  </si>
  <si>
    <t>G(O)^C(O)^A(O)^uU(AP-DB)cagugaac^U(O)^A(O)^G(O)</t>
    <phoneticPr fontId="1"/>
  </si>
  <si>
    <t>G(O)^C(O)^A(O)^uucagU(AP-DB)gaac^U(O)^A(O)^G(O)</t>
    <phoneticPr fontId="1"/>
  </si>
  <si>
    <t>G(O)^C(O)^A(O)^uucagugaaC(AP-DB)^U(O)^A(O)^G(O)</t>
    <phoneticPr fontId="1"/>
  </si>
  <si>
    <t>06-00-1P</t>
  </si>
  <si>
    <t>T18mer</t>
  </si>
  <si>
    <t>TTTTTTTTTTTTTTTTTT</t>
  </si>
  <si>
    <t>06-00-1Q</t>
  </si>
  <si>
    <t>A18mer</t>
  </si>
  <si>
    <t>AAAAAAAAAAAAAAAAAA</t>
  </si>
  <si>
    <t>T(M)^T(M)^T(M)^T(M)^T(M)^T(M)^T(M)^T(M)^T(M)^T(M)^T(M)^T(M)^T(M)^T(M)^T(M)^T(M)^T(M)^T(M)</t>
  </si>
  <si>
    <t>T(M)T(M)T(M)T(M)T(M)T(M)T(M)T(M)T(M)T(M)T(M)T(M)T(M)T(M)T(M)T(M)T(M)T(M)</t>
  </si>
  <si>
    <t>aaaaaaaaaaaaaaaaaa</t>
  </si>
  <si>
    <t>acaccuugcuucuguaga</t>
  </si>
  <si>
    <t>A(O)^C(O)^A(O)^ccuugcuucugu^A(O)^G(O)^A(O)</t>
  </si>
  <si>
    <t>MOE-T18mer-ASO-PO</t>
    <phoneticPr fontId="1"/>
  </si>
  <si>
    <t>MOE-T18mer-ASO-PS</t>
    <phoneticPr fontId="1"/>
  </si>
  <si>
    <t>A18mer-SO</t>
    <phoneticPr fontId="1"/>
  </si>
  <si>
    <t>Mecp2-33-SO(All-RNA)</t>
    <phoneticPr fontId="1"/>
  </si>
  <si>
    <t>Mecp2-33-SO(3-12-3)</t>
    <phoneticPr fontId="1"/>
  </si>
  <si>
    <t>06-00-1R</t>
  </si>
  <si>
    <t>Bcl2(G3139)-SO</t>
  </si>
  <si>
    <t>ATGGCGCACGCTGGGAGA</t>
  </si>
  <si>
    <t>A(O)^U(O)^G(O)^gcgcacgcuggg^A(O)^G(O)^A(O)</t>
  </si>
  <si>
    <t>06-00-1S</t>
  </si>
  <si>
    <t>Cd40-ASO</t>
  </si>
  <si>
    <t>CAGATTTATTTAGCCA</t>
  </si>
  <si>
    <t>https://www.ncbi.nlm.nih.gov/pmc/articles/PMC9171263/</t>
  </si>
  <si>
    <t>06-00-1T</t>
  </si>
  <si>
    <t>Cd40-SO</t>
  </si>
  <si>
    <t>TGGCTAAATAAATCTG</t>
  </si>
  <si>
    <t>mC(L)^A(L)^G(L)^A^T^T^T^A^T^T^T^A^G^mC(L)^mC(L)^A(L)</t>
    <phoneticPr fontId="1"/>
  </si>
  <si>
    <t>U(O)^G(O)^G(O)^cuaaauaaau^C(O)^U(O)^G(O)</t>
    <phoneticPr fontId="1"/>
  </si>
  <si>
    <t>06-00-1U</t>
  </si>
  <si>
    <t>Cd40-hm-ASO</t>
  </si>
  <si>
    <t>06-00-1V</t>
  </si>
  <si>
    <t>Cd40-hm-SO</t>
  </si>
  <si>
    <t>TTGGAGAAGAAGCCGACTGG</t>
  </si>
  <si>
    <t>CCAGTCGGCTTCTTCTCCAA</t>
  </si>
  <si>
    <t>T(M)^T(M)^G(M)^G(M)^A(M)^G^A^A^G^A^A^G^C^C^G^A(M)^mC(M)^T(M)^G(M)^G(M)</t>
  </si>
  <si>
    <t>C(O)^C(O)^A(O)^G(O)^U(O)^cggcuucuuc^U(O)^C(O)^C(O)^A(O)^A(O)</t>
  </si>
  <si>
    <t>Bcl2(G3139)-ASO</t>
  </si>
  <si>
    <t>Bcl2(G3139)-ASO(LNA)</t>
    <phoneticPr fontId="1"/>
  </si>
  <si>
    <t>Bcl2(G3139)-ASO(MOE)</t>
    <phoneticPr fontId="1"/>
  </si>
  <si>
    <t>malat1-SO[05B-FPP]</t>
    <phoneticPr fontId="1"/>
  </si>
  <si>
    <t>malat1-SO[09B-FPP]</t>
    <phoneticPr fontId="1"/>
  </si>
  <si>
    <t>malat1-SO[13B-FPP]</t>
    <phoneticPr fontId="1"/>
  </si>
  <si>
    <t>G(O)^C(O)^A(O)^u(AP-FPP)ucagugaac^U(O)^A(O)^G(O)</t>
    <phoneticPr fontId="1"/>
  </si>
  <si>
    <t>G(O)^C(O)^A(O)^uucagu(AP-FPP)gaac^U(O)^A(O)^G(O)</t>
    <phoneticPr fontId="1"/>
  </si>
  <si>
    <t>G(O)^C(O)^A(O)^uucagugaac(AP-FPP)^U(O)^A(O)^G(O)</t>
    <phoneticPr fontId="1"/>
  </si>
  <si>
    <t>malat1-SO[05S-FPP]</t>
    <phoneticPr fontId="1"/>
  </si>
  <si>
    <t>malat1-SO[09S-FPP]</t>
    <phoneticPr fontId="1"/>
  </si>
  <si>
    <t>malat1-SO[13S-FPP]</t>
    <phoneticPr fontId="1"/>
  </si>
  <si>
    <t>PO-Mecp2-33</t>
    <phoneticPr fontId="1"/>
  </si>
  <si>
    <t>06-00-0R</t>
    <phoneticPr fontId="1"/>
  </si>
  <si>
    <t>T(M)mC(M)T(M)A(M)mC(M)A(M)G(M)A(M)A(M)G(M)mC(M)A(M)A(M)G(M)G(M)T(M)G(M)T(M)</t>
  </si>
  <si>
    <t>布施</t>
    <rPh sb="0" eb="2">
      <t>フセ</t>
    </rPh>
    <phoneticPr fontId="1"/>
  </si>
  <si>
    <t>06-00-1W</t>
  </si>
  <si>
    <t>Cd40-ASO 31</t>
  </si>
  <si>
    <t>GAGGCAGACGAACCAT</t>
  </si>
  <si>
    <t>06-00-1X</t>
  </si>
  <si>
    <t>Cd40-ASO 36</t>
  </si>
  <si>
    <t>CTGCAGAGGCAGACGA</t>
  </si>
  <si>
    <t>06-00-1Y</t>
  </si>
  <si>
    <t>Cd40-ASO 41</t>
  </si>
  <si>
    <t>ACGCACTGCAGAGGCA</t>
  </si>
  <si>
    <t>06-00-1Z</t>
  </si>
  <si>
    <t>Cd40-ASO 46</t>
  </si>
  <si>
    <t>AGAGGACGCACTGCAG</t>
  </si>
  <si>
    <t>06-00-20</t>
  </si>
  <si>
    <t>Cd40-ASO 51</t>
  </si>
  <si>
    <t>GCCCCAGAGGACGCAC</t>
  </si>
  <si>
    <t>06-00-21</t>
  </si>
  <si>
    <t>Cd40-ASO 56</t>
  </si>
  <si>
    <t>AAGCAGCCCCAGAGGA</t>
  </si>
  <si>
    <t>06-00-22</t>
  </si>
  <si>
    <t>Cd40-ASO 61</t>
  </si>
  <si>
    <t>TCAGCAAGCAGCCCCA</t>
  </si>
  <si>
    <t>06-00-23</t>
  </si>
  <si>
    <t>Cd40-ASO 66</t>
  </si>
  <si>
    <t>AGCGGTCAGCAAGCAG</t>
  </si>
  <si>
    <t>06-00-24</t>
  </si>
  <si>
    <t>Cd40-ASO 71</t>
  </si>
  <si>
    <t>TGGACAGCGGTCAGCA</t>
  </si>
  <si>
    <t>06-00-25</t>
  </si>
  <si>
    <t>Cd40-ASO 76</t>
  </si>
  <si>
    <t>CTGGATGGACAGCGGT</t>
  </si>
  <si>
    <t>06-00-26</t>
  </si>
  <si>
    <t>Cd40-ASO 81</t>
  </si>
  <si>
    <t>TGGTTCTGGATGGACA</t>
  </si>
  <si>
    <t>06-00-27</t>
  </si>
  <si>
    <t>Cd40-ASO 86</t>
  </si>
  <si>
    <t>GTGGGTGGTTCTGGAT</t>
  </si>
  <si>
    <t>06-00-28</t>
  </si>
  <si>
    <t>Cd40-ASO 91</t>
  </si>
  <si>
    <t>ATGCAGTGGGTGGTTC</t>
  </si>
  <si>
    <t>06-00-29</t>
  </si>
  <si>
    <t>Cd40-ASO 96</t>
  </si>
  <si>
    <t>TCTGCATGCAGTGGGT</t>
  </si>
  <si>
    <t>06-00-2A</t>
  </si>
  <si>
    <t>Cd40-ASO 101</t>
  </si>
  <si>
    <t>TTTTCTCTGCATGCAG</t>
  </si>
  <si>
    <t>06-00-2B</t>
  </si>
  <si>
    <t>Cd40-ASO 106</t>
  </si>
  <si>
    <t>ACTGTTTTTCTCTGCA</t>
  </si>
  <si>
    <t>06-00-2C</t>
  </si>
  <si>
    <t>Cd40-ASO 111</t>
  </si>
  <si>
    <t>TAGGTACTGTTTTTCT</t>
  </si>
  <si>
    <t>06-00-2D</t>
  </si>
  <si>
    <t>Cd40-ASO 116</t>
  </si>
  <si>
    <t>TTTATTAGGTACTGTT</t>
  </si>
  <si>
    <t>06-00-2E</t>
  </si>
  <si>
    <t>Cd40-ASO 121</t>
  </si>
  <si>
    <t>GACTGTTTATTAGGTA</t>
  </si>
  <si>
    <t>06-00-2F</t>
  </si>
  <si>
    <t>Cd40-ASO 126</t>
  </si>
  <si>
    <t>GCACTGACTGTTTATT</t>
  </si>
  <si>
    <t>06-00-2G</t>
  </si>
  <si>
    <t>Cd40-ASO 131</t>
  </si>
  <si>
    <t>GAACAGCACTGACTGT</t>
  </si>
  <si>
    <t>06-00-2H</t>
  </si>
  <si>
    <t>Cd40-ASO 136</t>
  </si>
  <si>
    <t>ACAAAGAACAGCACTG</t>
  </si>
  <si>
    <t>06-00-2I</t>
  </si>
  <si>
    <t>Cd40-ASO 141</t>
  </si>
  <si>
    <t>CTGGCACAAAGAACAG</t>
  </si>
  <si>
    <t>06-00-2J</t>
  </si>
  <si>
    <t>Cd40-ASO 146</t>
  </si>
  <si>
    <t>CCTGGCTGGCACAAAG</t>
  </si>
  <si>
    <t>06-00-2K</t>
  </si>
  <si>
    <t>Cd40-ASO 151</t>
  </si>
  <si>
    <t>TCTGTCCTGGCTGGCA</t>
  </si>
  <si>
    <t>06-00-2L</t>
  </si>
  <si>
    <t>Cd40-ASO 156</t>
  </si>
  <si>
    <t>CAGTTTCTGTCCTGGC</t>
  </si>
  <si>
    <t>06-00-2M</t>
  </si>
  <si>
    <t>Cd40-ASO 161</t>
  </si>
  <si>
    <t>CTCACCAGTTTCTGTC</t>
  </si>
  <si>
    <t>06-00-2N</t>
  </si>
  <si>
    <t>Cd40-ASO 166</t>
  </si>
  <si>
    <t>AGTCACTCACCAGTTT</t>
  </si>
  <si>
    <t>06-00-2O</t>
  </si>
  <si>
    <t>Cd40-ASO 171</t>
  </si>
  <si>
    <t>TGTGCAGTCACTCACC</t>
  </si>
  <si>
    <t>06-00-2P</t>
  </si>
  <si>
    <t>Cd40-ASO 176</t>
  </si>
  <si>
    <t>AACTCTGTGCAGTCAC</t>
  </si>
  <si>
    <t>06-00-2Q</t>
  </si>
  <si>
    <t>Cd40-ASO 181</t>
  </si>
  <si>
    <t>CAGTGAACTCTGTGCA</t>
  </si>
  <si>
    <t>06-00-2R</t>
  </si>
  <si>
    <t>Cd40-ASO 186</t>
  </si>
  <si>
    <t>CGTTTCAGTGAACTCT</t>
  </si>
  <si>
    <t>06-00-2S</t>
  </si>
  <si>
    <t>Cd40-ASO 191</t>
  </si>
  <si>
    <t>CATTCCGTTTCAGTGA</t>
  </si>
  <si>
    <t>06-00-2T</t>
  </si>
  <si>
    <t>Cd40-ASO 196</t>
  </si>
  <si>
    <t>GAAGGCATTCCGTTTC</t>
  </si>
  <si>
    <t>06-00-2U</t>
  </si>
  <si>
    <t>Cd40-ASO 201</t>
  </si>
  <si>
    <t>GCAAGGAAGGCATTCC</t>
  </si>
  <si>
    <t>06-00-2V</t>
  </si>
  <si>
    <t>Cd40-ASO 206</t>
  </si>
  <si>
    <t>TCACCGCAAGGAAGGC</t>
  </si>
  <si>
    <t>06-00-2W</t>
  </si>
  <si>
    <t>Cd40-ASO 211</t>
  </si>
  <si>
    <t>CGCTTTCACCGCAAGG</t>
  </si>
  <si>
    <t>06-00-2X</t>
  </si>
  <si>
    <t>Cd40-ASO 216</t>
  </si>
  <si>
    <t>GAATTCGCTTTCACCG</t>
  </si>
  <si>
    <t>06-00-2Y</t>
  </si>
  <si>
    <t>Cd40-ASO 221</t>
  </si>
  <si>
    <t>TCTAGGAATTCGCTTT</t>
  </si>
  <si>
    <t>06-00-2Z</t>
  </si>
  <si>
    <t>Cd40-ASO 226</t>
  </si>
  <si>
    <t>AGGTGTCTAGGAATTC</t>
  </si>
  <si>
    <t>06-00-30</t>
  </si>
  <si>
    <t>Cd40-ASO 231</t>
  </si>
  <si>
    <t>GTTCCAGGTGTCTAGG</t>
  </si>
  <si>
    <t>06-00-31</t>
  </si>
  <si>
    <t>Cd40-ASO 236</t>
  </si>
  <si>
    <t>TCTCTGTTCCAGGTGT</t>
  </si>
  <si>
    <t>06-00-32</t>
  </si>
  <si>
    <t>Cd40-ASO 241</t>
  </si>
  <si>
    <t>GTGTCTCTCTGTTCCA</t>
  </si>
  <si>
    <t>06-00-33</t>
  </si>
  <si>
    <t>Cd40-ASO 246</t>
  </si>
  <si>
    <t>GCAGTGTGTCTCTCTG</t>
  </si>
  <si>
    <t>06-00-34</t>
  </si>
  <si>
    <t>Cd40-ASO 251</t>
  </si>
  <si>
    <t>TGGTGGCAGTGTGTCT</t>
  </si>
  <si>
    <t>06-00-35</t>
  </si>
  <si>
    <t>Cd40-ASO 256</t>
  </si>
  <si>
    <t>TGTGCTGGTGGCAGTG</t>
  </si>
  <si>
    <t>06-00-36</t>
  </si>
  <si>
    <t>Cd40-ASO 261</t>
  </si>
  <si>
    <t>GTATTTGTGCTGGTGG</t>
  </si>
  <si>
    <t>06-00-37</t>
  </si>
  <si>
    <t>Cd40-ASO 266</t>
  </si>
  <si>
    <t>TCGCAGTATTTGTGCT</t>
  </si>
  <si>
    <t>06-00-38</t>
  </si>
  <si>
    <t>Cd40-ASO 271</t>
  </si>
  <si>
    <t>TGGGGTCGCAGTATTT</t>
  </si>
  <si>
    <t>06-00-39</t>
  </si>
  <si>
    <t>Cd40-ASO 276</t>
  </si>
  <si>
    <t>TAGGTTGGGGTCGCAG</t>
  </si>
  <si>
    <t>06-00-3A</t>
  </si>
  <si>
    <t>Cd40-ASO 281</t>
  </si>
  <si>
    <t>AGCCCTAGGTTGGGGT</t>
  </si>
  <si>
    <t>06-00-3B</t>
  </si>
  <si>
    <t>Cd40-ASO 286</t>
  </si>
  <si>
    <t>CCCGAAGCCCTAGGTT</t>
  </si>
  <si>
    <t>06-00-3C</t>
  </si>
  <si>
    <t>Cd40-ASO 291</t>
  </si>
  <si>
    <t>CTGGACCCGAAGCCCT</t>
  </si>
  <si>
    <t>06-00-3D</t>
  </si>
  <si>
    <t>Cd40-ASO 296</t>
  </si>
  <si>
    <t>TTCTGCTGGACCCGAA</t>
  </si>
  <si>
    <t>06-00-3E</t>
  </si>
  <si>
    <t>Cd40-ASO 301</t>
  </si>
  <si>
    <t>TGCCCTTCTGCTGGAC</t>
  </si>
  <si>
    <t>06-00-3F</t>
  </si>
  <si>
    <t>Cd40-ASO 306</t>
  </si>
  <si>
    <t>TGAGGTGCCCTTCTGC</t>
  </si>
  <si>
    <t>06-00-3G</t>
  </si>
  <si>
    <t>Cd40-ASO 311</t>
  </si>
  <si>
    <t>GTTTCTGAGGTGCCCT</t>
  </si>
  <si>
    <t>06-00-3H</t>
  </si>
  <si>
    <t>Cd40-ASO 316</t>
  </si>
  <si>
    <t>TGTCTGTTTCTGAGGT</t>
  </si>
  <si>
    <t>06-00-3I</t>
  </si>
  <si>
    <t>Cd40-ASO 321</t>
  </si>
  <si>
    <t>GATGGTGTCTGTTTCT</t>
  </si>
  <si>
    <t>06-00-3J</t>
  </si>
  <si>
    <t>Cd40-ASO 326</t>
  </si>
  <si>
    <t>GTGCAGATGGTGTCTG</t>
  </si>
  <si>
    <t>06-00-3K</t>
  </si>
  <si>
    <t>Cd40-ASO 331</t>
  </si>
  <si>
    <t>CACAGGTGCAGATGGT</t>
  </si>
  <si>
    <t>06-00-3L</t>
  </si>
  <si>
    <t>Cd40-ASO 336</t>
  </si>
  <si>
    <t>TTCTTCACAGGTGCAG</t>
  </si>
  <si>
    <t>06-00-3M</t>
  </si>
  <si>
    <t>Cd40-ASO 341</t>
  </si>
  <si>
    <t>CAGCCTTCTTCACAGG</t>
  </si>
  <si>
    <t>06-00-3N</t>
  </si>
  <si>
    <t>Cd40-ASO 346</t>
  </si>
  <si>
    <t>AGTGCCAGCCTTCTTC</t>
  </si>
  <si>
    <t>06-00-3O</t>
  </si>
  <si>
    <t>Cd40-ASO 351</t>
  </si>
  <si>
    <t>CGTACAGTGCCAGCCT</t>
  </si>
  <si>
    <t>06-00-3P</t>
  </si>
  <si>
    <t>Cd40-ASO 356</t>
  </si>
  <si>
    <t>TCACTCGTACAGTGCC</t>
  </si>
  <si>
    <t>06-00-3Q</t>
  </si>
  <si>
    <t>Cd40-ASO 361</t>
  </si>
  <si>
    <t>AGGCCTCACTCGTACA</t>
  </si>
  <si>
    <t>06-00-3R</t>
  </si>
  <si>
    <t>Cd40-ASO 366</t>
  </si>
  <si>
    <t>CTCACAGGCCTCACTC</t>
  </si>
  <si>
    <t>06-00-3S</t>
  </si>
  <si>
    <t>Cd40-ASO 371</t>
  </si>
  <si>
    <t>CAGCTCTCACAGGCCT</t>
  </si>
  <si>
    <t>06-00-3T</t>
  </si>
  <si>
    <t>Cd40-ASO 376</t>
  </si>
  <si>
    <t>GGACACAGCTCTCACA</t>
  </si>
  <si>
    <t>06-00-3U</t>
  </si>
  <si>
    <t>Cd40-ASO 381</t>
  </si>
  <si>
    <t>GTGCAGGACACAGCTC</t>
  </si>
  <si>
    <t>06-00-3V</t>
  </si>
  <si>
    <t>Cd40-ASO 386</t>
  </si>
  <si>
    <t>GAGCGGTGCAGGACAC</t>
  </si>
  <si>
    <t>06-00-3W</t>
  </si>
  <si>
    <t>Cd40-ASO 391</t>
  </si>
  <si>
    <t>AGCATGAGCGGTGCAG</t>
  </si>
  <si>
    <t>06-00-3X</t>
  </si>
  <si>
    <t>Cd40-ASO 396</t>
  </si>
  <si>
    <t>GGGCGAGCATGAGCGG</t>
  </si>
  <si>
    <t>06-00-3Y</t>
  </si>
  <si>
    <t>Cd40-ASO 401</t>
  </si>
  <si>
    <t>AAGCCGGGCGAGCATG</t>
  </si>
  <si>
    <t>06-00-3Z</t>
  </si>
  <si>
    <t>Cd40-ASO 406</t>
  </si>
  <si>
    <t>CCCCAAAGCCGGGCGA</t>
  </si>
  <si>
    <t>06-00-40</t>
  </si>
  <si>
    <t>Cd40-ASO 411</t>
  </si>
  <si>
    <t>CTTGACCCCAAAGCCG</t>
  </si>
  <si>
    <t>06-00-41</t>
  </si>
  <si>
    <t>Cd40-ASO 416</t>
  </si>
  <si>
    <t>ATCTGCTTGACCCCAA</t>
  </si>
  <si>
    <t>06-00-42</t>
  </si>
  <si>
    <t>Cd40-ASO 421</t>
  </si>
  <si>
    <t>TAGCAATCTGCTTGAC</t>
  </si>
  <si>
    <t>06-00-43</t>
  </si>
  <si>
    <t>Cd40-ASO 426</t>
  </si>
  <si>
    <t>CCCTGTAGCAATCTGC</t>
  </si>
  <si>
    <t>06-00-44</t>
  </si>
  <si>
    <t>Cd40-ASO 431</t>
  </si>
  <si>
    <t>GAAACCCCTGTAGCAA</t>
  </si>
  <si>
    <t>06-00-45</t>
  </si>
  <si>
    <t>Cd40-ASO 436</t>
  </si>
  <si>
    <t>TATCAGAAACCCCTGT</t>
  </si>
  <si>
    <t>06-00-46</t>
  </si>
  <si>
    <t>Cd40-ASO 441</t>
  </si>
  <si>
    <t>GATGGTATCAGAAACC</t>
  </si>
  <si>
    <t>06-00-47</t>
  </si>
  <si>
    <t>Cd40-ASO 446</t>
  </si>
  <si>
    <t>TCGCAGATGGTATCAG</t>
  </si>
  <si>
    <t>06-00-48</t>
  </si>
  <si>
    <t>Cd40-ASO 451</t>
  </si>
  <si>
    <t>AGGGCTCGCAGATGGT</t>
  </si>
  <si>
    <t>06-00-49</t>
  </si>
  <si>
    <t>Cd40-ASO 456</t>
  </si>
  <si>
    <t>TGGGCAGGGCTCGCAG</t>
  </si>
  <si>
    <t>06-00-4A</t>
  </si>
  <si>
    <t>Cd40-ASO 461</t>
  </si>
  <si>
    <t>CCGACTGGGCAGGGCT</t>
  </si>
  <si>
    <t>06-00-4B</t>
  </si>
  <si>
    <t>Cd40-ASO 466</t>
  </si>
  <si>
    <t>AGAAGCCGACTGGGCA</t>
  </si>
  <si>
    <t>06-00-4C</t>
  </si>
  <si>
    <t>Cd40-ASO 471</t>
  </si>
  <si>
    <t>GGAGAAGAAGCCGACT</t>
  </si>
  <si>
    <t>06-00-4D</t>
  </si>
  <si>
    <t>Cd40-ASO 476</t>
  </si>
  <si>
    <t>ACATTGGAGAAGAAGC</t>
  </si>
  <si>
    <t>06-00-4E</t>
  </si>
  <si>
    <t>Cd40-ASO 481</t>
  </si>
  <si>
    <t>ATGACACATTGGAGAA</t>
  </si>
  <si>
    <t>06-00-4F</t>
  </si>
  <si>
    <t>Cd40-ASO 486</t>
  </si>
  <si>
    <t>AGCAGATGACACATTG</t>
  </si>
  <si>
    <t>06-00-4G</t>
  </si>
  <si>
    <t>Cd40-ASO 491</t>
  </si>
  <si>
    <t>TCGAAAGCAGATGACA</t>
  </si>
  <si>
    <t>06-00-4H</t>
  </si>
  <si>
    <t>Cd40-ASO 496</t>
  </si>
  <si>
    <t>ATTTTTCGAAAGCAGA</t>
  </si>
  <si>
    <t>06-00-4I</t>
  </si>
  <si>
    <t>Cd40-ASO 501</t>
  </si>
  <si>
    <t>GTGACATTTTTCGAAA</t>
  </si>
  <si>
    <t>06-00-4J</t>
  </si>
  <si>
    <t>Cd40-ASO 506</t>
  </si>
  <si>
    <t>CAAGGGTGACATTTTT</t>
  </si>
  <si>
    <t>06-00-4K</t>
  </si>
  <si>
    <t>Cd40-ASO 511</t>
  </si>
  <si>
    <t>TTGTCCAAGGGTGACA</t>
  </si>
  <si>
    <t>06-00-4L</t>
  </si>
  <si>
    <t>Cd40-ASO 516</t>
  </si>
  <si>
    <t>ACAGCTTGTCCAAGGG</t>
  </si>
  <si>
    <t>06-00-4M</t>
  </si>
  <si>
    <t>Cd40-ASO 521</t>
  </si>
  <si>
    <t>GTCTCACAGCTTGTCC</t>
  </si>
  <si>
    <t>06-00-4N</t>
  </si>
  <si>
    <t>Cd40-ASO 526</t>
  </si>
  <si>
    <t>CTTTGGTCTCACAGCT</t>
  </si>
  <si>
    <t>06-00-4O</t>
  </si>
  <si>
    <t>Cd40-ASO 531</t>
  </si>
  <si>
    <t>CAGGTCTTTGGTCTCA</t>
  </si>
  <si>
    <t>06-00-4P</t>
  </si>
  <si>
    <t>Cd40-ASO 536</t>
  </si>
  <si>
    <t>ACAACCAGGTCTTTGG</t>
  </si>
  <si>
    <t>06-00-4Q</t>
  </si>
  <si>
    <t>Cd40-ASO 541</t>
  </si>
  <si>
    <t>GTTGCACAACCAGGTC</t>
  </si>
  <si>
    <t>06-00-4R</t>
  </si>
  <si>
    <t>Cd40-ASO 546</t>
  </si>
  <si>
    <t>TGCCTGTTGCACAACC</t>
  </si>
  <si>
    <t>06-00-4S</t>
  </si>
  <si>
    <t>Cd40-ASO 551</t>
  </si>
  <si>
    <t>GTGCCTGCCTGTTGCA</t>
  </si>
  <si>
    <t>06-00-4T</t>
  </si>
  <si>
    <t>Cd40-ASO 556</t>
  </si>
  <si>
    <t>TGTTTGTGCCTGCCTG</t>
  </si>
  <si>
    <t>06-00-4U</t>
  </si>
  <si>
    <t>Cd40-ASO 561</t>
  </si>
  <si>
    <t>AGTCTTGTTTGTGCCT</t>
  </si>
  <si>
    <t>06-00-4V</t>
  </si>
  <si>
    <t>Cd40-ASO 566</t>
  </si>
  <si>
    <t>ACATCAGTCTTGTTTG</t>
  </si>
  <si>
    <t>06-00-4W</t>
  </si>
  <si>
    <t>Cd40-ASO 571</t>
  </si>
  <si>
    <t>AGACAACATCAGTCTT</t>
  </si>
  <si>
    <t>06-00-4X</t>
  </si>
  <si>
    <t>Cd40-ASO 576</t>
  </si>
  <si>
    <t>ACCACAGACAACATCA</t>
  </si>
  <si>
    <t>06-00-4Y</t>
  </si>
  <si>
    <t>Cd40-ASO 581</t>
  </si>
  <si>
    <t>TGGGGACCACAGACAA</t>
  </si>
  <si>
    <t>06-00-4Z</t>
  </si>
  <si>
    <t>Cd40-ASO 586</t>
  </si>
  <si>
    <t>GATCCTGGGGACCACA</t>
  </si>
  <si>
    <t>06-00-50</t>
  </si>
  <si>
    <t>Cd40-ASO 591</t>
  </si>
  <si>
    <t>CAGCCGATCCTGGGGA</t>
  </si>
  <si>
    <t>06-00-51</t>
  </si>
  <si>
    <t>Cd40-ASO 596</t>
  </si>
  <si>
    <t>GCTCTCAGCCGATCCT</t>
  </si>
  <si>
    <t>06-00-52</t>
  </si>
  <si>
    <t>Cd40-ASO 601</t>
  </si>
  <si>
    <t>CCAGGGCTCTCAGCCG</t>
  </si>
  <si>
    <t>06-00-53</t>
  </si>
  <si>
    <t>Cd40-ASO 606</t>
  </si>
  <si>
    <t>CACCACCAGGGCTCTC</t>
  </si>
  <si>
    <t>06-00-54</t>
  </si>
  <si>
    <t>Cd40-ASO 611</t>
  </si>
  <si>
    <t>GGGATCACCACCAGGG</t>
  </si>
  <si>
    <t>06-00-55</t>
  </si>
  <si>
    <t>Cd40-ASO 616</t>
  </si>
  <si>
    <t>TGATGGGGATCACCAC</t>
  </si>
  <si>
    <t>06-00-56</t>
  </si>
  <si>
    <t>Cd40-ASO 621</t>
  </si>
  <si>
    <t>GAAGATGATGGGGATC</t>
  </si>
  <si>
    <t>06-00-57</t>
  </si>
  <si>
    <t>Cd40-ASO 626</t>
  </si>
  <si>
    <t>ATCCCGAAGATGATGG</t>
  </si>
  <si>
    <t>06-00-58</t>
  </si>
  <si>
    <t>Cd40-ASO 631</t>
  </si>
  <si>
    <t>ACAGGATCCCGAAGAT</t>
  </si>
  <si>
    <t>06-00-59</t>
  </si>
  <si>
    <t>Cd40-ASO 636</t>
  </si>
  <si>
    <t>GGCAAACAGGATCCCG</t>
  </si>
  <si>
    <t>06-00-5A</t>
  </si>
  <si>
    <t>Cd40-ASO 641</t>
  </si>
  <si>
    <t>AGGATGGCAAACAGGA</t>
  </si>
  <si>
    <t>06-00-5B</t>
  </si>
  <si>
    <t>Cd40-ASO 646</t>
  </si>
  <si>
    <t>CCAAGAGGATGGCAAA</t>
  </si>
  <si>
    <t>06-00-5C</t>
  </si>
  <si>
    <t>Cd40-ASO 651</t>
  </si>
  <si>
    <t>CAGCACCAAGAGGATG</t>
  </si>
  <si>
    <t>06-00-5D</t>
  </si>
  <si>
    <t>Cd40-ASO 656</t>
  </si>
  <si>
    <t>AAGACCAGCACCAAGA</t>
  </si>
  <si>
    <t>06-00-5E</t>
  </si>
  <si>
    <t>Cd40-ASO 661</t>
  </si>
  <si>
    <t>TGATAAAGACCAGCAC</t>
  </si>
  <si>
    <t>06-00-5F</t>
  </si>
  <si>
    <t>Cd40-ASO 666</t>
  </si>
  <si>
    <t>CTTTTTGATAAAGACC</t>
  </si>
  <si>
    <t>06-00-5G</t>
  </si>
  <si>
    <t>Cd40-ASO 671</t>
  </si>
  <si>
    <t>GCCACCTTTTTGATAA</t>
  </si>
  <si>
    <t>06-00-5H</t>
  </si>
  <si>
    <t>Cd40-ASO 676</t>
  </si>
  <si>
    <t>TCTTGGCCACCTTTTT</t>
  </si>
  <si>
    <t>06-00-5I</t>
  </si>
  <si>
    <t>Cd40-ASO 681</t>
  </si>
  <si>
    <t>TGGCTTCTTGGCCACC</t>
  </si>
  <si>
    <t>06-00-5J</t>
  </si>
  <si>
    <t>Cd40-ASO 686</t>
  </si>
  <si>
    <t>TTGGTTGGCTTCTTGG</t>
  </si>
  <si>
    <t>06-00-5K</t>
  </si>
  <si>
    <t>Cd40-ASO 691</t>
  </si>
  <si>
    <t>CCTTATTGGTTGGCTT</t>
  </si>
  <si>
    <t>06-00-5L</t>
  </si>
  <si>
    <t>Cd40-ASO 696</t>
  </si>
  <si>
    <t>GGGGGCCTTATTGGTT</t>
  </si>
  <si>
    <t>06-00-5M</t>
  </si>
  <si>
    <t>Cd40-ASO 701</t>
  </si>
  <si>
    <t>GGGTGGGGGGCCTTAT</t>
  </si>
  <si>
    <t>06-00-5N</t>
  </si>
  <si>
    <t>Cd40-ASO 706</t>
  </si>
  <si>
    <t>GCTTGGGGTGGGGGGC</t>
  </si>
  <si>
    <t>06-00-5O</t>
  </si>
  <si>
    <t>Cd40-ASO 711</t>
  </si>
  <si>
    <t>TTCCTGCTTGGGGTGG</t>
  </si>
  <si>
    <t>06-00-5P</t>
  </si>
  <si>
    <t>Cd40-ASO 716</t>
  </si>
  <si>
    <t>TGGGGTTCCTGCTTGG</t>
  </si>
  <si>
    <t>06-00-5Q</t>
  </si>
  <si>
    <t>Cd40-ASO 721</t>
  </si>
  <si>
    <t>TCTCCTGGGGTTCCTG</t>
  </si>
  <si>
    <t>06-00-5R</t>
  </si>
  <si>
    <t>Cd40-ASO 726</t>
  </si>
  <si>
    <t>ATTGATCTCCTGGGGT</t>
  </si>
  <si>
    <t>06-00-5S</t>
  </si>
  <si>
    <t>Cd40-ASO 731</t>
  </si>
  <si>
    <t>GGAAAATTGATCTCCT</t>
  </si>
  <si>
    <t>06-00-5T</t>
  </si>
  <si>
    <t>Cd40-ASO 736</t>
  </si>
  <si>
    <t>CGTCGGGAAAATTGAT</t>
  </si>
  <si>
    <t>06-00-5U</t>
  </si>
  <si>
    <t>Cd40-ASO 741</t>
  </si>
  <si>
    <t>AAGATCGTCGGGAAAA</t>
  </si>
  <si>
    <t>06-00-5V</t>
  </si>
  <si>
    <t>Cd40-ASO 746</t>
  </si>
  <si>
    <t>CCAGGAAGATCGTCGG</t>
  </si>
  <si>
    <t>06-00-5W</t>
  </si>
  <si>
    <t>Cd40-ASO 751</t>
  </si>
  <si>
    <t>TGGAGCCAGGAAGATC</t>
  </si>
  <si>
    <t>06-00-5X</t>
  </si>
  <si>
    <t>Cd40-ASO 756</t>
  </si>
  <si>
    <t>AGTGTTGGAGCCAGGA</t>
  </si>
  <si>
    <t>06-00-5Y</t>
  </si>
  <si>
    <t>Cd40-ASO 761</t>
  </si>
  <si>
    <t>GCAGCAGTGTTGGAGC</t>
  </si>
  <si>
    <t>06-00-5Z</t>
  </si>
  <si>
    <t>Cd40-ASO 766</t>
  </si>
  <si>
    <t>CTGGAGCAGCAGTGTT</t>
  </si>
  <si>
    <t>06-00-60</t>
  </si>
  <si>
    <t>Cd40-ASO 771</t>
  </si>
  <si>
    <t>CTGCACTGGAGCAGCA</t>
  </si>
  <si>
    <t>06-00-61</t>
  </si>
  <si>
    <t>Cd40-ASO 776</t>
  </si>
  <si>
    <t>GTCTCCTGCACTGGAG</t>
  </si>
  <si>
    <t>06-00-62</t>
  </si>
  <si>
    <t>Cd40-ASO 781</t>
  </si>
  <si>
    <t>GTAAAGTCTCCTGCAC</t>
  </si>
  <si>
    <t>06-00-63</t>
  </si>
  <si>
    <t>Cd40-ASO 786</t>
  </si>
  <si>
    <t>TCCATGTAAAGTCTCC</t>
  </si>
  <si>
    <t>06-00-64</t>
  </si>
  <si>
    <t>Cd40-ASO 791</t>
  </si>
  <si>
    <t>TGGCATCCATGTAAAG</t>
  </si>
  <si>
    <t>06-00-65</t>
  </si>
  <si>
    <t>Cd40-ASO 796</t>
  </si>
  <si>
    <t>CCGGTTGGCATCCATG</t>
  </si>
  <si>
    <t>06-00-66</t>
  </si>
  <si>
    <t>Cd40-ASO 801</t>
  </si>
  <si>
    <t>GGTGACCGGTTGGCAT</t>
  </si>
  <si>
    <t>06-00-67</t>
  </si>
  <si>
    <t>Cd40-ASO 806</t>
  </si>
  <si>
    <t>TCCTGGGTGACCGGTT</t>
  </si>
  <si>
    <t>06-00-68</t>
  </si>
  <si>
    <t>Cd40-ASO 811</t>
  </si>
  <si>
    <t>CATCCTCCTGGGTGAC</t>
  </si>
  <si>
    <t>06-00-69</t>
  </si>
  <si>
    <t>Cd40-ASO 816</t>
  </si>
  <si>
    <t>TTTGCCATCCTCCTGG</t>
  </si>
  <si>
    <t>06-00-6A</t>
  </si>
  <si>
    <t>Cd40-ASO 821</t>
  </si>
  <si>
    <t>CTCTCTTTGCCATCCT</t>
  </si>
  <si>
    <t>06-00-6B</t>
  </si>
  <si>
    <t>Cd40-ASO 826</t>
  </si>
  <si>
    <t>TGCGACTCTCTTTGCC</t>
  </si>
  <si>
    <t>06-00-6C</t>
  </si>
  <si>
    <t>Cd40-ASO 831</t>
  </si>
  <si>
    <t>TGAGATGCGACTCTCT</t>
  </si>
  <si>
    <t>06-00-6D</t>
  </si>
  <si>
    <t>Cd40-ASO 836</t>
  </si>
  <si>
    <t>TGCACTGAGATGCGAC</t>
  </si>
  <si>
    <t>06-00-6E</t>
  </si>
  <si>
    <t>Cd40-ASO 841</t>
  </si>
  <si>
    <t>TCTCCTGCACTGAGAT</t>
  </si>
  <si>
    <t>06-00-6F</t>
  </si>
  <si>
    <t>TGCAGAGGCAGACGAACCAT</t>
  </si>
  <si>
    <t>06-00-6G</t>
  </si>
  <si>
    <t>CGCACTGCAGAGGCAGACGA</t>
  </si>
  <si>
    <t>06-00-6H</t>
  </si>
  <si>
    <t>GAGGACGCACTGCAGAGGCA</t>
  </si>
  <si>
    <t>06-00-6I</t>
  </si>
  <si>
    <t>CCCCAGAGGACGCACTGCAG</t>
  </si>
  <si>
    <t>06-00-6J</t>
  </si>
  <si>
    <t>AGCAGCCCCAGAGGACGCAC</t>
  </si>
  <si>
    <t>06-00-6K</t>
  </si>
  <si>
    <t>CAGCAAGCAGCCCCAGAGGA</t>
  </si>
  <si>
    <t>06-00-6L</t>
  </si>
  <si>
    <t>GCGGTCAGCAAGCAGCCCCA</t>
  </si>
  <si>
    <t>06-00-6M</t>
  </si>
  <si>
    <t>GGACAGCGGTCAGCAAGCAG</t>
  </si>
  <si>
    <t>06-00-6N</t>
  </si>
  <si>
    <t>TGGATGGACAGCGGTCAGCA</t>
  </si>
  <si>
    <t>06-00-6O</t>
  </si>
  <si>
    <t>GGTTCTGGATGGACAGCGGT</t>
  </si>
  <si>
    <t>06-00-6P</t>
  </si>
  <si>
    <t>TGGGTGGTTCTGGATGGACA</t>
  </si>
  <si>
    <t>06-00-6Q</t>
  </si>
  <si>
    <t>TGCAGTGGGTGGTTCTGGAT</t>
  </si>
  <si>
    <t>06-00-6R</t>
  </si>
  <si>
    <t>CTGCATGCAGTGGGTGGTTC</t>
  </si>
  <si>
    <t>06-00-6S</t>
  </si>
  <si>
    <t>TTTCTCTGCATGCAGTGGGT</t>
  </si>
  <si>
    <t>06-00-6T</t>
  </si>
  <si>
    <t>CTGTTTTTCTCTGCATGCAG</t>
  </si>
  <si>
    <t>06-00-6U</t>
  </si>
  <si>
    <t>AGGTACTGTTTTTCTCTGCA</t>
  </si>
  <si>
    <t>06-00-6V</t>
  </si>
  <si>
    <t>TTATTAGGTACTGTTTTTCT</t>
  </si>
  <si>
    <t>06-00-6W</t>
  </si>
  <si>
    <t>ACTGTTTATTAGGTACTGTT</t>
  </si>
  <si>
    <t>06-00-6X</t>
  </si>
  <si>
    <t>CACTGACTGTTTATTAGGTA</t>
  </si>
  <si>
    <t>06-00-6Y</t>
  </si>
  <si>
    <t>AACAGCACTGACTGTTTATT</t>
  </si>
  <si>
    <t>06-00-6Z</t>
  </si>
  <si>
    <t>CAAAGAACAGCACTGACTGT</t>
  </si>
  <si>
    <t>06-00-70</t>
  </si>
  <si>
    <t>TGGCACAAAGAACAGCACTG</t>
  </si>
  <si>
    <t>06-00-71</t>
  </si>
  <si>
    <t>CTGGCTGGCACAAAGAACAG</t>
  </si>
  <si>
    <t>06-00-72</t>
  </si>
  <si>
    <t>CTGTCCTGGCTGGCACAAAG</t>
  </si>
  <si>
    <t>06-00-73</t>
  </si>
  <si>
    <t>AGTTTCTGTCCTGGCTGGCA</t>
  </si>
  <si>
    <t>06-00-74</t>
  </si>
  <si>
    <t>TCACCAGTTTCTGTCCTGGC</t>
  </si>
  <si>
    <t>06-00-75</t>
  </si>
  <si>
    <t>GTCACTCACCAGTTTCTGTC</t>
  </si>
  <si>
    <t>06-00-76</t>
  </si>
  <si>
    <t>GTGCAGTCACTCACCAGTTT</t>
  </si>
  <si>
    <t>06-00-77</t>
  </si>
  <si>
    <t>ACTCTGTGCAGTCACTCACC</t>
  </si>
  <si>
    <t>06-00-78</t>
  </si>
  <si>
    <t>AGTGAACTCTGTGCAGTCAC</t>
  </si>
  <si>
    <t>06-00-79</t>
  </si>
  <si>
    <t>GTTTCAGTGAACTCTGTGCA</t>
  </si>
  <si>
    <t>06-00-7A</t>
  </si>
  <si>
    <t>ATTCCGTTTCAGTGAACTCT</t>
  </si>
  <si>
    <t>06-00-7B</t>
  </si>
  <si>
    <t>AAGGCATTCCGTTTCAGTGA</t>
  </si>
  <si>
    <t>06-00-7C</t>
  </si>
  <si>
    <t>CAAGGAAGGCATTCCGTTTC</t>
  </si>
  <si>
    <t>06-00-7D</t>
  </si>
  <si>
    <t>CACCGCAAGGAAGGCATTCC</t>
  </si>
  <si>
    <t>06-00-7E</t>
  </si>
  <si>
    <t>GCTTTCACCGCAAGGAAGGC</t>
  </si>
  <si>
    <t>06-00-7F</t>
  </si>
  <si>
    <t>AATTCGCTTTCACCGCAAGG</t>
  </si>
  <si>
    <t>06-00-7G</t>
  </si>
  <si>
    <t>CTAGGAATTCGCTTTCACCG</t>
  </si>
  <si>
    <t>06-00-7H</t>
  </si>
  <si>
    <t>GGTGTCTAGGAATTCGCTTT</t>
  </si>
  <si>
    <t>06-00-7I</t>
  </si>
  <si>
    <t>TTCCAGGTGTCTAGGAATTC</t>
  </si>
  <si>
    <t>06-00-7J</t>
  </si>
  <si>
    <t>CTCTGTTCCAGGTGTCTAGG</t>
  </si>
  <si>
    <t>06-00-7K</t>
  </si>
  <si>
    <t>TGTCTCTCTGTTCCAGGTGT</t>
  </si>
  <si>
    <t>06-00-7L</t>
  </si>
  <si>
    <t>CAGTGTGTCTCTCTGTTCCA</t>
  </si>
  <si>
    <t>06-00-7M</t>
  </si>
  <si>
    <t>GGTGGCAGTGTGTCTCTCTG</t>
  </si>
  <si>
    <t>06-00-7N</t>
  </si>
  <si>
    <t>GTGCTGGTGGCAGTGTGTCT</t>
  </si>
  <si>
    <t>06-00-7O</t>
  </si>
  <si>
    <t>TATTTGTGCTGGTGGCAGTG</t>
  </si>
  <si>
    <t>06-00-7P</t>
  </si>
  <si>
    <t>CGCAGTATTTGTGCTGGTGG</t>
  </si>
  <si>
    <t>06-00-7Q</t>
  </si>
  <si>
    <t>GGGGTCGCAGTATTTGTGCT</t>
  </si>
  <si>
    <t>06-00-7R</t>
  </si>
  <si>
    <t>AGGTTGGGGTCGCAGTATTT</t>
  </si>
  <si>
    <t>06-00-7S</t>
  </si>
  <si>
    <t>GCCCTAGGTTGGGGTCGCAG</t>
  </si>
  <si>
    <t>06-00-7T</t>
  </si>
  <si>
    <t>CCGAAGCCCTAGGTTGGGGT</t>
  </si>
  <si>
    <t>06-00-7U</t>
  </si>
  <si>
    <t>TGGACCCGAAGCCCTAGGTT</t>
  </si>
  <si>
    <t>06-00-7V</t>
  </si>
  <si>
    <t>TCTGCTGGACCCGAAGCCCT</t>
  </si>
  <si>
    <t>06-00-7W</t>
  </si>
  <si>
    <t>GCCCTTCTGCTGGACCCGAA</t>
  </si>
  <si>
    <t>06-00-7X</t>
  </si>
  <si>
    <t>GAGGTGCCCTTCTGCTGGAC</t>
  </si>
  <si>
    <t>06-00-7Y</t>
  </si>
  <si>
    <t>TTTCTGAGGTGCCCTTCTGC</t>
  </si>
  <si>
    <t>06-00-7Z</t>
  </si>
  <si>
    <t>GTCTGTTTCTGAGGTGCCCT</t>
  </si>
  <si>
    <t>06-00-80</t>
  </si>
  <si>
    <t>ATGGTGTCTGTTTCTGAGGT</t>
  </si>
  <si>
    <t>06-00-81</t>
  </si>
  <si>
    <t>TGCAGATGGTGTCTGTTTCT</t>
  </si>
  <si>
    <t>06-00-82</t>
  </si>
  <si>
    <t>ACAGGTGCAGATGGTGTCTG</t>
  </si>
  <si>
    <t>06-00-83</t>
  </si>
  <si>
    <t>TCTTCACAGGTGCAGATGGT</t>
  </si>
  <si>
    <t>06-00-84</t>
  </si>
  <si>
    <t>AGCCTTCTTCACAGGTGCAG</t>
  </si>
  <si>
    <t>06-00-85</t>
  </si>
  <si>
    <t>GTGCCAGCCTTCTTCACAGG</t>
  </si>
  <si>
    <t>06-00-86</t>
  </si>
  <si>
    <t>GTACAGTGCCAGCCTTCTTC</t>
  </si>
  <si>
    <t>06-00-87</t>
  </si>
  <si>
    <t>CACTCGTACAGTGCCAGCCT</t>
  </si>
  <si>
    <t>06-00-88</t>
  </si>
  <si>
    <t>GGCCTCACTCGTACAGTGCC</t>
  </si>
  <si>
    <t>06-00-89</t>
  </si>
  <si>
    <t>TCACAGGCCTCACTCGTACA</t>
  </si>
  <si>
    <t>06-00-8A</t>
  </si>
  <si>
    <t>AGCTCTCACAGGCCTCACTC</t>
  </si>
  <si>
    <t>06-00-8B</t>
  </si>
  <si>
    <t>GACACAGCTCTCACAGGCCT</t>
  </si>
  <si>
    <t>06-00-8C</t>
  </si>
  <si>
    <t>TGCAGGACACAGCTCTCACA</t>
  </si>
  <si>
    <t>06-00-8D</t>
  </si>
  <si>
    <t>AGCGGTGCAGGACACAGCTC</t>
  </si>
  <si>
    <t>06-00-8E</t>
  </si>
  <si>
    <t>GCATGAGCGGTGCAGGACAC</t>
  </si>
  <si>
    <t>06-00-8F</t>
  </si>
  <si>
    <t>GGCGAGCATGAGCGGTGCAG</t>
  </si>
  <si>
    <t>06-00-8G</t>
  </si>
  <si>
    <t>AGCCGGGCGAGCATGAGCGG</t>
  </si>
  <si>
    <t>06-00-8H</t>
  </si>
  <si>
    <t>CCCAAAGCCGGGCGAGCATG</t>
  </si>
  <si>
    <t>06-00-8I</t>
  </si>
  <si>
    <t>TTGACCCCAAAGCCGGGCGA</t>
  </si>
  <si>
    <t>06-00-8J</t>
  </si>
  <si>
    <t>TCTGCTTGACCCCAAAGCCG</t>
  </si>
  <si>
    <t>06-00-8K</t>
  </si>
  <si>
    <t>AGCAATCTGCTTGACCCCAA</t>
  </si>
  <si>
    <t>06-00-8L</t>
  </si>
  <si>
    <t>CCTGTAGCAATCTGCTTGAC</t>
  </si>
  <si>
    <t>06-00-8M</t>
  </si>
  <si>
    <t>AAACCCCTGTAGCAATCTGC</t>
  </si>
  <si>
    <t>06-00-8N</t>
  </si>
  <si>
    <t>ATCAGAAACCCCTGTAGCAA</t>
  </si>
  <si>
    <t>06-00-8O</t>
  </si>
  <si>
    <t>ATGGTATCAGAAACCCCTGT</t>
  </si>
  <si>
    <t>06-00-8P</t>
  </si>
  <si>
    <t>CGCAGATGGTATCAGAAACC</t>
  </si>
  <si>
    <t>06-00-8Q</t>
  </si>
  <si>
    <t>GGGCTCGCAGATGGTATCAG</t>
  </si>
  <si>
    <t>06-00-8R</t>
  </si>
  <si>
    <t>GGGCAGGGCTCGCAGATGGT</t>
  </si>
  <si>
    <t>06-00-8S</t>
  </si>
  <si>
    <t>CGACTGGGCAGGGCTCGCAG</t>
  </si>
  <si>
    <t>06-00-8T</t>
  </si>
  <si>
    <t>GAAGCCGACTGGGCAGGGCT</t>
  </si>
  <si>
    <t>06-00-8U</t>
  </si>
  <si>
    <t>GAGAAGAAGCCGACTGGGCA</t>
  </si>
  <si>
    <t>06-00-8V</t>
  </si>
  <si>
    <t>CATTGGAGAAGAAGCCGACT</t>
  </si>
  <si>
    <t>06-00-8W</t>
  </si>
  <si>
    <t>TGACACATTGGAGAAGAAGC</t>
  </si>
  <si>
    <t>06-00-8X</t>
  </si>
  <si>
    <t>GCAGATGACACATTGGAGAA</t>
  </si>
  <si>
    <t>06-00-8Y</t>
  </si>
  <si>
    <t>CGAAAGCAGATGACACATTG</t>
  </si>
  <si>
    <t>06-00-8Z</t>
  </si>
  <si>
    <t>TTTTTCGAAAGCAGATGACA</t>
  </si>
  <si>
    <t>06-00-90</t>
  </si>
  <si>
    <t>TGACATTTTTCGAAAGCAGA</t>
  </si>
  <si>
    <t>06-00-91</t>
  </si>
  <si>
    <t>AAGGGTGACATTTTTCGAAA</t>
  </si>
  <si>
    <t>06-00-92</t>
  </si>
  <si>
    <t>TGTCCAAGGGTGACATTTTT</t>
  </si>
  <si>
    <t>06-00-93</t>
  </si>
  <si>
    <t>CAGCTTGTCCAAGGGTGACA</t>
  </si>
  <si>
    <t>06-00-94</t>
  </si>
  <si>
    <t>TCTCACAGCTTGTCCAAGGG</t>
  </si>
  <si>
    <t>06-00-95</t>
  </si>
  <si>
    <t>TTTGGTCTCACAGCTTGTCC</t>
  </si>
  <si>
    <t>06-00-96</t>
  </si>
  <si>
    <t>AGGTCTTTGGTCTCACAGCT</t>
  </si>
  <si>
    <t>06-00-97</t>
  </si>
  <si>
    <t>CAACCAGGTCTTTGGTCTCA</t>
  </si>
  <si>
    <t>06-00-98</t>
  </si>
  <si>
    <t>TTGCACAACCAGGTCTTTGG</t>
  </si>
  <si>
    <t>06-00-99</t>
  </si>
  <si>
    <t>GCCTGTTGCACAACCAGGTC</t>
  </si>
  <si>
    <t>06-00-9A</t>
  </si>
  <si>
    <t>TGCCTGCCTGTTGCACAACC</t>
  </si>
  <si>
    <t>06-00-9B</t>
  </si>
  <si>
    <t>GTTTGTGCCTGCCTGTTGCA</t>
  </si>
  <si>
    <t>06-00-9C</t>
  </si>
  <si>
    <t>GTCTTGTTTGTGCCTGCCTG</t>
  </si>
  <si>
    <t>06-00-9D</t>
  </si>
  <si>
    <t>CATCAGTCTTGTTTGTGCCT</t>
  </si>
  <si>
    <t>06-00-9E</t>
  </si>
  <si>
    <t>GACAACATCAGTCTTGTTTG</t>
  </si>
  <si>
    <t>06-00-9F</t>
  </si>
  <si>
    <t>CCACAGACAACATCAGTCTT</t>
  </si>
  <si>
    <t>06-00-9G</t>
  </si>
  <si>
    <t>GGGGACCACAGACAACATCA</t>
  </si>
  <si>
    <t>06-00-9H</t>
  </si>
  <si>
    <t>ATCCTGGGGACCACAGACAA</t>
  </si>
  <si>
    <t>06-00-9I</t>
  </si>
  <si>
    <t>AGCCGATCCTGGGGACCACA</t>
  </si>
  <si>
    <t>06-00-9J</t>
  </si>
  <si>
    <t>CTCTCAGCCGATCCTGGGGA</t>
  </si>
  <si>
    <t>06-00-9K</t>
  </si>
  <si>
    <t>CAGGGCTCTCAGCCGATCCT</t>
  </si>
  <si>
    <t>06-00-9L</t>
  </si>
  <si>
    <t>ACCACCAGGGCTCTCAGCCG</t>
  </si>
  <si>
    <t>06-00-9M</t>
  </si>
  <si>
    <t>GGATCACCACCAGGGCTCTC</t>
  </si>
  <si>
    <t>06-00-9N</t>
  </si>
  <si>
    <t>GATGGGGATCACCACCAGGG</t>
  </si>
  <si>
    <t>06-00-9O</t>
  </si>
  <si>
    <t>AAGATGATGGGGATCACCAC</t>
  </si>
  <si>
    <t>06-00-9P</t>
  </si>
  <si>
    <t>TCCCGAAGATGATGGGGATC</t>
  </si>
  <si>
    <t>06-00-9Q</t>
  </si>
  <si>
    <t>CAGGATCCCGAAGATGATGG</t>
  </si>
  <si>
    <t>06-00-9R</t>
  </si>
  <si>
    <t>GCAAACAGGATCCCGAAGAT</t>
  </si>
  <si>
    <t>06-00-9S</t>
  </si>
  <si>
    <t>GGATGGCAAACAGGATCCCG</t>
  </si>
  <si>
    <t>06-00-9T</t>
  </si>
  <si>
    <t>CAAGAGGATGGCAAACAGGA</t>
  </si>
  <si>
    <t>06-00-9U</t>
  </si>
  <si>
    <t>AGCACCAAGAGGATGGCAAA</t>
  </si>
  <si>
    <t>06-00-9V</t>
  </si>
  <si>
    <t>AGACCAGCACCAAGAGGATG</t>
  </si>
  <si>
    <t>06-00-9W</t>
  </si>
  <si>
    <t>GATAAAGACCAGCACCAAGA</t>
  </si>
  <si>
    <t>06-00-9X</t>
  </si>
  <si>
    <t>TTTTTGATAAAGACCAGCAC</t>
  </si>
  <si>
    <t>06-00-9Y</t>
  </si>
  <si>
    <t>CCACCTTTTTGATAAAGACC</t>
  </si>
  <si>
    <t>06-00-9Z</t>
  </si>
  <si>
    <t>CTTGGCCACCTTTTTGATAA</t>
  </si>
  <si>
    <t>06-00-A0</t>
  </si>
  <si>
    <t>GGCTTCTTGGCCACCTTTTT</t>
  </si>
  <si>
    <t>06-00-A1</t>
  </si>
  <si>
    <t>TGGTTGGCTTCTTGGCCACC</t>
  </si>
  <si>
    <t>06-00-A2</t>
  </si>
  <si>
    <t>CTTATTGGTTGGCTTCTTGG</t>
  </si>
  <si>
    <t>06-00-A3</t>
  </si>
  <si>
    <t>GGGGCCTTATTGGTTGGCTT</t>
  </si>
  <si>
    <t>06-00-A4</t>
  </si>
  <si>
    <t>GGTGGGGGGCCTTATTGGTT</t>
  </si>
  <si>
    <t>06-00-A5</t>
  </si>
  <si>
    <t>CTTGGGGTGGGGGGCCTTAT</t>
  </si>
  <si>
    <t>06-00-A6</t>
  </si>
  <si>
    <t>TCCTGCTTGGGGTGGGGGGC</t>
  </si>
  <si>
    <t>06-00-A7</t>
  </si>
  <si>
    <t>GGGGTTCCTGCTTGGGGTGG</t>
  </si>
  <si>
    <t>06-00-A8</t>
  </si>
  <si>
    <t>CTCCTGGGGTTCCTGCTTGG</t>
  </si>
  <si>
    <t>06-00-A9</t>
  </si>
  <si>
    <t>TTGATCTCCTGGGGTTCCTG</t>
  </si>
  <si>
    <t>06-00-AA</t>
  </si>
  <si>
    <t>GAAAATTGATCTCCTGGGGT</t>
  </si>
  <si>
    <t>06-00-AB</t>
  </si>
  <si>
    <t>GTCGGGAAAATTGATCTCCT</t>
  </si>
  <si>
    <t>06-00-AC</t>
  </si>
  <si>
    <t>AGATCGTCGGGAAAATTGAT</t>
  </si>
  <si>
    <t>06-00-AD</t>
  </si>
  <si>
    <t>CAGGAAGATCGTCGGGAAAA</t>
  </si>
  <si>
    <t>06-00-AE</t>
  </si>
  <si>
    <t>GGAGCCAGGAAGATCGTCGG</t>
  </si>
  <si>
    <t>06-00-AF</t>
  </si>
  <si>
    <t>GTGTTGGAGCCAGGAAGATC</t>
  </si>
  <si>
    <t>06-00-AG</t>
  </si>
  <si>
    <t>CAGCAGTGTTGGAGCCAGGA</t>
  </si>
  <si>
    <t>06-00-AH</t>
  </si>
  <si>
    <t>TGGAGCAGCAGTGTTGGAGC</t>
  </si>
  <si>
    <t>06-00-AI</t>
  </si>
  <si>
    <t>TGCACTGGAGCAGCAGTGTT</t>
  </si>
  <si>
    <t>06-00-AJ</t>
  </si>
  <si>
    <t>TCTCCTGCACTGGAGCAGCA</t>
  </si>
  <si>
    <t>06-00-AK</t>
  </si>
  <si>
    <t>TAAAGTCTCCTGCACTGGAG</t>
  </si>
  <si>
    <t>06-00-AL</t>
  </si>
  <si>
    <t>CCATGTAAAGTCTCCTGCAC</t>
  </si>
  <si>
    <t>06-00-AM</t>
  </si>
  <si>
    <t>GGCATCCATGTAAAGTCTCC</t>
  </si>
  <si>
    <t>06-00-AN</t>
  </si>
  <si>
    <t>CGGTTGGCATCCATGTAAAG</t>
  </si>
  <si>
    <t>06-00-AO</t>
  </si>
  <si>
    <t>GTGACCGGTTGGCATCCATG</t>
  </si>
  <si>
    <t>06-00-AP</t>
  </si>
  <si>
    <t>CCTGGGTGACCGGTTGGCAT</t>
  </si>
  <si>
    <t>06-00-AQ</t>
  </si>
  <si>
    <t>ATCCTCCTGGGTGACCGGTT</t>
  </si>
  <si>
    <t>06-00-AR</t>
  </si>
  <si>
    <t>TTGCCATCCTCCTGGGTGAC</t>
  </si>
  <si>
    <t>06-00-AS</t>
  </si>
  <si>
    <t>TCTCTTTGCCATCCTCCTGG</t>
  </si>
  <si>
    <t>06-00-AT</t>
  </si>
  <si>
    <t>GCGACTCTCTTTGCCATCCT</t>
  </si>
  <si>
    <t>06-00-AU</t>
  </si>
  <si>
    <t>GAGATGCGACTCTCTTTGCC</t>
  </si>
  <si>
    <t>06-00-AV</t>
  </si>
  <si>
    <t>GCACTGAGATGCGACTCTCT</t>
  </si>
  <si>
    <t>06-00-AW</t>
  </si>
  <si>
    <t>CTCCTGCACTGAGATGCGAC</t>
  </si>
  <si>
    <t>06-00-AX</t>
  </si>
  <si>
    <t>TGTCTCTCCTGCACTGAGAT</t>
  </si>
  <si>
    <t>Cd40-ASO 31 LNA</t>
  </si>
  <si>
    <t>Cd40-ASO 36 LNA</t>
  </si>
  <si>
    <t>Cd40-ASO 41 LNA</t>
  </si>
  <si>
    <t>Cd40-ASO 46 LNA</t>
  </si>
  <si>
    <t>Cd40-ASO 51 LNA</t>
  </si>
  <si>
    <t>Cd40-ASO 56 LNA</t>
  </si>
  <si>
    <t>Cd40-ASO 61 LNA</t>
  </si>
  <si>
    <t>Cd40-ASO 66 LNA</t>
  </si>
  <si>
    <t>Cd40-ASO 71 LNA</t>
  </si>
  <si>
    <t>Cd40-ASO 76 LNA</t>
  </si>
  <si>
    <t>Cd40-ASO 81 LNA</t>
  </si>
  <si>
    <t>Cd40-ASO 86 LNA</t>
  </si>
  <si>
    <t>Cd40-ASO 91 LNA</t>
  </si>
  <si>
    <t>Cd40-ASO 96 LNA</t>
  </si>
  <si>
    <t>Cd40-ASO 101 LNA</t>
  </si>
  <si>
    <t>Cd40-ASO 106 LNA</t>
  </si>
  <si>
    <t>Cd40-ASO 111 LNA</t>
  </si>
  <si>
    <t>Cd40-ASO 116 LNA</t>
  </si>
  <si>
    <t>Cd40-ASO 121 LNA</t>
  </si>
  <si>
    <t>Cd40-ASO 126 LNA</t>
  </si>
  <si>
    <t>Cd40-ASO 131 LNA</t>
  </si>
  <si>
    <t>Cd40-ASO 136 LNA</t>
  </si>
  <si>
    <t>Cd40-ASO 141 LNA</t>
  </si>
  <si>
    <t>Cd40-ASO 146 LNA</t>
  </si>
  <si>
    <t>Cd40-ASO 151 LNA</t>
  </si>
  <si>
    <t>Cd40-ASO 156 LNA</t>
  </si>
  <si>
    <t>Cd40-ASO 161 LNA</t>
  </si>
  <si>
    <t>Cd40-ASO 166 LNA</t>
  </si>
  <si>
    <t>Cd40-ASO 171 LNA</t>
  </si>
  <si>
    <t>Cd40-ASO 176 LNA</t>
  </si>
  <si>
    <t>Cd40-ASO 181 LNA</t>
  </si>
  <si>
    <t>Cd40-ASO 186 LNA</t>
  </si>
  <si>
    <t>Cd40-ASO 191 LNA</t>
  </si>
  <si>
    <t>Cd40-ASO 196 LNA</t>
  </si>
  <si>
    <t>Cd40-ASO 201 LNA</t>
  </si>
  <si>
    <t>Cd40-ASO 206 LNA</t>
  </si>
  <si>
    <t>Cd40-ASO 211 LNA</t>
  </si>
  <si>
    <t>Cd40-ASO 216 LNA</t>
  </si>
  <si>
    <t>Cd40-ASO 221 LNA</t>
  </si>
  <si>
    <t>Cd40-ASO 226 LNA</t>
  </si>
  <si>
    <t>Cd40-ASO 231 LNA</t>
  </si>
  <si>
    <t>Cd40-ASO 236 LNA</t>
  </si>
  <si>
    <t>Cd40-ASO 241 LNA</t>
  </si>
  <si>
    <t>Cd40-ASO 246 LNA</t>
  </si>
  <si>
    <t>Cd40-ASO 251 LNA</t>
  </si>
  <si>
    <t>Cd40-ASO 256 LNA</t>
  </si>
  <si>
    <t>Cd40-ASO 261 LNA</t>
  </si>
  <si>
    <t>Cd40-ASO 266 LNA</t>
  </si>
  <si>
    <t>Cd40-ASO 271 LNA</t>
  </si>
  <si>
    <t>Cd40-ASO 276 LNA</t>
  </si>
  <si>
    <t>Cd40-ASO 281 LNA</t>
  </si>
  <si>
    <t>Cd40-ASO 286 LNA</t>
  </si>
  <si>
    <t>Cd40-ASO 291 LNA</t>
  </si>
  <si>
    <t>Cd40-ASO 296 LNA</t>
  </si>
  <si>
    <t>Cd40-ASO 301 LNA</t>
  </si>
  <si>
    <t>Cd40-ASO 306 LNA</t>
  </si>
  <si>
    <t>Cd40-ASO 311 LNA</t>
  </si>
  <si>
    <t>Cd40-ASO 316 LNA</t>
  </si>
  <si>
    <t>Cd40-ASO 321 LNA</t>
  </si>
  <si>
    <t>Cd40-ASO 326 LNA</t>
  </si>
  <si>
    <t>Cd40-ASO 331 LNA</t>
  </si>
  <si>
    <t>Cd40-ASO 336 LNA</t>
  </si>
  <si>
    <t>Cd40-ASO 341 LNA</t>
  </si>
  <si>
    <t>Cd40-ASO 346 LNA</t>
  </si>
  <si>
    <t>Cd40-ASO 351 LNA</t>
  </si>
  <si>
    <t>Cd40-ASO 356 LNA</t>
  </si>
  <si>
    <t>Cd40-ASO 361 LNA</t>
  </si>
  <si>
    <t>Cd40-ASO 366 LNA</t>
  </si>
  <si>
    <t>Cd40-ASO 371 LNA</t>
  </si>
  <si>
    <t>Cd40-ASO 376 LNA</t>
  </si>
  <si>
    <t>Cd40-ASO 381 LNA</t>
  </si>
  <si>
    <t>Cd40-ASO 386 LNA</t>
  </si>
  <si>
    <t>Cd40-ASO 391 LNA</t>
  </si>
  <si>
    <t>Cd40-ASO 396 LNA</t>
  </si>
  <si>
    <t>Cd40-ASO 401 LNA</t>
  </si>
  <si>
    <t>Cd40-ASO 406 LNA</t>
  </si>
  <si>
    <t>Cd40-ASO 411 LNA</t>
  </si>
  <si>
    <t>Cd40-ASO 416 LNA</t>
  </si>
  <si>
    <t>Cd40-ASO 421 LNA</t>
  </si>
  <si>
    <t>Cd40-ASO 426 LNA</t>
  </si>
  <si>
    <t>Cd40-ASO 431 LNA</t>
  </si>
  <si>
    <t>Cd40-ASO 436 LNA</t>
  </si>
  <si>
    <t>Cd40-ASO 441 LNA</t>
  </si>
  <si>
    <t>Cd40-ASO 446 LNA</t>
  </si>
  <si>
    <t>Cd40-ASO 451 LNA</t>
  </si>
  <si>
    <t>Cd40-ASO 456 LNA</t>
  </si>
  <si>
    <t>Cd40-ASO 461 LNA</t>
  </si>
  <si>
    <t>Cd40-ASO 466 LNA</t>
  </si>
  <si>
    <t>Cd40-ASO 471 LNA</t>
  </si>
  <si>
    <t>Cd40-ASO 476 LNA</t>
  </si>
  <si>
    <t>Cd40-ASO 481 LNA</t>
  </si>
  <si>
    <t>Cd40-ASO 486 LNA</t>
  </si>
  <si>
    <t>Cd40-ASO 491 LNA</t>
  </si>
  <si>
    <t>Cd40-ASO 496 LNA</t>
  </si>
  <si>
    <t>Cd40-ASO 501 LNA</t>
  </si>
  <si>
    <t>Cd40-ASO 506 LNA</t>
  </si>
  <si>
    <t>Cd40-ASO 511 LNA</t>
  </si>
  <si>
    <t>Cd40-ASO 516 LNA</t>
  </si>
  <si>
    <t>Cd40-ASO 521 LNA</t>
  </si>
  <si>
    <t>Cd40-ASO 526 LNA</t>
  </si>
  <si>
    <t>Cd40-ASO 531 LNA</t>
  </si>
  <si>
    <t>Cd40-ASO 536 LNA</t>
  </si>
  <si>
    <t>Cd40-ASO 541 LNA</t>
  </si>
  <si>
    <t>Cd40-ASO 546 LNA</t>
  </si>
  <si>
    <t>Cd40-ASO 551 LNA</t>
  </si>
  <si>
    <t>Cd40-ASO 556 LNA</t>
  </si>
  <si>
    <t>Cd40-ASO 561 LNA</t>
  </si>
  <si>
    <t>Cd40-ASO 566 LNA</t>
  </si>
  <si>
    <t>Cd40-ASO 571 LNA</t>
  </si>
  <si>
    <t>Cd40-ASO 576 LNA</t>
  </si>
  <si>
    <t>Cd40-ASO 581 LNA</t>
  </si>
  <si>
    <t>Cd40-ASO 586 LNA</t>
  </si>
  <si>
    <t>Cd40-ASO 591 LNA</t>
  </si>
  <si>
    <t>Cd40-ASO 596 LNA</t>
  </si>
  <si>
    <t>Cd40-ASO 601 LNA</t>
  </si>
  <si>
    <t>Cd40-ASO 606 LNA</t>
  </si>
  <si>
    <t>Cd40-ASO 611 LNA</t>
  </si>
  <si>
    <t>Cd40-ASO 616 LNA</t>
  </si>
  <si>
    <t>Cd40-ASO 621 LNA</t>
  </si>
  <si>
    <t>Cd40-ASO 626 LNA</t>
  </si>
  <si>
    <t>Cd40-ASO 631 LNA</t>
  </si>
  <si>
    <t>Cd40-ASO 636 LNA</t>
  </si>
  <si>
    <t>Cd40-ASO 641 LNA</t>
  </si>
  <si>
    <t>Cd40-ASO 646 LNA</t>
  </si>
  <si>
    <t>Cd40-ASO 651 LNA</t>
  </si>
  <si>
    <t>Cd40-ASO 656 LNA</t>
  </si>
  <si>
    <t>Cd40-ASO 661 LNA</t>
  </si>
  <si>
    <t>Cd40-ASO 666 LNA</t>
  </si>
  <si>
    <t>Cd40-ASO 671 LNA</t>
  </si>
  <si>
    <t>Cd40-ASO 676 LNA</t>
  </si>
  <si>
    <t>Cd40-ASO 681 LNA</t>
  </si>
  <si>
    <t>Cd40-ASO 686 LNA</t>
  </si>
  <si>
    <t>Cd40-ASO 691 LNA</t>
  </si>
  <si>
    <t>Cd40-ASO 696 LNA</t>
  </si>
  <si>
    <t>Cd40-ASO 701 LNA</t>
  </si>
  <si>
    <t>Cd40-ASO 706 LNA</t>
  </si>
  <si>
    <t>Cd40-ASO 711 LNA</t>
  </si>
  <si>
    <t>Cd40-ASO 716 LNA</t>
  </si>
  <si>
    <t>Cd40-ASO 721 LNA</t>
  </si>
  <si>
    <t>Cd40-ASO 726 LNA</t>
  </si>
  <si>
    <t>Cd40-ASO 731 LNA</t>
  </si>
  <si>
    <t>Cd40-ASO 736 LNA</t>
  </si>
  <si>
    <t>Cd40-ASO 741 LNA</t>
  </si>
  <si>
    <t>Cd40-ASO 746 LNA</t>
  </si>
  <si>
    <t>Cd40-ASO 751 LNA</t>
  </si>
  <si>
    <t>Cd40-ASO 756 LNA</t>
  </si>
  <si>
    <t>Cd40-ASO 761 LNA</t>
  </si>
  <si>
    <t>Cd40-ASO 766 LNA</t>
  </si>
  <si>
    <t>Cd40-ASO 771 LNA</t>
  </si>
  <si>
    <t>Cd40-ASO 776 LNA</t>
  </si>
  <si>
    <t>Cd40-ASO 781 LNA</t>
  </si>
  <si>
    <t>Cd40-ASO 786 LNA</t>
  </si>
  <si>
    <t>Cd40-ASO 791 LNA</t>
  </si>
  <si>
    <t>Cd40-ASO 796 LNA</t>
  </si>
  <si>
    <t>Cd40-ASO 801 LNA</t>
  </si>
  <si>
    <t>Cd40-ASO 806 LNA</t>
  </si>
  <si>
    <t>Cd40-ASO 811 LNA</t>
  </si>
  <si>
    <t>Cd40-ASO 816 LNA</t>
  </si>
  <si>
    <t>Cd40-ASO 821 LNA</t>
  </si>
  <si>
    <t>Cd40-ASO 826 LNA</t>
  </si>
  <si>
    <t>Cd40-ASO 831 LNA</t>
  </si>
  <si>
    <t>Cd40-ASO 836 LNA</t>
  </si>
  <si>
    <t>Cd40-ASO 841 LNA</t>
  </si>
  <si>
    <t>Cd40-ASO 31 MOE</t>
  </si>
  <si>
    <t>Cd40-ASO 36 MOE</t>
  </si>
  <si>
    <t>Cd40-ASO 41 MOE</t>
  </si>
  <si>
    <t>Cd40-ASO 46 MOE</t>
  </si>
  <si>
    <t>Cd40-ASO 51 MOE</t>
  </si>
  <si>
    <t>Cd40-ASO 56 MOE</t>
  </si>
  <si>
    <t>Cd40-ASO 61 MOE</t>
  </si>
  <si>
    <t>Cd40-ASO 66 MOE</t>
  </si>
  <si>
    <t>Cd40-ASO 71 MOE</t>
  </si>
  <si>
    <t>Cd40-ASO 76 MOE</t>
  </si>
  <si>
    <t>Cd40-ASO 81 MOE</t>
  </si>
  <si>
    <t>Cd40-ASO 86 MOE</t>
  </si>
  <si>
    <t>Cd40-ASO 91 MOE</t>
  </si>
  <si>
    <t>Cd40-ASO 96 MOE</t>
  </si>
  <si>
    <t>Cd40-ASO 101 MOE</t>
  </si>
  <si>
    <t>Cd40-ASO 106 MOE</t>
  </si>
  <si>
    <t>Cd40-ASO 111 MOE</t>
  </si>
  <si>
    <t>Cd40-ASO 116 MOE</t>
  </si>
  <si>
    <t>Cd40-ASO 121 MOE</t>
  </si>
  <si>
    <t>Cd40-ASO 126 MOE</t>
  </si>
  <si>
    <t>Cd40-ASO 131 MOE</t>
  </si>
  <si>
    <t>Cd40-ASO 136 MOE</t>
  </si>
  <si>
    <t>Cd40-ASO 141 MOE</t>
  </si>
  <si>
    <t>Cd40-ASO 146 MOE</t>
  </si>
  <si>
    <t>Cd40-ASO 151 MOE</t>
  </si>
  <si>
    <t>Cd40-ASO 156 MOE</t>
  </si>
  <si>
    <t>Cd40-ASO 161 MOE</t>
  </si>
  <si>
    <t>Cd40-ASO 166 MOE</t>
  </si>
  <si>
    <t>Cd40-ASO 171 MOE</t>
  </si>
  <si>
    <t>Cd40-ASO 176 MOE</t>
  </si>
  <si>
    <t>Cd40-ASO 181 MOE</t>
  </si>
  <si>
    <t>Cd40-ASO 186 MOE</t>
  </si>
  <si>
    <t>Cd40-ASO 191 MOE</t>
  </si>
  <si>
    <t>Cd40-ASO 196 MOE</t>
  </si>
  <si>
    <t>Cd40-ASO 201 MOE</t>
  </si>
  <si>
    <t>Cd40-ASO 206 MOE</t>
  </si>
  <si>
    <t>Cd40-ASO 211 MOE</t>
  </si>
  <si>
    <t>Cd40-ASO 216 MOE</t>
  </si>
  <si>
    <t>Cd40-ASO 221 MOE</t>
  </si>
  <si>
    <t>Cd40-ASO 226 MOE</t>
  </si>
  <si>
    <t>Cd40-ASO 231 MOE</t>
  </si>
  <si>
    <t>Cd40-ASO 236 MOE</t>
  </si>
  <si>
    <t>Cd40-ASO 241 MOE</t>
  </si>
  <si>
    <t>Cd40-ASO 246 MOE</t>
  </si>
  <si>
    <t>Cd40-ASO 251 MOE</t>
  </si>
  <si>
    <t>Cd40-ASO 256 MOE</t>
  </si>
  <si>
    <t>Cd40-ASO 261 MOE</t>
  </si>
  <si>
    <t>Cd40-ASO 266 MOE</t>
  </si>
  <si>
    <t>Cd40-ASO 271 MOE</t>
  </si>
  <si>
    <t>Cd40-ASO 276 MOE</t>
  </si>
  <si>
    <t>Cd40-ASO 281 MOE</t>
  </si>
  <si>
    <t>Cd40-ASO 286 MOE</t>
  </si>
  <si>
    <t>Cd40-ASO 291 MOE</t>
  </si>
  <si>
    <t>Cd40-ASO 296 MOE</t>
  </si>
  <si>
    <t>Cd40-ASO 301 MOE</t>
  </si>
  <si>
    <t>Cd40-ASO 306 MOE</t>
  </si>
  <si>
    <t>Cd40-ASO 311 MOE</t>
  </si>
  <si>
    <t>Cd40-ASO 316 MOE</t>
  </si>
  <si>
    <t>Cd40-ASO 321 MOE</t>
  </si>
  <si>
    <t>Cd40-ASO 326 MOE</t>
  </si>
  <si>
    <t>Cd40-ASO 331 MOE</t>
  </si>
  <si>
    <t>Cd40-ASO 336 MOE</t>
  </si>
  <si>
    <t>Cd40-ASO 341 MOE</t>
  </si>
  <si>
    <t>Cd40-ASO 346 MOE</t>
  </si>
  <si>
    <t>Cd40-ASO 351 MOE</t>
  </si>
  <si>
    <t>Cd40-ASO 356 MOE</t>
  </si>
  <si>
    <t>Cd40-ASO 361 MOE</t>
  </si>
  <si>
    <t>Cd40-ASO 366 MOE</t>
  </si>
  <si>
    <t>Cd40-ASO 371 MOE</t>
  </si>
  <si>
    <t>Cd40-ASO 376 MOE</t>
  </si>
  <si>
    <t>Cd40-ASO 381 MOE</t>
  </si>
  <si>
    <t>Cd40-ASO 386 MOE</t>
  </si>
  <si>
    <t>Cd40-ASO 391 MOE</t>
  </si>
  <si>
    <t>Cd40-ASO 396 MOE</t>
  </si>
  <si>
    <t>Cd40-ASO 401 MOE</t>
  </si>
  <si>
    <t>Cd40-ASO 406 MOE</t>
  </si>
  <si>
    <t>Cd40-ASO 411 MOE</t>
  </si>
  <si>
    <t>Cd40-ASO 416 MOE</t>
  </si>
  <si>
    <t>Cd40-ASO 421 MOE</t>
  </si>
  <si>
    <t>Cd40-ASO 426 MOE</t>
  </si>
  <si>
    <t>Cd40-ASO 431 MOE</t>
  </si>
  <si>
    <t>Cd40-ASO 436 MOE</t>
  </si>
  <si>
    <t>Cd40-ASO 441 MOE</t>
  </si>
  <si>
    <t>Cd40-ASO 446 MOE</t>
  </si>
  <si>
    <t>Cd40-ASO 451 MOE</t>
  </si>
  <si>
    <t>Cd40-ASO 456 MOE</t>
  </si>
  <si>
    <t>Cd40-ASO 461 MOE</t>
  </si>
  <si>
    <t>Cd40-ASO 466 MOE</t>
  </si>
  <si>
    <t>Cd40-ASO 471 MOE</t>
  </si>
  <si>
    <t>Cd40-ASO 476 MOE</t>
  </si>
  <si>
    <t>Cd40-ASO 481 MOE</t>
  </si>
  <si>
    <t>Cd40-ASO 486 MOE</t>
  </si>
  <si>
    <t>Cd40-ASO 491 MOE</t>
  </si>
  <si>
    <t>Cd40-ASO 496 MOE</t>
  </si>
  <si>
    <t>Cd40-ASO 501 MOE</t>
  </si>
  <si>
    <t>Cd40-ASO 506 MOE</t>
  </si>
  <si>
    <t>Cd40-ASO 511 MOE</t>
  </si>
  <si>
    <t>Cd40-ASO 516 MOE</t>
  </si>
  <si>
    <t>Cd40-ASO 521 MOE</t>
  </si>
  <si>
    <t>Cd40-ASO 526 MOE</t>
  </si>
  <si>
    <t>Cd40-ASO 531 MOE</t>
  </si>
  <si>
    <t>Cd40-ASO 536 MOE</t>
  </si>
  <si>
    <t>Cd40-ASO 541 MOE</t>
  </si>
  <si>
    <t>Cd40-ASO 546 MOE</t>
  </si>
  <si>
    <t>Cd40-ASO 551 MOE</t>
  </si>
  <si>
    <t>Cd40-ASO 556 MOE</t>
  </si>
  <si>
    <t>Cd40-ASO 561 MOE</t>
  </si>
  <si>
    <t>Cd40-ASO 566 MOE</t>
  </si>
  <si>
    <t>Cd40-ASO 571 MOE</t>
  </si>
  <si>
    <t>Cd40-ASO 576 MOE</t>
  </si>
  <si>
    <t>Cd40-ASO 581 MOE</t>
  </si>
  <si>
    <t>Cd40-ASO 586 MOE</t>
  </si>
  <si>
    <t>Cd40-ASO 591 MOE</t>
  </si>
  <si>
    <t>Cd40-ASO 596 MOE</t>
  </si>
  <si>
    <t>Cd40-ASO 601 MOE</t>
  </si>
  <si>
    <t>Cd40-ASO 606 MOE</t>
  </si>
  <si>
    <t>Cd40-ASO 611 MOE</t>
  </si>
  <si>
    <t>Cd40-ASO 616 MOE</t>
  </si>
  <si>
    <t>Cd40-ASO 621 MOE</t>
  </si>
  <si>
    <t>Cd40-ASO 626 MOE</t>
  </si>
  <si>
    <t>Cd40-ASO 631 MOE</t>
  </si>
  <si>
    <t>Cd40-ASO 636 MOE</t>
  </si>
  <si>
    <t>Cd40-ASO 641 MOE</t>
  </si>
  <si>
    <t>Cd40-ASO 646 MOE</t>
  </si>
  <si>
    <t>Cd40-ASO 651 MOE</t>
  </si>
  <si>
    <t>Cd40-ASO 656 MOE</t>
  </si>
  <si>
    <t>Cd40-ASO 661 MOE</t>
  </si>
  <si>
    <t>Cd40-ASO 666 MOE</t>
  </si>
  <si>
    <t>Cd40-ASO 671 MOE</t>
  </si>
  <si>
    <t>Cd40-ASO 676 MOE</t>
  </si>
  <si>
    <t>Cd40-ASO 681 MOE</t>
  </si>
  <si>
    <t>Cd40-ASO 686 MOE</t>
  </si>
  <si>
    <t>Cd40-ASO 691 MOE</t>
  </si>
  <si>
    <t>Cd40-ASO 696 MOE</t>
  </si>
  <si>
    <t>Cd40-ASO 701 MOE</t>
  </si>
  <si>
    <t>Cd40-ASO 706 MOE</t>
  </si>
  <si>
    <t>Cd40-ASO 711 MOE</t>
  </si>
  <si>
    <t>Cd40-ASO 716 MOE</t>
  </si>
  <si>
    <t>Cd40-ASO 721 MOE</t>
  </si>
  <si>
    <t>Cd40-ASO 726 MOE</t>
  </si>
  <si>
    <t>Cd40-ASO 731 MOE</t>
  </si>
  <si>
    <t>Cd40-ASO 736 MOE</t>
  </si>
  <si>
    <t>Cd40-ASO 741 MOE</t>
  </si>
  <si>
    <t>Cd40-ASO 746 MOE</t>
  </si>
  <si>
    <t>Cd40-ASO 751 MOE</t>
  </si>
  <si>
    <t>Cd40-ASO 756 MOE</t>
  </si>
  <si>
    <t>Cd40-ASO 761 MOE</t>
  </si>
  <si>
    <t>Cd40-ASO 766 MOE</t>
  </si>
  <si>
    <t>Cd40-ASO 771 MOE</t>
  </si>
  <si>
    <t>Cd40-ASO 776 MOE</t>
  </si>
  <si>
    <t>Cd40-ASO 781 MOE</t>
  </si>
  <si>
    <t>Cd40-ASO 786 MOE</t>
  </si>
  <si>
    <t>Cd40-ASO 791 MOE</t>
  </si>
  <si>
    <t>Cd40-ASO 796 MOE</t>
  </si>
  <si>
    <t>Cd40-ASO 801 MOE</t>
  </si>
  <si>
    <t>Cd40-ASO 806 MOE</t>
  </si>
  <si>
    <t>Cd40-ASO 811 MOE</t>
  </si>
  <si>
    <t>Cd40-ASO 816 MOE</t>
  </si>
  <si>
    <t>Cd40-ASO 821 MOE</t>
  </si>
  <si>
    <t>Cd40-ASO 826 MOE</t>
  </si>
  <si>
    <t>Cd40-ASO 831 MOE</t>
  </si>
  <si>
    <t>Cd40-ASO 836 MOE</t>
  </si>
  <si>
    <t>Cd40-ASO 841 MOE</t>
  </si>
  <si>
    <t>G(L)^A(L)^G(L)^G^C^A^G^A^C^G^A^A^C^mC(L)^A(L)^T(L)</t>
  </si>
  <si>
    <t>mC(L)^T(L)^G(L)^C^A^G^A^G^G^C^A^G^A^mC(L)^G(L)^A(L)</t>
  </si>
  <si>
    <t>A(L)^mC(L)^G(L)^C^A^C^T^G^C^A^G^A^G^G(L)^mC(L)^A(L)</t>
  </si>
  <si>
    <t>A(L)^G(L)^A(L)^G^G^A^C^G^C^A^C^T^G^mC(L)^A(L)^G(L)</t>
  </si>
  <si>
    <t>G(L)^mC(L)^mC(L)^C^C^A^G^A^G^G^A^C^G^mC(L)^A(L)^mC(L)</t>
  </si>
  <si>
    <t>A(L)^A(L)^G(L)^C^A^G^C^C^C^C^A^G^A^G(L)^G(L)^A(L)</t>
  </si>
  <si>
    <t>T(L)^mC(L)^A(L)^G^C^A^A^G^C^A^G^C^C^mC(L)^mC(L)^A(L)</t>
  </si>
  <si>
    <t>A(L)^G(L)^mC(L)^G^G^T^C^A^G^C^A^A^G^mC(L)^A(L)^G(L)</t>
  </si>
  <si>
    <t>T(L)^G(L)^G(L)^A^C^A^G^C^G^G^T^C^A^G(L)^mC(L)^A(L)</t>
  </si>
  <si>
    <t>mC(L)^T(L)^G(L)^G^A^T^G^G^A^C^A^G^C^G(L)^G(L)^T(L)</t>
  </si>
  <si>
    <t>T(L)^G(L)^G(L)^T^T^C^T^G^G^A^T^G^G^A(L)^mC(L)^A(L)</t>
  </si>
  <si>
    <t>G(L)^T(L)^G(L)^G^G^T^G^G^T^T^C^T^G^G(L)^A(L)^T(L)</t>
  </si>
  <si>
    <t>A(L)^T(L)^G(L)^C^A^G^T^G^G^G^T^G^G^T(L)^T(L)^mC(L)</t>
  </si>
  <si>
    <t>T(L)^mC(L)^T(L)^G^C^A^T^G^C^A^G^T^G^G(L)^G(L)^T(L)</t>
  </si>
  <si>
    <t>T(L)^T(L)^T(L)^T^C^T^C^T^G^C^A^T^G^mC(L)^A(L)^G(L)</t>
  </si>
  <si>
    <t>A(L)^mC(L)^T(L)^G^T^T^T^T^T^C^T^C^T^G(L)^mC(L)^A(L)</t>
  </si>
  <si>
    <t>T(L)^A(L)^G(L)^G^T^A^C^T^G^T^T^T^T^T(L)^mC(L)^T(L)</t>
  </si>
  <si>
    <t>T(L)^T(L)^T(L)^A^T^T^A^G^G^T^A^C^T^G(L)^T(L)^T(L)</t>
  </si>
  <si>
    <t>G(L)^A(L)^mC(L)^T^G^T^T^T^A^T^T^A^G^G(L)^T(L)^A(L)</t>
  </si>
  <si>
    <t>G(L)^mC(L)^A(L)^C^T^G^A^C^T^G^T^T^T^A(L)^T(L)^T(L)</t>
  </si>
  <si>
    <t>G(L)^A(L)^A(L)^C^A^G^C^A^C^T^G^A^C^T(L)^G(L)^T(L)</t>
  </si>
  <si>
    <t>A(L)^mC(L)^A(L)^A^A^G^A^A^C^A^G^C^A^mC(L)^T(L)^G(L)</t>
  </si>
  <si>
    <t>mC(L)^T(L)^G(L)^G^C^A^C^A^A^A^G^A^A^mC(L)^A(L)^G(L)</t>
  </si>
  <si>
    <t>mC(L)^mC(L)^T(L)^G^G^C^T^G^G^C^A^C^A^A(L)^A(L)^G(L)</t>
  </si>
  <si>
    <t>T(L)^mC(L)^T(L)^G^T^C^C^T^G^G^C^T^G^G(L)^mC(L)^A(L)</t>
  </si>
  <si>
    <t>mC(L)^A(L)^G(L)^T^T^T^C^T^G^T^C^C^T^G(L)^G(L)^mC(L)</t>
  </si>
  <si>
    <t>mC(L)^T(L)^mC(L)^A^C^C^A^G^T^T^T^C^T^G(L)^T(L)^mC(L)</t>
  </si>
  <si>
    <t>A(L)^G(L)^T(L)^C^A^C^T^C^A^C^C^A^G^T(L)^T(L)^T(L)</t>
  </si>
  <si>
    <t>T(L)^G(L)^T(L)^G^C^A^G^T^C^A^C^T^C^A(L)^mC(L)^mC(L)</t>
  </si>
  <si>
    <t>A(L)^A(L)^mC(L)^T^C^T^G^T^G^C^A^G^T^mC(L)^A(L)^mC(L)</t>
  </si>
  <si>
    <t>mC(L)^A(L)^G(L)^T^G^A^A^C^T^C^T^G^T^G(L)^mC(L)^A(L)</t>
  </si>
  <si>
    <t>mC(L)^G(L)^T(L)^T^T^C^A^G^T^G^A^A^C^T(L)^mC(L)^T(L)</t>
  </si>
  <si>
    <t>mC(L)^A(L)^T(L)^T^C^C^G^T^T^T^C^A^G^T(L)^G(L)^A(L)</t>
  </si>
  <si>
    <t>G(L)^A(L)^A(L)^G^G^C^A^T^T^C^C^G^T^T(L)^T(L)^mC(L)</t>
  </si>
  <si>
    <t>G(L)^mC(L)^A(L)^A^G^G^A^A^G^G^C^A^T^T(L)^mC(L)^mC(L)</t>
  </si>
  <si>
    <t>T(L)^mC(L)^A(L)^C^C^G^C^A^A^G^G^A^A^G(L)^G(L)^mC(L)</t>
  </si>
  <si>
    <t>mC(L)^G(L)^mC(L)^T^T^T^C^A^C^C^G^C^A^A(L)^G(L)^G(L)</t>
  </si>
  <si>
    <t>G(L)^A(L)^A(L)^T^T^C^G^C^T^T^T^C^A^mC(L)^mC(L)^G(L)</t>
  </si>
  <si>
    <t>T(L)^mC(L)^T(L)^A^G^G^A^A^T^T^C^G^C^T(L)^T(L)^T(L)</t>
  </si>
  <si>
    <t>A(L)^G(L)^G(L)^T^G^T^C^T^A^G^G^A^A^T(L)^T(L)^mC(L)</t>
  </si>
  <si>
    <t>G(L)^T(L)^T(L)^C^C^A^G^G^T^G^T^C^T^A(L)^G(L)^G(L)</t>
  </si>
  <si>
    <t>T(L)^mC(L)^T(L)^C^T^G^T^T^C^C^A^G^G^T(L)^G(L)^T(L)</t>
  </si>
  <si>
    <t>G(L)^T(L)^G(L)^T^C^T^C^T^C^T^G^T^T^mC(L)^mC(L)^A(L)</t>
  </si>
  <si>
    <t>G(L)^mC(L)^A(L)^G^T^G^T^G^T^C^T^C^T^mC(L)^T(L)^G(L)</t>
  </si>
  <si>
    <t>T(L)^G(L)^G(L)^T^G^G^C^A^G^T^G^T^G^T(L)^mC(L)^T(L)</t>
  </si>
  <si>
    <t>T(L)^G(L)^T(L)^G^C^T^G^G^T^G^G^C^A^G(L)^T(L)^G(L)</t>
  </si>
  <si>
    <t>G(L)^T(L)^A(L)^T^T^T^G^T^G^C^T^G^G^T(L)^G(L)^G(L)</t>
  </si>
  <si>
    <t>T(L)^mC(L)^G(L)^C^A^G^T^A^T^T^T^G^T^G(L)^mC(L)^T(L)</t>
  </si>
  <si>
    <t>T(L)^G(L)^G(L)^G^G^T^C^G^C^A^G^T^A^T(L)^T(L)^T(L)</t>
  </si>
  <si>
    <t>T(L)^A(L)^G(L)^G^T^T^G^G^G^G^T^C^G^mC(L)^A(L)^G(L)</t>
  </si>
  <si>
    <t>A(L)^G(L)^mC(L)^C^C^T^A^G^G^T^T^G^G^G(L)^G(L)^T(L)</t>
  </si>
  <si>
    <t>mC(L)^mC(L)^mC(L)^G^A^A^G^C^C^C^T^A^G^G(L)^T(L)^T(L)</t>
  </si>
  <si>
    <t>mC(L)^T(L)^G(L)^G^A^C^C^C^G^A^A^G^C^mC(L)^mC(L)^T(L)</t>
  </si>
  <si>
    <t>T(L)^T(L)^mC(L)^T^G^C^T^G^G^A^C^C^C^G(L)^A(L)^A(L)</t>
  </si>
  <si>
    <t>T(L)^G(L)^mC(L)^C^C^T^T^C^T^G^C^T^G^G(L)^A(L)^mC(L)</t>
  </si>
  <si>
    <t>T(L)^G(L)^A(L)^G^G^T^G^C^C^C^T^T^C^T(L)^G(L)^mC(L)</t>
  </si>
  <si>
    <t>G(L)^T(L)^T(L)^T^C^T^G^A^G^G^T^G^C^mC(L)^mC(L)^T(L)</t>
  </si>
  <si>
    <t>T(L)^G(L)^T(L)^C^T^G^T^T^T^C^T^G^A^G(L)^G(L)^T(L)</t>
  </si>
  <si>
    <t>G(L)^A(L)^T(L)^G^G^T^G^T^C^T^G^T^T^T(L)^mC(L)^T(L)</t>
  </si>
  <si>
    <t>G(L)^T(L)^G(L)^C^A^G^A^T^G^G^T^G^T^mC(L)^T(L)^G(L)</t>
  </si>
  <si>
    <t>mC(L)^A(L)^mC(L)^A^G^G^T^G^C^A^G^A^T^G(L)^G(L)^T(L)</t>
  </si>
  <si>
    <t>T(L)^T(L)^mC(L)^T^T^C^A^C^A^G^G^T^G^mC(L)^A(L)^G(L)</t>
  </si>
  <si>
    <t>mC(L)^A(L)^G(L)^C^C^T^T^C^T^T^C^A^C^A(L)^G(L)^G(L)</t>
  </si>
  <si>
    <t>A(L)^G(L)^T(L)^G^C^C^A^G^C^C^T^T^C^T(L)^T(L)^mC(L)</t>
  </si>
  <si>
    <t>mC(L)^G(L)^T(L)^A^C^A^G^T^G^C^C^A^G^mC(L)^mC(L)^T(L)</t>
  </si>
  <si>
    <t>T(L)^mC(L)^A(L)^C^T^C^G^T^A^C^A^G^T^G(L)^mC(L)^mC(L)</t>
  </si>
  <si>
    <t>A(L)^G(L)^G(L)^C^C^T^C^A^C^T^C^G^T^A(L)^mC(L)^A(L)</t>
  </si>
  <si>
    <t>mC(L)^T(L)^mC(L)^A^C^A^G^G^C^C^T^C^A^mC(L)^T(L)^mC(L)</t>
  </si>
  <si>
    <t>mC(L)^A(L)^G(L)^C^T^C^T^C^A^C^A^G^G^mC(L)^mC(L)^T(L)</t>
  </si>
  <si>
    <t>G(L)^G(L)^A(L)^C^A^C^A^G^C^T^C^T^C^A(L)^mC(L)^A(L)</t>
  </si>
  <si>
    <t>G(L)^T(L)^G(L)^C^A^G^G^A^C^A^C^A^G^mC(L)^T(L)^mC(L)</t>
  </si>
  <si>
    <t>G(L)^A(L)^G(L)^C^G^G^T^G^C^A^G^G^A^mC(L)^A(L)^mC(L)</t>
  </si>
  <si>
    <t>A(L)^G(L)^mC(L)^A^T^G^A^G^C^G^G^T^G^mC(L)^A(L)^G(L)</t>
  </si>
  <si>
    <t>G(L)^G(L)^G(L)^C^G^A^G^C^A^T^G^A^G^mC(L)^G(L)^G(L)</t>
  </si>
  <si>
    <t>A(L)^A(L)^G(L)^C^C^G^G^G^C^G^A^G^C^A(L)^T(L)^G(L)</t>
  </si>
  <si>
    <t>mC(L)^mC(L)^mC(L)^C^A^A^A^G^C^C^G^G^G^mC(L)^G(L)^A(L)</t>
  </si>
  <si>
    <t>mC(L)^T(L)^T(L)^G^A^C^C^C^C^A^A^A^G^mC(L)^mC(L)^G(L)</t>
  </si>
  <si>
    <t>A(L)^T(L)^mC(L)^T^G^C^T^T^G^A^C^C^C^mC(L)^A(L)^A(L)</t>
  </si>
  <si>
    <t>T(L)^A(L)^G(L)^C^A^A^T^C^T^G^C^T^T^G(L)^A(L)^mC(L)</t>
  </si>
  <si>
    <t>mC(L)^mC(L)^mC(L)^T^G^T^A^G^C^A^A^T^C^T(L)^G(L)^mC(L)</t>
  </si>
  <si>
    <t>G(L)^A(L)^A(L)^A^C^C^C^C^T^G^T^A^G^mC(L)^A(L)^A(L)</t>
  </si>
  <si>
    <t>T(L)^A(L)^T(L)^C^A^G^A^A^A^C^C^C^C^T(L)^G(L)^T(L)</t>
  </si>
  <si>
    <t>G(L)^A(L)^T(L)^G^G^T^A^T^C^A^G^A^A^A(L)^mC(L)^mC(L)</t>
  </si>
  <si>
    <t>T(L)^mC(L)^G(L)^C^A^G^A^T^G^G^T^A^T^mC(L)^A(L)^G(L)</t>
  </si>
  <si>
    <t>A(L)^G(L)^G(L)^G^C^T^C^G^C^A^G^A^T^G(L)^G(L)^T(L)</t>
  </si>
  <si>
    <t>T(L)^G(L)^G(L)^G^C^A^G^G^G^C^T^C^G^mC(L)^A(L)^G(L)</t>
  </si>
  <si>
    <t>mC(L)^mC(L)^G(L)^A^C^T^G^G^G^C^A^G^G^G(L)^mC(L)^T(L)</t>
  </si>
  <si>
    <t>A(L)^G(L)^A(L)^A^G^C^C^G^A^C^T^G^G^G(L)^mC(L)^A(L)</t>
  </si>
  <si>
    <t>G(L)^G(L)^A(L)^G^A^A^G^A^A^G^C^C^G^A(L)^mC(L)^T(L)</t>
  </si>
  <si>
    <t>A(L)^mC(L)^A(L)^T^T^G^G^A^G^A^A^G^A^A(L)^G(L)^mC(L)</t>
  </si>
  <si>
    <t>A(L)^T(L)^G(L)^A^C^A^C^A^T^T^G^G^A^G(L)^A(L)^A(L)</t>
  </si>
  <si>
    <t>A(L)^G(L)^mC(L)^A^G^A^T^G^A^C^A^C^A^T(L)^T(L)^G(L)</t>
  </si>
  <si>
    <t>T(L)^mC(L)^G(L)^A^A^A^G^C^A^G^A^T^G^A(L)^mC(L)^A(L)</t>
  </si>
  <si>
    <t>A(L)^T(L)^T(L)^T^T^T^C^G^A^A^A^G^C^A(L)^G(L)^A(L)</t>
  </si>
  <si>
    <t>G(L)^T(L)^G(L)^A^C^A^T^T^T^T^T^C^G^A(L)^A(L)^A(L)</t>
  </si>
  <si>
    <t>mC(L)^A(L)^A(L)^G^G^G^T^G^A^C^A^T^T^T(L)^T(L)^T(L)</t>
  </si>
  <si>
    <t>T(L)^T(L)^G(L)^T^C^C^A^A^G^G^G^T^G^A(L)^mC(L)^A(L)</t>
  </si>
  <si>
    <t>A(L)^mC(L)^A(L)^G^C^T^T^G^T^C^C^A^A^G(L)^G(L)^G(L)</t>
  </si>
  <si>
    <t>G(L)^T(L)^mC(L)^T^C^A^C^A^G^C^T^T^G^T(L)^mC(L)^mC(L)</t>
  </si>
  <si>
    <t>mC(L)^T(L)^T(L)^T^G^G^T^C^T^C^A^C^A^G(L)^mC(L)^T(L)</t>
  </si>
  <si>
    <t>mC(L)^A(L)^G(L)^G^T^C^T^T^T^G^G^T^C^T(L)^mC(L)^A(L)</t>
  </si>
  <si>
    <t>A(L)^mC(L)^A(L)^A^C^C^A^G^G^T^C^T^T^T(L)^G(L)^G(L)</t>
  </si>
  <si>
    <t>G(L)^T(L)^T(L)^G^C^A^C^A^A^C^C^A^G^G(L)^T(L)^mC(L)</t>
  </si>
  <si>
    <t>T(L)^G(L)^mC(L)^C^T^G^T^T^G^C^A^C^A^A(L)^mC(L)^mC(L)</t>
  </si>
  <si>
    <t>G(L)^T(L)^G(L)^C^C^T^G^C^C^T^G^T^T^G(L)^mC(L)^A(L)</t>
  </si>
  <si>
    <t>T(L)^G(L)^T(L)^T^T^G^T^G^C^C^T^G^C^mC(L)^T(L)^G(L)</t>
  </si>
  <si>
    <t>A(L)^G(L)^T(L)^C^T^T^G^T^T^T^G^T^G^mC(L)^mC(L)^T(L)</t>
  </si>
  <si>
    <t>A(L)^mC(L)^A(L)^T^C^A^G^T^C^T^T^G^T^T(L)^T(L)^G(L)</t>
  </si>
  <si>
    <t>A(L)^G(L)^A(L)^C^A^A^C^A^T^C^A^G^T^mC(L)^T(L)^T(L)</t>
  </si>
  <si>
    <t>A(L)^mC(L)^mC(L)^A^C^A^G^A^C^A^A^C^A^T(L)^mC(L)^A(L)</t>
  </si>
  <si>
    <t>T(L)^G(L)^G(L)^G^G^A^C^C^A^C^A^G^A^mC(L)^A(L)^A(L)</t>
  </si>
  <si>
    <t>G(L)^A(L)^T(L)^C^C^T^G^G^G^G^A^C^C^A(L)^mC(L)^A(L)</t>
  </si>
  <si>
    <t>mC(L)^A(L)^G(L)^C^C^G^A^T^C^C^T^G^G^G(L)^G(L)^A(L)</t>
  </si>
  <si>
    <t>G(L)^mC(L)^T(L)^C^T^C^A^G^C^C^G^A^T^mC(L)^mC(L)^T(L)</t>
  </si>
  <si>
    <t>mC(L)^mC(L)^A(L)^G^G^G^C^T^C^T^C^A^G^mC(L)^mC(L)^G(L)</t>
  </si>
  <si>
    <t>mC(L)^A(L)^mC(L)^C^A^C^C^A^G^G^G^C^T^mC(L)^T(L)^mC(L)</t>
  </si>
  <si>
    <t>G(L)^G(L)^G(L)^A^T^C^A^C^C^A^C^C^A^G(L)^G(L)^G(L)</t>
  </si>
  <si>
    <t>T(L)^G(L)^A(L)^T^G^G^G^G^A^T^C^A^C^mC(L)^A(L)^mC(L)</t>
  </si>
  <si>
    <t>G(L)^A(L)^A(L)^G^A^T^G^A^T^G^G^G^G^A(L)^T(L)^mC(L)</t>
  </si>
  <si>
    <t>A(L)^T(L)^mC(L)^C^C^G^A^A^G^A^T^G^A^T(L)^G(L)^G(L)</t>
  </si>
  <si>
    <t>A(L)^mC(L)^A(L)^G^G^A^T^C^C^C^G^A^A^G(L)^A(L)^T(L)</t>
  </si>
  <si>
    <t>G(L)^G(L)^mC(L)^A^A^A^C^A^G^G^A^T^C^mC(L)^mC(L)^G(L)</t>
  </si>
  <si>
    <t>A(L)^G(L)^G(L)^A^T^G^G^C^A^A^A^C^A^G(L)^G(L)^A(L)</t>
  </si>
  <si>
    <t>mC(L)^mC(L)^A(L)^A^G^A^G^G^A^T^G^G^C^A(L)^A(L)^A(L)</t>
  </si>
  <si>
    <t>mC(L)^A(L)^G(L)^C^A^C^C^A^A^G^A^G^G^A(L)^T(L)^G(L)</t>
  </si>
  <si>
    <t>A(L)^A(L)^G(L)^A^C^C^A^G^C^A^C^C^A^A(L)^G(L)^A(L)</t>
  </si>
  <si>
    <t>T(L)^G(L)^A(L)^T^A^A^A^G^A^C^C^A^G^mC(L)^A(L)^mC(L)</t>
  </si>
  <si>
    <t>mC(L)^T(L)^T(L)^T^T^T^G^A^T^A^A^A^G^A(L)^mC(L)^mC(L)</t>
  </si>
  <si>
    <t>G(L)^mC(L)^mC(L)^A^C^C^T^T^T^T^T^G^A^T(L)^A(L)^A(L)</t>
  </si>
  <si>
    <t>T(L)^mC(L)^T(L)^T^G^G^C^C^A^C^C^T^T^T(L)^T(L)^T(L)</t>
  </si>
  <si>
    <t>T(L)^G(L)^G(L)^C^T^T^C^T^T^G^G^C^C^A(L)^mC(L)^mC(L)</t>
  </si>
  <si>
    <t>T(L)^T(L)^G(L)^G^T^T^G^G^C^T^T^C^T^T(L)^G(L)^G(L)</t>
  </si>
  <si>
    <t>mC(L)^mC(L)^T(L)^T^A^T^T^G^G^T^T^G^G^mC(L)^T(L)^T(L)</t>
  </si>
  <si>
    <t>G(L)^G(L)^G(L)^G^G^C^C^T^T^A^T^T^G^G(L)^T(L)^T(L)</t>
  </si>
  <si>
    <t>G(L)^G(L)^G(L)^T^G^G^G^G^G^G^C^C^T^T(L)^A(L)^T(L)</t>
  </si>
  <si>
    <t>G(L)^mC(L)^T(L)^T^G^G^G^G^T^G^G^G^G^G(L)^G(L)^mC(L)</t>
  </si>
  <si>
    <t>T(L)^T(L)^mC(L)^C^T^G^C^T^T^G^G^G^G^T(L)^G(L)^G(L)</t>
  </si>
  <si>
    <t>T(L)^G(L)^G(L)^G^G^T^T^C^C^T^G^C^T^T(L)^G(L)^G(L)</t>
  </si>
  <si>
    <t>T(L)^mC(L)^T(L)^C^C^T^G^G^G^G^T^T^C^mC(L)^T(L)^G(L)</t>
  </si>
  <si>
    <t>A(L)^T(L)^T(L)^G^A^T^C^T^C^C^T^G^G^G(L)^G(L)^T(L)</t>
  </si>
  <si>
    <t>G(L)^G(L)^A(L)^A^A^A^T^T^G^A^T^C^T^mC(L)^mC(L)^T(L)</t>
  </si>
  <si>
    <t>mC(L)^G(L)^T(L)^C^G^G^G^A^A^A^A^T^T^G(L)^A(L)^T(L)</t>
  </si>
  <si>
    <t>A(L)^A(L)^G(L)^A^T^C^G^T^C^G^G^G^A^A(L)^A(L)^A(L)</t>
  </si>
  <si>
    <t>mC(L)^mC(L)^A(L)^G^G^A^A^G^A^T^C^G^T^mC(L)^G(L)^G(L)</t>
  </si>
  <si>
    <t>T(L)^G(L)^G(L)^A^G^C^C^A^G^G^A^A^G^A(L)^T(L)^mC(L)</t>
  </si>
  <si>
    <t>A(L)^G(L)^T(L)^G^T^T^G^G^A^G^C^C^A^G(L)^G(L)^A(L)</t>
  </si>
  <si>
    <t>G(L)^mC(L)^A(L)^G^C^A^G^T^G^T^T^G^G^A(L)^G(L)^mC(L)</t>
  </si>
  <si>
    <t>mC(L)^T(L)^G(L)^G^A^G^C^A^G^C^A^G^T^G(L)^T(L)^T(L)</t>
  </si>
  <si>
    <t>mC(L)^T(L)^G(L)^C^A^C^T^G^G^A^G^C^A^G(L)^mC(L)^A(L)</t>
  </si>
  <si>
    <t>G(L)^T(L)^mC(L)^T^C^C^T^G^C^A^C^T^G^G(L)^A(L)^G(L)</t>
  </si>
  <si>
    <t>G(L)^T(L)^A(L)^A^A^G^T^C^T^C^C^T^G^mC(L)^A(L)^mC(L)</t>
  </si>
  <si>
    <t>T(L)^mC(L)^mC(L)^A^T^G^T^A^A^A^G^T^C^T(L)^mC(L)^mC(L)</t>
  </si>
  <si>
    <t>T(L)^G(L)^G(L)^C^A^T^C^C^A^T^G^T^A^A(L)^A(L)^G(L)</t>
  </si>
  <si>
    <t>mC(L)^mC(L)^G(L)^G^T^T^G^G^C^A^T^C^C^A(L)^T(L)^G(L)</t>
  </si>
  <si>
    <t>G(L)^G(L)^T(L)^G^A^C^C^G^G^T^T^G^G^mC(L)^A(L)^T(L)</t>
  </si>
  <si>
    <t>T(L)^mC(L)^mC(L)^T^G^G^G^T^G^A^C^C^G^G(L)^T(L)^T(L)</t>
  </si>
  <si>
    <t>mC(L)^A(L)^T(L)^C^C^T^C^C^T^G^G^G^T^G(L)^A(L)^mC(L)</t>
  </si>
  <si>
    <t>T(L)^T(L)^T(L)^G^C^C^A^T^C^C^T^C^C^T(L)^G(L)^G(L)</t>
  </si>
  <si>
    <t>mC(L)^T(L)^mC(L)^T^C^T^T^T^G^C^C^A^T^mC(L)^mC(L)^T(L)</t>
  </si>
  <si>
    <t>T(L)^G(L)^mC(L)^G^A^C^T^C^T^C^T^T^T^G(L)^mC(L)^mC(L)</t>
  </si>
  <si>
    <t>T(L)^G(L)^A(L)^G^A^T^G^C^G^A^C^T^C^T(L)^mC(L)^T(L)</t>
  </si>
  <si>
    <t>T(L)^G(L)^mC(L)^A^C^T^G^A^G^A^T^G^C^G(L)^A(L)^mC(L)</t>
  </si>
  <si>
    <t>T(L)^mC(L)^T(L)^C^C^T^G^C^A^C^T^G^A^G(L)^A(L)^T(L)</t>
  </si>
  <si>
    <t>T(M)^G(M)^mC(M)^A(M)^G(M)^A^G^G^C^A^G^A^C^G^A^A(M)^mC(M)^mC(M)^A(M)^T(M)</t>
  </si>
  <si>
    <t>mC(M)^G(M)^mC(M)^A(M)^mC(M)^T^G^C^A^G^A^G^G^C^A^G(M)^A(M)^mC(M)^G(M)^A(M)</t>
  </si>
  <si>
    <t>G(M)^A(M)^G(M)^G(M)^A(M)^C^G^C^A^C^T^G^C^A^G^A(M)^G(M)^G(M)^mC(M)^A(M)</t>
  </si>
  <si>
    <t>mC(M)^mC(M)^mC(M)^mC(M)^A(M)^G^A^G^G^A^C^G^C^A^C^T(M)^G(M)^mC(M)^A(M)^G(M)</t>
  </si>
  <si>
    <t>A(M)^G(M)^mC(M)^A(M)^G(M)^C^C^C^C^A^G^A^G^G^A^mC(M)^G(M)^mC(M)^A(M)^mC(M)</t>
  </si>
  <si>
    <t>mC(M)^A(M)^G(M)^mC(M)^A(M)^A^G^C^A^G^C^C^C^C^A^G(M)^A(M)^G(M)^G(M)^A(M)</t>
  </si>
  <si>
    <t>G(M)^mC(M)^G(M)^G(M)^T(M)^C^A^G^C^A^A^G^C^A^G^mC(M)^mC(M)^mC(M)^mC(M)^A(M)</t>
  </si>
  <si>
    <t>G(M)^G(M)^A(M)^mC(M)^A(M)^G^C^G^G^T^C^A^G^C^A^A(M)^G(M)^mC(M)^A(M)^G(M)</t>
  </si>
  <si>
    <t>T(M)^G(M)^G(M)^A(M)^T(M)^G^G^A^C^A^G^C^G^G^T^mC(M)^A(M)^G(M)^mC(M)^A(M)</t>
  </si>
  <si>
    <t>G(M)^G(M)^T(M)^T(M)^mC(M)^T^G^G^A^T^G^G^A^C^A^G(M)^mC(M)^G(M)^G(M)^T(M)</t>
  </si>
  <si>
    <t>T(M)^G(M)^G(M)^G(M)^T(M)^G^G^T^T^C^T^G^G^A^T^G(M)^G(M)^A(M)^mC(M)^A(M)</t>
  </si>
  <si>
    <t>T(M)^G(M)^mC(M)^A(M)^G(M)^T^G^G^G^T^G^G^T^T^C^T(M)^G(M)^G(M)^A(M)^T(M)</t>
  </si>
  <si>
    <t>mC(M)^T(M)^G(M)^mC(M)^A(M)^T^G^C^A^G^T^G^G^G^T^G(M)^G(M)^T(M)^T(M)^mC(M)</t>
  </si>
  <si>
    <t>T(M)^T(M)^T(M)^mC(M)^T(M)^C^T^G^C^A^T^G^C^A^G^T(M)^G(M)^G(M)^G(M)^T(M)</t>
  </si>
  <si>
    <t>mC(M)^T(M)^G(M)^T(M)^T(M)^T^T^T^C^T^C^T^G^C^A^T(M)^G(M)^mC(M)^A(M)^G(M)</t>
  </si>
  <si>
    <t>A(M)^G(M)^G(M)^T(M)^A(M)^C^T^G^T^T^T^T^T^C^T^mC(M)^T(M)^G(M)^mC(M)^A(M)</t>
  </si>
  <si>
    <t>T(M)^T(M)^A(M)^T(M)^T(M)^A^G^G^T^A^C^T^G^T^T^T(M)^T(M)^T(M)^mC(M)^T(M)</t>
  </si>
  <si>
    <t>A(M)^mC(M)^T(M)^G(M)^T(M)^T^T^A^T^T^A^G^G^T^A^mC(M)^T(M)^G(M)^T(M)^T(M)</t>
  </si>
  <si>
    <t>mC(M)^A(M)^mC(M)^T(M)^G(M)^A^C^T^G^T^T^T^A^T^T^A(M)^G(M)^G(M)^T(M)^A(M)</t>
  </si>
  <si>
    <t>A(M)^A(M)^mC(M)^A(M)^G(M)^C^A^C^T^G^A^C^T^G^T^T(M)^T(M)^A(M)^T(M)^T(M)</t>
  </si>
  <si>
    <t>mC(M)^A(M)^A(M)^A(M)^G(M)^A^A^C^A^G^C^A^C^T^G^A(M)^mC(M)^T(M)^G(M)^T(M)</t>
  </si>
  <si>
    <t>T(M)^G(M)^G(M)^mC(M)^A(M)^C^A^A^A^G^A^A^C^A^G^mC(M)^A(M)^mC(M)^T(M)^G(M)</t>
  </si>
  <si>
    <t>mC(M)^T(M)^G(M)^G(M)^mC(M)^T^G^G^C^A^C^A^A^A^G^A(M)^A(M)^mC(M)^A(M)^G(M)</t>
  </si>
  <si>
    <t>mC(M)^T(M)^G(M)^T(M)^mC(M)^C^T^G^G^C^T^G^G^C^A^mC(M)^A(M)^A(M)^A(M)^G(M)</t>
  </si>
  <si>
    <t>A(M)^G(M)^T(M)^T(M)^T(M)^C^T^G^T^C^C^T^G^G^C^T(M)^G(M)^G(M)^mC(M)^A(M)</t>
  </si>
  <si>
    <t>T(M)^mC(M)^A(M)^mC(M)^mC(M)^A^G^T^T^T^C^T^G^T^C^mC(M)^T(M)^G(M)^G(M)^mC(M)</t>
  </si>
  <si>
    <t>G(M)^T(M)^mC(M)^A(M)^mC(M)^T^C^A^C^C^A^G^T^T^T^mC(M)^T(M)^G(M)^T(M)^mC(M)</t>
  </si>
  <si>
    <t>G(M)^T(M)^G(M)^mC(M)^A(M)^G^T^C^A^C^T^C^A^C^C^A(M)^G(M)^T(M)^T(M)^T(M)</t>
  </si>
  <si>
    <t>A(M)^mC(M)^T(M)^mC(M)^T(M)^G^T^G^C^A^G^T^C^A^C^T(M)^mC(M)^A(M)^mC(M)^mC(M)</t>
  </si>
  <si>
    <t>A(M)^G(M)^T(M)^G(M)^A(M)^A^C^T^C^T^G^T^G^C^A^G(M)^T(M)^mC(M)^A(M)^mC(M)</t>
  </si>
  <si>
    <t>G(M)^T(M)^T(M)^T(M)^mC(M)^A^G^T^G^A^A^C^T^C^T^G(M)^T(M)^G(M)^mC(M)^A(M)</t>
  </si>
  <si>
    <t>A(M)^T(M)^T(M)^mC(M)^mC(M)^G^T^T^T^C^A^G^T^G^A^A(M)^mC(M)^T(M)^mC(M)^T(M)</t>
  </si>
  <si>
    <t>A(M)^A(M)^G(M)^G(M)^mC(M)^A^T^T^C^C^G^T^T^T^C^A(M)^G(M)^T(M)^G(M)^A(M)</t>
  </si>
  <si>
    <t>mC(M)^A(M)^A(M)^G(M)^G(M)^A^A^G^G^C^A^T^T^C^C^G(M)^T(M)^T(M)^T(M)^mC(M)</t>
  </si>
  <si>
    <t>mC(M)^A(M)^mC(M)^mC(M)^G(M)^C^A^A^G^G^A^A^G^G^C^A(M)^T(M)^T(M)^mC(M)^mC(M)</t>
  </si>
  <si>
    <t>G(M)^mC(M)^T(M)^T(M)^T(M)^C^A^C^C^G^C^A^A^G^G^A(M)^A(M)^G(M)^G(M)^mC(M)</t>
  </si>
  <si>
    <t>A(M)^A(M)^T(M)^T(M)^mC(M)^G^C^T^T^T^C^A^C^C^G^mC(M)^A(M)^A(M)^G(M)^G(M)</t>
  </si>
  <si>
    <t>mC(M)^T(M)^A(M)^G(M)^G(M)^A^A^T^T^C^G^C^T^T^T^mC(M)^A(M)^mC(M)^mC(M)^G(M)</t>
  </si>
  <si>
    <t>G(M)^G(M)^T(M)^G(M)^T(M)^C^T^A^G^G^A^A^T^T^C^G(M)^mC(M)^T(M)^T(M)^T(M)</t>
  </si>
  <si>
    <t>T(M)^T(M)^mC(M)^mC(M)^A(M)^G^G^T^G^T^C^T^A^G^G^A(M)^A(M)^T(M)^T(M)^mC(M)</t>
  </si>
  <si>
    <t>mC(M)^T(M)^mC(M)^T(M)^G(M)^T^T^C^C^A^G^G^T^G^T^mC(M)^T(M)^A(M)^G(M)^G(M)</t>
  </si>
  <si>
    <t>T(M)^G(M)^T(M)^mC(M)^T(M)^C^T^C^T^G^T^T^C^C^A^G(M)^G(M)^T(M)^G(M)^T(M)</t>
  </si>
  <si>
    <t>mC(M)^A(M)^G(M)^T(M)^G(M)^T^G^T^C^T^C^T^C^T^G^T(M)^T(M)^mC(M)^mC(M)^A(M)</t>
  </si>
  <si>
    <t>G(M)^G(M)^T(M)^G(M)^G(M)^C^A^G^T^G^T^G^T^C^T^mC(M)^T(M)^mC(M)^T(M)^G(M)</t>
  </si>
  <si>
    <t>G(M)^T(M)^G(M)^mC(M)^T(M)^G^G^T^G^G^C^A^G^T^G^T(M)^G(M)^T(M)^mC(M)^T(M)</t>
  </si>
  <si>
    <t>T(M)^A(M)^T(M)^T(M)^T(M)^G^T^G^C^T^G^G^T^G^G^mC(M)^A(M)^G(M)^T(M)^G(M)</t>
  </si>
  <si>
    <t>mC(M)^G(M)^mC(M)^A(M)^G(M)^T^A^T^T^T^G^T^G^C^T^G(M)^G(M)^T(M)^G(M)^G(M)</t>
  </si>
  <si>
    <t>G(M)^G(M)^G(M)^G(M)^T(M)^C^G^C^A^G^T^A^T^T^T^G(M)^T(M)^G(M)^mC(M)^T(M)</t>
  </si>
  <si>
    <t>A(M)^G(M)^G(M)^T(M)^T(M)^G^G^G^G^T^C^G^C^A^G^T(M)^A(M)^T(M)^T(M)^T(M)</t>
  </si>
  <si>
    <t>G(M)^mC(M)^mC(M)^mC(M)^T(M)^A^G^G^T^T^G^G^G^G^T^mC(M)^G(M)^mC(M)^A(M)^G(M)</t>
  </si>
  <si>
    <t>mC(M)^mC(M)^G(M)^A(M)^A(M)^G^C^C^C^T^A^G^G^T^T^G(M)^G(M)^G(M)^G(M)^T(M)</t>
  </si>
  <si>
    <t>T(M)^G(M)^G(M)^A(M)^mC(M)^C^C^G^A^A^G^C^C^C^T^A(M)^G(M)^G(M)^T(M)^T(M)</t>
  </si>
  <si>
    <t>T(M)^mC(M)^T(M)^G(M)^mC(M)^T^G^G^A^C^C^C^G^A^A^G(M)^mC(M)^mC(M)^mC(M)^T(M)</t>
  </si>
  <si>
    <t>G(M)^mC(M)^mC(M)^mC(M)^T(M)^T^C^T^G^C^T^G^G^A^C^mC(M)^mC(M)^G(M)^A(M)^A(M)</t>
  </si>
  <si>
    <t>G(M)^A(M)^G(M)^G(M)^T(M)^G^C^C^C^T^T^C^T^G^C^T(M)^G(M)^G(M)^A(M)^mC(M)</t>
  </si>
  <si>
    <t>T(M)^T(M)^T(M)^mC(M)^T(M)^G^A^G^G^T^G^C^C^C^T^T(M)^mC(M)^T(M)^G(M)^mC(M)</t>
  </si>
  <si>
    <t>G(M)^T(M)^mC(M)^T(M)^G(M)^T^T^T^C^T^G^A^G^G^T^G(M)^mC(M)^mC(M)^mC(M)^T(M)</t>
  </si>
  <si>
    <t>A(M)^T(M)^G(M)^G(M)^T(M)^G^T^C^T^G^T^T^T^C^T^G(M)^A(M)^G(M)^G(M)^T(M)</t>
  </si>
  <si>
    <t>T(M)^G(M)^mC(M)^A(M)^G(M)^A^T^G^G^T^G^T^C^T^G^T(M)^T(M)^T(M)^mC(M)^T(M)</t>
  </si>
  <si>
    <t>A(M)^mC(M)^A(M)^G(M)^G(M)^T^G^C^A^G^A^T^G^G^T^G(M)^T(M)^mC(M)^T(M)^G(M)</t>
  </si>
  <si>
    <t>T(M)^mC(M)^T(M)^T(M)^mC(M)^A^C^A^G^G^T^G^C^A^G^A(M)^T(M)^G(M)^G(M)^T(M)</t>
  </si>
  <si>
    <t>A(M)^G(M)^mC(M)^mC(M)^T(M)^T^C^T^T^C^A^C^A^G^G^T(M)^G(M)^mC(M)^A(M)^G(M)</t>
  </si>
  <si>
    <t>G(M)^T(M)^G(M)^mC(M)^mC(M)^A^G^C^C^T^T^C^T^T^C^A(M)^mC(M)^A(M)^G(M)^G(M)</t>
  </si>
  <si>
    <t>G(M)^T(M)^A(M)^mC(M)^A(M)^G^T^G^C^C^A^G^C^C^T^T(M)^mC(M)^T(M)^T(M)^mC(M)</t>
  </si>
  <si>
    <t>mC(M)^A(M)^mC(M)^T(M)^mC(M)^G^T^A^C^A^G^T^G^C^C^A(M)^G(M)^mC(M)^mC(M)^T(M)</t>
  </si>
  <si>
    <t>G(M)^G(M)^mC(M)^mC(M)^T(M)^C^A^C^T^C^G^T^A^C^A^G(M)^T(M)^G(M)^mC(M)^mC(M)</t>
  </si>
  <si>
    <t>T(M)^mC(M)^A(M)^mC(M)^A(M)^G^G^C^C^T^C^A^C^T^C^G(M)^T(M)^A(M)^mC(M)^A(M)</t>
  </si>
  <si>
    <t>A(M)^G(M)^mC(M)^T(M)^mC(M)^T^C^A^C^A^G^G^C^C^T^mC(M)^A(M)^mC(M)^T(M)^mC(M)</t>
  </si>
  <si>
    <t>G(M)^A(M)^mC(M)^A(M)^mC(M)^A^G^C^T^C^T^C^A^C^A^G(M)^G(M)^mC(M)^mC(M)^T(M)</t>
  </si>
  <si>
    <t>T(M)^G(M)^mC(M)^A(M)^G(M)^G^A^C^A^C^A^G^C^T^C^T(M)^mC(M)^A(M)^mC(M)^A(M)</t>
  </si>
  <si>
    <t>A(M)^G(M)^mC(M)^G(M)^G(M)^T^G^C^A^G^G^A^C^A^C^A(M)^G(M)^mC(M)^T(M)^mC(M)</t>
  </si>
  <si>
    <t>G(M)^mC(M)^A(M)^T(M)^G(M)^A^G^C^G^G^T^G^C^A^G^G(M)^A(M)^mC(M)^A(M)^mC(M)</t>
  </si>
  <si>
    <t>G(M)^G(M)^mC(M)^G(M)^A(M)^G^C^A^T^G^A^G^C^G^G^T(M)^G(M)^mC(M)^A(M)^G(M)</t>
  </si>
  <si>
    <t>A(M)^G(M)^mC(M)^mC(M)^G(M)^G^G^C^G^A^G^C^A^T^G^A(M)^G(M)^mC(M)^G(M)^G(M)</t>
  </si>
  <si>
    <t>mC(M)^mC(M)^mC(M)^A(M)^A(M)^A^G^C^C^G^G^G^C^G^A^G(M)^mC(M)^A(M)^T(M)^G(M)</t>
  </si>
  <si>
    <t>T(M)^T(M)^G(M)^A(M)^mC(M)^C^C^C^A^A^A^G^C^C^G^G(M)^G(M)^mC(M)^G(M)^A(M)</t>
  </si>
  <si>
    <t>T(M)^mC(M)^T(M)^G(M)^mC(M)^T^T^G^A^C^C^C^C^A^A^A(M)^G(M)^mC(M)^mC(M)^G(M)</t>
  </si>
  <si>
    <t>A(M)^G(M)^mC(M)^A(M)^A(M)^T^C^T^G^C^T^T^G^A^C^mC(M)^mC(M)^mC(M)^A(M)^A(M)</t>
  </si>
  <si>
    <t>mC(M)^mC(M)^T(M)^G(M)^T(M)^A^G^C^A^A^T^C^T^G^C^T(M)^T(M)^G(M)^A(M)^mC(M)</t>
  </si>
  <si>
    <t>A(M)^A(M)^A(M)^mC(M)^mC(M)^C^C^T^G^T^A^G^C^A^A^T(M)^mC(M)^T(M)^G(M)^mC(M)</t>
  </si>
  <si>
    <t>A(M)^T(M)^mC(M)^A(M)^G(M)^A^A^A^C^C^C^C^T^G^T^A(M)^G(M)^mC(M)^A(M)^A(M)</t>
  </si>
  <si>
    <t>A(M)^T(M)^G(M)^G(M)^T(M)^A^T^C^A^G^A^A^A^C^C^mC(M)^mC(M)^T(M)^G(M)^T(M)</t>
  </si>
  <si>
    <t>mC(M)^G(M)^mC(M)^A(M)^G(M)^A^T^G^G^T^A^T^C^A^G^A(M)^A(M)^A(M)^mC(M)^mC(M)</t>
  </si>
  <si>
    <t>G(M)^G(M)^G(M)^mC(M)^T(M)^C^G^C^A^G^A^T^G^G^T^A(M)^T(M)^mC(M)^A(M)^G(M)</t>
  </si>
  <si>
    <t>G(M)^G(M)^G(M)^mC(M)^A(M)^G^G^G^C^T^C^G^C^A^G^A(M)^T(M)^G(M)^G(M)^T(M)</t>
  </si>
  <si>
    <t>mC(M)^G(M)^A(M)^mC(M)^T(M)^G^G^G^C^A^G^G^G^C^T^mC(M)^G(M)^mC(M)^A(M)^G(M)</t>
  </si>
  <si>
    <t>G(M)^A(M)^A(M)^G(M)^mC(M)^C^G^A^C^T^G^G^G^C^A^G(M)^G(M)^G(M)^mC(M)^T(M)</t>
  </si>
  <si>
    <t>G(M)^A(M)^G(M)^A(M)^A(M)^G^A^A^G^C^C^G^A^C^T^G(M)^G(M)^G(M)^mC(M)^A(M)</t>
  </si>
  <si>
    <t>mC(M)^A(M)^T(M)^T(M)^G(M)^G^A^G^A^A^G^A^A^G^C^mC(M)^G(M)^A(M)^mC(M)^T(M)</t>
  </si>
  <si>
    <t>T(M)^G(M)^A(M)^mC(M)^A(M)^C^A^T^T^G^G^A^G^A^A^G(M)^A(M)^A(M)^G(M)^mC(M)</t>
  </si>
  <si>
    <t>G(M)^mC(M)^A(M)^G(M)^A(M)^T^G^A^C^A^C^A^T^T^G^G(M)^A(M)^G(M)^A(M)^A(M)</t>
  </si>
  <si>
    <t>mC(M)^G(M)^A(M)^A(M)^A(M)^G^C^A^G^A^T^G^A^C^A^mC(M)^A(M)^T(M)^T(M)^G(M)</t>
  </si>
  <si>
    <t>T(M)^T(M)^T(M)^T(M)^T(M)^C^G^A^A^A^G^C^A^G^A^T(M)^G(M)^A(M)^mC(M)^A(M)</t>
  </si>
  <si>
    <t>T(M)^G(M)^A(M)^mC(M)^A(M)^T^T^T^T^T^C^G^A^A^A^G(M)^mC(M)^A(M)^G(M)^A(M)</t>
  </si>
  <si>
    <t>A(M)^A(M)^G(M)^G(M)^G(M)^T^G^A^C^A^T^T^T^T^T^mC(M)^G(M)^A(M)^A(M)^A(M)</t>
  </si>
  <si>
    <t>T(M)^G(M)^T(M)^mC(M)^mC(M)^A^A^G^G^G^T^G^A^C^A^T(M)^T(M)^T(M)^T(M)^T(M)</t>
  </si>
  <si>
    <t>mC(M)^A(M)^G(M)^mC(M)^T(M)^T^G^T^C^C^A^A^G^G^G^T(M)^G(M)^A(M)^mC(M)^A(M)</t>
  </si>
  <si>
    <t>T(M)^mC(M)^T(M)^mC(M)^A(M)^C^A^G^C^T^T^G^T^C^C^A(M)^A(M)^G(M)^G(M)^G(M)</t>
  </si>
  <si>
    <t>T(M)^T(M)^T(M)^G(M)^G(M)^T^C^T^C^A^C^A^G^C^T^T(M)^G(M)^T(M)^mC(M)^mC(M)</t>
  </si>
  <si>
    <t>A(M)^G(M)^G(M)^T(M)^mC(M)^T^T^T^G^G^T^C^T^C^A^mC(M)^A(M)^G(M)^mC(M)^T(M)</t>
  </si>
  <si>
    <t>mC(M)^A(M)^A(M)^mC(M)^mC(M)^A^G^G^T^C^T^T^T^G^G^T(M)^mC(M)^T(M)^mC(M)^A(M)</t>
  </si>
  <si>
    <t>T(M)^T(M)^G(M)^mC(M)^A(M)^C^A^A^C^C^A^G^G^T^C^T(M)^T(M)^T(M)^G(M)^G(M)</t>
  </si>
  <si>
    <t>G(M)^mC(M)^mC(M)^T(M)^G(M)^T^T^G^C^A^C^A^A^C^C^A(M)^G(M)^G(M)^T(M)^mC(M)</t>
  </si>
  <si>
    <t>T(M)^G(M)^mC(M)^mC(M)^T(M)^G^C^C^T^G^T^T^G^C^A^mC(M)^A(M)^A(M)^mC(M)^mC(M)</t>
  </si>
  <si>
    <t>G(M)^T(M)^T(M)^T(M)^G(M)^T^G^C^C^T^G^C^C^T^G^T(M)^T(M)^G(M)^mC(M)^A(M)</t>
  </si>
  <si>
    <t>G(M)^T(M)^mC(M)^T(M)^T(M)^G^T^T^T^G^T^G^C^C^T^G(M)^mC(M)^mC(M)^T(M)^G(M)</t>
  </si>
  <si>
    <t>mC(M)^A(M)^T(M)^mC(M)^A(M)^G^T^C^T^T^G^T^T^T^G^T(M)^G(M)^mC(M)^mC(M)^T(M)</t>
  </si>
  <si>
    <t>G(M)^A(M)^mC(M)^A(M)^A(M)^C^A^T^C^A^G^T^C^T^T^G(M)^T(M)^T(M)^T(M)^G(M)</t>
  </si>
  <si>
    <t>mC(M)^mC(M)^A(M)^mC(M)^A(M)^G^A^C^A^A^C^A^T^C^A^G(M)^T(M)^mC(M)^T(M)^T(M)</t>
  </si>
  <si>
    <t>G(M)^G(M)^G(M)^G(M)^A(M)^C^C^A^C^A^G^A^C^A^A^mC(M)^A(M)^T(M)^mC(M)^A(M)</t>
  </si>
  <si>
    <t>A(M)^T(M)^mC(M)^mC(M)^T(M)^G^G^G^G^A^C^C^A^C^A^G(M)^A(M)^mC(M)^A(M)^A(M)</t>
  </si>
  <si>
    <t>A(M)^G(M)^mC(M)^mC(M)^G(M)^A^T^C^C^T^G^G^G^G^A^mC(M)^mC(M)^A(M)^mC(M)^A(M)</t>
  </si>
  <si>
    <t>mC(M)^T(M)^mC(M)^T(M)^mC(M)^A^G^C^C^G^A^T^C^C^T^G(M)^G(M)^G(M)^G(M)^A(M)</t>
  </si>
  <si>
    <t>mC(M)^A(M)^G(M)^G(M)^G(M)^C^T^C^T^C^A^G^C^C^G^A(M)^T(M)^mC(M)^mC(M)^T(M)</t>
  </si>
  <si>
    <t>A(M)^mC(M)^mC(M)^A(M)^mC(M)^C^A^G^G^G^C^T^C^T^C^A(M)^G(M)^mC(M)^mC(M)^G(M)</t>
  </si>
  <si>
    <t>G(M)^G(M)^A(M)^T(M)^mC(M)^A^C^C^A^C^C^A^G^G^G^mC(M)^T(M)^mC(M)^T(M)^mC(M)</t>
  </si>
  <si>
    <t>G(M)^A(M)^T(M)^G(M)^G(M)^G^G^A^T^C^A^C^C^A^C^mC(M)^A(M)^G(M)^G(M)^G(M)</t>
  </si>
  <si>
    <t>A(M)^A(M)^G(M)^A(M)^T(M)^G^A^T^G^G^G^G^A^T^C^A(M)^mC(M)^mC(M)^A(M)^mC(M)</t>
  </si>
  <si>
    <t>T(M)^mC(M)^mC(M)^mC(M)^G(M)^A^A^G^A^T^G^A^T^G^G^G(M)^G(M)^A(M)^T(M)^mC(M)</t>
  </si>
  <si>
    <t>mC(M)^A(M)^G(M)^G(M)^A(M)^T^C^C^C^G^A^A^G^A^T^G(M)^A(M)^T(M)^G(M)^G(M)</t>
  </si>
  <si>
    <t>G(M)^mC(M)^A(M)^A(M)^A(M)^C^A^G^G^A^T^C^C^C^G^A(M)^A(M)^G(M)^A(M)^T(M)</t>
  </si>
  <si>
    <t>G(M)^G(M)^A(M)^T(M)^G(M)^G^C^A^A^A^C^A^G^G^A^T(M)^mC(M)^mC(M)^mC(M)^G(M)</t>
  </si>
  <si>
    <t>mC(M)^A(M)^A(M)^G(M)^A(M)^G^G^A^T^G^G^C^A^A^A^mC(M)^A(M)^G(M)^G(M)^A(M)</t>
  </si>
  <si>
    <t>A(M)^G(M)^mC(M)^A(M)^mC(M)^C^A^A^G^A^G^G^A^T^G^G(M)^mC(M)^A(M)^A(M)^A(M)</t>
  </si>
  <si>
    <t>A(M)^G(M)^A(M)^mC(M)^mC(M)^A^G^C^A^C^C^A^A^G^A^G(M)^G(M)^A(M)^T(M)^G(M)</t>
  </si>
  <si>
    <t>G(M)^A(M)^T(M)^A(M)^A(M)^A^G^A^C^C^A^G^C^A^C^mC(M)^A(M)^A(M)^G(M)^A(M)</t>
  </si>
  <si>
    <t>T(M)^T(M)^T(M)^T(M)^T(M)^G^A^T^A^A^A^G^A^C^C^A(M)^G(M)^mC(M)^A(M)^mC(M)</t>
  </si>
  <si>
    <t>mC(M)^mC(M)^A(M)^mC(M)^mC(M)^T^T^T^T^T^G^A^T^A^A^A(M)^G(M)^A(M)^mC(M)^mC(M)</t>
  </si>
  <si>
    <t>mC(M)^T(M)^T(M)^G(M)^G(M)^C^C^A^C^C^T^T^T^T^T^G(M)^A(M)^T(M)^A(M)^A(M)</t>
  </si>
  <si>
    <t>G(M)^G(M)^mC(M)^T(M)^T(M)^C^T^T^G^G^C^C^A^C^C^T(M)^T(M)^T(M)^T(M)^T(M)</t>
  </si>
  <si>
    <t>T(M)^G(M)^G(M)^T(M)^T(M)^G^G^C^T^T^C^T^T^G^G^mC(M)^mC(M)^A(M)^mC(M)^mC(M)</t>
  </si>
  <si>
    <t>mC(M)^T(M)^T(M)^A(M)^T(M)^T^G^G^T^T^G^G^C^T^T^mC(M)^T(M)^T(M)^G(M)^G(M)</t>
  </si>
  <si>
    <t>G(M)^G(M)^G(M)^G(M)^mC(M)^C^T^T^A^T^T^G^G^T^T^G(M)^G(M)^mC(M)^T(M)^T(M)</t>
  </si>
  <si>
    <t>G(M)^G(M)^T(M)^G(M)^G(M)^G^G^G^G^C^C^T^T^A^T^T(M)^G(M)^G(M)^T(M)^T(M)</t>
  </si>
  <si>
    <t>mC(M)^T(M)^T(M)^G(M)^G(M)^G^G^T^G^G^G^G^G^G^C^mC(M)^T(M)^T(M)^A(M)^T(M)</t>
  </si>
  <si>
    <t>T(M)^mC(M)^mC(M)^T(M)^G(M)^C^T^T^G^G^G^G^T^G^G^G(M)^G(M)^G(M)^G(M)^mC(M)</t>
  </si>
  <si>
    <t>G(M)^G(M)^G(M)^G(M)^T(M)^T^C^C^T^G^C^T^T^G^G^G(M)^G(M)^T(M)^G(M)^G(M)</t>
  </si>
  <si>
    <t>mC(M)^T(M)^mC(M)^mC(M)^T(M)^G^G^G^G^T^T^C^C^T^G^mC(M)^T(M)^T(M)^G(M)^G(M)</t>
  </si>
  <si>
    <t>T(M)^T(M)^G(M)^A(M)^T(M)^C^T^C^C^T^G^G^G^G^T^T(M)^mC(M)^mC(M)^T(M)^G(M)</t>
  </si>
  <si>
    <t>G(M)^A(M)^A(M)^A(M)^A(M)^T^T^G^A^T^C^T^C^C^T^G(M)^G(M)^G(M)^G(M)^T(M)</t>
  </si>
  <si>
    <t>G(M)^T(M)^mC(M)^G(M)^G(M)^G^A^A^A^A^T^T^G^A^T^mC(M)^T(M)^mC(M)^mC(M)^T(M)</t>
  </si>
  <si>
    <t>A(M)^G(M)^A(M)^T(M)^mC(M)^G^T^C^G^G^G^A^A^A^A^T(M)^T(M)^G(M)^A(M)^T(M)</t>
  </si>
  <si>
    <t>mC(M)^A(M)^G(M)^G(M)^A(M)^A^G^A^T^C^G^T^C^G^G^G(M)^A(M)^A(M)^A(M)^A(M)</t>
  </si>
  <si>
    <t>G(M)^G(M)^A(M)^G(M)^mC(M)^C^A^G^G^A^A^G^A^T^C^G(M)^T(M)^mC(M)^G(M)^G(M)</t>
  </si>
  <si>
    <t>G(M)^T(M)^G(M)^T(M)^T(M)^G^G^A^G^C^C^A^G^G^A^A(M)^G(M)^A(M)^T(M)^mC(M)</t>
  </si>
  <si>
    <t>mC(M)^A(M)^G(M)^mC(M)^A(M)^G^T^G^T^T^G^G^A^G^C^mC(M)^A(M)^G(M)^G(M)^A(M)</t>
  </si>
  <si>
    <t>T(M)^G(M)^G(M)^A(M)^G(M)^C^A^G^C^A^G^T^G^T^T^G(M)^G(M)^A(M)^G(M)^mC(M)</t>
  </si>
  <si>
    <t>T(M)^G(M)^mC(M)^A(M)^mC(M)^T^G^G^A^G^C^A^G^C^A^G(M)^T(M)^G(M)^T(M)^T(M)</t>
  </si>
  <si>
    <t>T(M)^mC(M)^T(M)^mC(M)^mC(M)^T^G^C^A^C^T^G^G^A^G^mC(M)^A(M)^G(M)^mC(M)^A(M)</t>
  </si>
  <si>
    <t>T(M)^A(M)^A(M)^A(M)^G(M)^T^C^T^C^C^T^G^C^A^C^T(M)^G(M)^G(M)^A(M)^G(M)</t>
  </si>
  <si>
    <t>mC(M)^mC(M)^A(M)^T(M)^G(M)^T^A^A^A^G^T^C^T^C^C^T(M)^G(M)^mC(M)^A(M)^mC(M)</t>
  </si>
  <si>
    <t>G(M)^G(M)^mC(M)^A(M)^T(M)^C^C^A^T^G^T^A^A^A^G^T(M)^mC(M)^T(M)^mC(M)^mC(M)</t>
  </si>
  <si>
    <t>mC(M)^G(M)^G(M)^T(M)^T(M)^G^G^C^A^T^C^C^A^T^G^T(M)^A(M)^A(M)^A(M)^G(M)</t>
  </si>
  <si>
    <t>G(M)^T(M)^G(M)^A(M)^mC(M)^C^G^G^T^T^G^G^C^A^T^mC(M)^mC(M)^A(M)^T(M)^G(M)</t>
  </si>
  <si>
    <t>mC(M)^mC(M)^T(M)^G(M)^G(M)^G^T^G^A^C^C^G^G^T^T^G(M)^G(M)^mC(M)^A(M)^T(M)</t>
  </si>
  <si>
    <t>A(M)^T(M)^mC(M)^mC(M)^T(M)^C^C^T^G^G^G^T^G^A^C^mC(M)^G(M)^G(M)^T(M)^T(M)</t>
  </si>
  <si>
    <t>T(M)^T(M)^G(M)^mC(M)^mC(M)^A^T^C^C^T^C^C^T^G^G^G(M)^T(M)^G(M)^A(M)^mC(M)</t>
  </si>
  <si>
    <t>T(M)^mC(M)^T(M)^mC(M)^T(M)^T^T^G^C^C^A^T^C^C^T^mC(M)^mC(M)^T(M)^G(M)^G(M)</t>
  </si>
  <si>
    <t>G(M)^mC(M)^G(M)^A(M)^mC(M)^T^C^T^C^T^T^T^G^C^C^A(M)^T(M)^mC(M)^mC(M)^T(M)</t>
  </si>
  <si>
    <t>G(M)^A(M)^G(M)^A(M)^T(M)^G^C^G^A^C^T^C^T^C^T^T(M)^T(M)^G(M)^mC(M)^mC(M)</t>
  </si>
  <si>
    <t>G(M)^mC(M)^A(M)^mC(M)^T(M)^G^A^G^A^T^G^C^G^A^C^T(M)^mC(M)^T(M)^mC(M)^T(M)</t>
  </si>
  <si>
    <t>mC(M)^T(M)^mC(M)^mC(M)^T(M)^G^C^A^C^T^G^A^G^A^T^G(M)^mC(M)^G(M)^A(M)^mC(M)</t>
  </si>
  <si>
    <t>T(M)^G(M)^T(M)^mC(M)^T(M)^C^T^C^C^T^G^C^A^C^T^G(M)^A(M)^G(M)^A(M)^T(M)</t>
  </si>
  <si>
    <t>G(O)^C(O)^A(O)^uucagugaaX^U(O)^A(O)^G(O)</t>
    <phoneticPr fontId="1"/>
  </si>
  <si>
    <t>malat1-hmSO-AP05</t>
    <phoneticPr fontId="1"/>
  </si>
  <si>
    <t>malat1-hmSO-AP09</t>
    <phoneticPr fontId="1"/>
  </si>
  <si>
    <t>malat1-hmSO-AP13</t>
    <phoneticPr fontId="1"/>
  </si>
  <si>
    <t>malat1-hmSO-AP05-DBCO</t>
    <phoneticPr fontId="1"/>
  </si>
  <si>
    <t>malat1-hmSO-AP09-DBCO</t>
    <phoneticPr fontId="1"/>
  </si>
  <si>
    <t>malat1-hmSO-AP13-DBCO</t>
    <phoneticPr fontId="1"/>
  </si>
  <si>
    <t>malat1-hmSO[05R-FPP]</t>
    <phoneticPr fontId="1"/>
  </si>
  <si>
    <t>malat1-hmSO[09R-FPP]</t>
    <phoneticPr fontId="1"/>
  </si>
  <si>
    <t>malat1-hmSO[13R-FPP]</t>
    <phoneticPr fontId="1"/>
  </si>
  <si>
    <t>5rC-&gt;AminopropylC</t>
    <phoneticPr fontId="1"/>
  </si>
  <si>
    <t>13rA-&gt;AminopropylA</t>
    <phoneticPr fontId="1"/>
  </si>
  <si>
    <t>malat1-hmSO[09B]</t>
    <phoneticPr fontId="1"/>
  </si>
  <si>
    <t>malat1-hmSO[09B-DBCO]</t>
    <phoneticPr fontId="1"/>
  </si>
  <si>
    <t>malat1-hmSO[09B-FPP]</t>
    <phoneticPr fontId="1"/>
  </si>
  <si>
    <t>G(O)^C(O)^U(O)^gC(AP)uauuagaa^U(O)^G(O)^C(O)</t>
  </si>
  <si>
    <t>G(O)^C(O)^U(O)^gC(AP-DB)uauuagaa^U(O)^G(O)^C(O)</t>
  </si>
  <si>
    <t>G(O)^C(O)^U(O)^gC(AP-FPP)uauuagaa^U(O)^G(O)^C(O)</t>
  </si>
  <si>
    <t>G(O)^C(O)^U(O)^gcuauU(AP)agaa^U(O)^G(O)^C(O)</t>
  </si>
  <si>
    <t>G(O)^C(O)^U(O)^gcuauU(AP-DB)agaa^U(O)^G(O)^C(O)</t>
  </si>
  <si>
    <t>G(O)^C(O)^U(O)^gcuauU(AP-FPP)agaa^U(O)^G(O)^C(O)</t>
  </si>
  <si>
    <t>G(O)^C(O)^U(O)^gcuauuagaA(AP)^U(O)^G(O)^C(O)</t>
  </si>
  <si>
    <t>G(O)^C(O)^U(O)^gcuauuagaA(AP-DB)^U(O)^G(O)^C(O)</t>
  </si>
  <si>
    <t>G(O)^C(O)^U(O)^gcuauuagaA(AP-FPP)^U(O)^G(O)^C(O)</t>
  </si>
  <si>
    <t>G(O)^C(O)^U(O)^gcuauZagaa^U(O)^G(O)^C(O)</t>
    <phoneticPr fontId="1"/>
  </si>
  <si>
    <t>G(O)^C(O)^U(O)^gcuauWagaa^U(O)^G(O)^C(O)</t>
    <phoneticPr fontId="1"/>
  </si>
  <si>
    <t>G(O)^C(O)^U(O)^gcuauYagaa^U(O)^G(O)^C(O)</t>
    <phoneticPr fontId="1"/>
  </si>
  <si>
    <t>G(O)^C(O)^A(O)^uucagYgaac^U(O)^A(O)^G(O)</t>
    <phoneticPr fontId="1"/>
  </si>
  <si>
    <t>G(O)^C(O)^A(O)^uYcagugaac^U(O)^A(O)^G(O)</t>
    <phoneticPr fontId="1"/>
  </si>
  <si>
    <t>06-00-AY</t>
  </si>
  <si>
    <t>5'-UTR_19</t>
  </si>
  <si>
    <t>TCCTGATACTTTTTTGAACA</t>
  </si>
  <si>
    <t>06-00-AZ</t>
  </si>
  <si>
    <t>5'-UTR_22</t>
  </si>
  <si>
    <t>AACTCCTGATACTTTTTTGA</t>
  </si>
  <si>
    <t>06-00-B0</t>
  </si>
  <si>
    <t>5'-UTR_25</t>
  </si>
  <si>
    <t>GACAACTCCTGATACTTTTT</t>
  </si>
  <si>
    <t>06-00-B1</t>
  </si>
  <si>
    <t>5'-UTR_28</t>
  </si>
  <si>
    <t>CTTGACAACTCCTGATACTT</t>
  </si>
  <si>
    <t>06-00-B2</t>
  </si>
  <si>
    <t>5'-UTR_31</t>
  </si>
  <si>
    <t>TGCCTTGACAACTCCTGATA</t>
  </si>
  <si>
    <t>06-00-B3</t>
  </si>
  <si>
    <t>5'-UTR_34</t>
  </si>
  <si>
    <t>CTCTGCCTTGACAACTCCTG</t>
  </si>
  <si>
    <t>06-00-B4</t>
  </si>
  <si>
    <t>5'-UTR_37</t>
  </si>
  <si>
    <t>CTTCTCTGCCTTGACAACTC</t>
  </si>
  <si>
    <t>06-00-B5</t>
  </si>
  <si>
    <t>5'-UTR_40</t>
  </si>
  <si>
    <t>TCTCTTCTCTGCCTTGACAA</t>
  </si>
  <si>
    <t>06-00-B6</t>
  </si>
  <si>
    <t>5'-UTR_43</t>
  </si>
  <si>
    <t>CACTCTCTTCTCTGCCTTGA</t>
  </si>
  <si>
    <t>06-00-B7</t>
  </si>
  <si>
    <t>5'-UTR_64</t>
  </si>
  <si>
    <t>CTACTTTCCCCCTTTTGCAA</t>
  </si>
  <si>
    <t>06-00-B8</t>
  </si>
  <si>
    <t>5'-UTR_97</t>
  </si>
  <si>
    <t>TTCTCTCAGTCCTAGTCTTA</t>
  </si>
  <si>
    <t>06-00-B9</t>
  </si>
  <si>
    <t>5'-UTR_100</t>
  </si>
  <si>
    <t>TCTTTCTCTCAGTCCTAGTC</t>
  </si>
  <si>
    <t>06-00-BA</t>
  </si>
  <si>
    <t>5'-UTR_103</t>
  </si>
  <si>
    <t>TCTTCTTTCTCTCAGTCCTA</t>
  </si>
  <si>
    <t>06-00-BB</t>
  </si>
  <si>
    <t>5'-UTR_106</t>
  </si>
  <si>
    <t>TCCTCTTCTTTCTCTCAGTC</t>
  </si>
  <si>
    <t>06-00-BC</t>
  </si>
  <si>
    <t>5'-UTR_109</t>
  </si>
  <si>
    <t>CTCTCCTCTTCTTTCTCTCA</t>
  </si>
  <si>
    <t>06-00-BD</t>
  </si>
  <si>
    <t>5'-UTR_112</t>
  </si>
  <si>
    <t>TCTCTCTCCTCTTCTTTCTC</t>
  </si>
  <si>
    <t>06-00-BE</t>
  </si>
  <si>
    <t>5'-UTR_115</t>
  </si>
  <si>
    <t>CTTTCTCTCTCCTCTTCTTT</t>
  </si>
  <si>
    <t>06-00-BF</t>
  </si>
  <si>
    <t>5'-UTR_118</t>
  </si>
  <si>
    <t>TTTCTTTCTCTCTCCTCTTC</t>
  </si>
  <si>
    <t>06-00-BG</t>
  </si>
  <si>
    <t>5'-UTR_121</t>
  </si>
  <si>
    <t>CCCTTTCTTTCTCTCTCCTC</t>
  </si>
  <si>
    <t>06-00-BH</t>
  </si>
  <si>
    <t>5'-UTR_124</t>
  </si>
  <si>
    <t>TCTCCCTTTCTTTCTCTCTC</t>
  </si>
  <si>
    <t>06-00-BI</t>
  </si>
  <si>
    <t>5'-UTR_127</t>
  </si>
  <si>
    <t>TTCTCTCCCTTTCTTTCTCT</t>
  </si>
  <si>
    <t>06-00-BJ</t>
  </si>
  <si>
    <t>5'-UTR_130</t>
  </si>
  <si>
    <t>AACTTCTCTCCCTTTCTTTC</t>
  </si>
  <si>
    <t>06-00-BK</t>
  </si>
  <si>
    <t>5'-UTR_181</t>
  </si>
  <si>
    <t>CGCCGATGATTGTTATTATT</t>
  </si>
  <si>
    <t>06-00-BL</t>
  </si>
  <si>
    <t>5'-UTR_184</t>
  </si>
  <si>
    <t>CGCCGCCGATGATTGTTATT</t>
  </si>
  <si>
    <t>06-00-BM</t>
  </si>
  <si>
    <t>TGCCGCCGCCGATGATTGTT</t>
  </si>
  <si>
    <t>06-00-BN</t>
  </si>
  <si>
    <t>5'-UTR_277</t>
  </si>
  <si>
    <t>TCAGGCGAAGAATAATTTGG</t>
  </si>
  <si>
    <t>06-00-BO</t>
  </si>
  <si>
    <t>5'-UTR_427</t>
  </si>
  <si>
    <t>TGTTGTACATGCGGGCGCTG</t>
  </si>
  <si>
    <t>06-00-BP</t>
  </si>
  <si>
    <t>5'-UTR_430</t>
  </si>
  <si>
    <t>TCATGTTGTACATGCGGGCG</t>
  </si>
  <si>
    <t>06-00-BQ</t>
  </si>
  <si>
    <t>5'-UTR_433</t>
  </si>
  <si>
    <t>CCATCATGTTGTACATGCGG</t>
  </si>
  <si>
    <t>06-00-BR</t>
  </si>
  <si>
    <t>3-'UTR_1402</t>
  </si>
  <si>
    <t>TTTCTCCCCCCTCCAGTTCG</t>
  </si>
  <si>
    <t>06-00-BS</t>
  </si>
  <si>
    <t>3-'UTR_1426</t>
  </si>
  <si>
    <t>ATTTCCCTCGTTTTTCTTTG</t>
  </si>
  <si>
    <t>06-00-BT</t>
  </si>
  <si>
    <t>3-'UTR_1429</t>
  </si>
  <si>
    <t>CCCATTTCCCTCGTTTTTCT</t>
  </si>
  <si>
    <t>06-00-BU</t>
  </si>
  <si>
    <t>3-'UTR_1432</t>
  </si>
  <si>
    <t>CCTCCCATTTCCCTCGTTTT</t>
  </si>
  <si>
    <t>06-00-BV</t>
  </si>
  <si>
    <t>ACCCCTCCCATTTCCCTCGT</t>
  </si>
  <si>
    <t>06-00-BW</t>
  </si>
  <si>
    <t>3-'UTR_1441</t>
  </si>
  <si>
    <t>TTTTGCACCCCTCCCATTTC</t>
  </si>
  <si>
    <t>06-00-BX</t>
  </si>
  <si>
    <t>3-'UTR_1444</t>
  </si>
  <si>
    <t>CTCTTTTGCACCCCTCCCAT</t>
  </si>
  <si>
    <t>06-00-BY</t>
  </si>
  <si>
    <t>3-'UTR_1447</t>
  </si>
  <si>
    <t>CTCCTCTTTTGCACCCCTCC</t>
  </si>
  <si>
    <t>06-00-BZ</t>
  </si>
  <si>
    <t>3-'UTR_1450</t>
  </si>
  <si>
    <t>ACTCTCCTCTTTTGCACCCC</t>
  </si>
  <si>
    <t>06-00-C0</t>
  </si>
  <si>
    <t>3-'UTR_1453</t>
  </si>
  <si>
    <t>CTTACTCTCCTCTTTTGCAC</t>
  </si>
  <si>
    <t>06-00-C1</t>
  </si>
  <si>
    <t>3-'UTR_1456</t>
  </si>
  <si>
    <t>TTTCTTACTCTCCTCTTTTG</t>
  </si>
  <si>
    <t>06-00-C2</t>
  </si>
  <si>
    <t>3-'UTR_1459</t>
  </si>
  <si>
    <t>CTGTTTCTTACTCTCCTCTT</t>
  </si>
  <si>
    <t>06-00-C3</t>
  </si>
  <si>
    <t>ATGCTGTTTCTTACTCTCCT</t>
  </si>
  <si>
    <t>06-00-C4</t>
  </si>
  <si>
    <t>3-'UTR_1465</t>
  </si>
  <si>
    <t>TCCATGCTGTTTCTTACTCT</t>
  </si>
  <si>
    <t>06-00-C5</t>
  </si>
  <si>
    <t>3-'UTR_1468</t>
  </si>
  <si>
    <t>TTCTCCATGCTGTTTCTTAC</t>
  </si>
  <si>
    <t>06-00-C6</t>
  </si>
  <si>
    <t>3-'UTR_1471</t>
  </si>
  <si>
    <t>GTTTTCTCCATGCTGTTTCT</t>
  </si>
  <si>
    <t>06-00-C7</t>
  </si>
  <si>
    <t>3-'UTR_1474</t>
  </si>
  <si>
    <t>CGGGTTTTCTCCATGCTGTT</t>
  </si>
  <si>
    <t>06-00-C8</t>
  </si>
  <si>
    <t>3-'UTR_1477</t>
  </si>
  <si>
    <t>TACCGGGTTTTCTCCATGCT</t>
  </si>
  <si>
    <t>06-00-C9</t>
  </si>
  <si>
    <t>3-'UTR_1480</t>
  </si>
  <si>
    <t>GCGTACCGGGTTTTCTCCAT</t>
  </si>
  <si>
    <t>06-00-CA</t>
  </si>
  <si>
    <t>3-'UTR_1483</t>
  </si>
  <si>
    <t>TGAGCGTACCGGGTTTTCTC</t>
  </si>
  <si>
    <t>06-00-CB</t>
  </si>
  <si>
    <t>3-'UTR_1486</t>
  </si>
  <si>
    <t>TTTTGAGCGTACCGGGTTTT</t>
  </si>
  <si>
    <t>06-00-CC</t>
  </si>
  <si>
    <t>3-'UTR_1489</t>
  </si>
  <si>
    <t>TCTTTTTGAGCGTACCGGGT</t>
  </si>
  <si>
    <t>06-00-CD</t>
  </si>
  <si>
    <t>3-'UTR_1492</t>
  </si>
  <si>
    <t>TTTTCTTTTTGAGCGTACCG</t>
  </si>
  <si>
    <t>06-00-CE</t>
  </si>
  <si>
    <t>3-'UTR_1495</t>
  </si>
  <si>
    <t>CCTTTTTCTTTTTGAGCGTA</t>
  </si>
  <si>
    <t>06-00-CF</t>
  </si>
  <si>
    <t>3-'UTR_1498</t>
  </si>
  <si>
    <t>TTTCCTTTTTCTTTTTGAGC</t>
  </si>
  <si>
    <t>06-00-CG</t>
  </si>
  <si>
    <t>3-'UTR_1513</t>
  </si>
  <si>
    <t>GATGGGATTTTTTTTTTTCC</t>
  </si>
  <si>
    <t>06-00-CH</t>
  </si>
  <si>
    <t>3-'UTR_1516</t>
  </si>
  <si>
    <t>GGTGATGGGATTTTTTTTTT</t>
  </si>
  <si>
    <t>06-00-CI</t>
  </si>
  <si>
    <t>3-'UTR_1519</t>
  </si>
  <si>
    <t>GTGGGTGATGGGATTTTTTT</t>
  </si>
  <si>
    <t>06-00-CJ</t>
  </si>
  <si>
    <t>3-'UTR_1522</t>
  </si>
  <si>
    <t>GCTGTGGGTGATGGGATTTT</t>
  </si>
  <si>
    <t>06-00-CK</t>
  </si>
  <si>
    <t>3-'UTR_1525</t>
  </si>
  <si>
    <t>TTTGCTGTGGGTGATGGGAT</t>
  </si>
  <si>
    <t>06-00-CL</t>
  </si>
  <si>
    <t>3-'UTR_1528</t>
  </si>
  <si>
    <t>TCATTTGCTGTGGGTGATGG</t>
  </si>
  <si>
    <t>06-00-CM</t>
  </si>
  <si>
    <t>3-'UTR_1531</t>
  </si>
  <si>
    <t>CTGTCATTTGCTGTGGGTGA</t>
  </si>
  <si>
    <t>06-00-CN</t>
  </si>
  <si>
    <t>3-'UTR_1540</t>
  </si>
  <si>
    <t>CTTTTGCAGCTGTCATTTGC</t>
  </si>
  <si>
    <t>06-00-CO</t>
  </si>
  <si>
    <t>3-'UTR_1543</t>
  </si>
  <si>
    <t>TCTCTTTTGCAGCTGTCATT</t>
  </si>
  <si>
    <t>06-00-CP</t>
  </si>
  <si>
    <t>3-'UTR_1546</t>
  </si>
  <si>
    <t>TGTTCTCTTTTGCAGCTGTC</t>
  </si>
  <si>
    <t>06-00-CQ</t>
  </si>
  <si>
    <t>3-'UTR_1555</t>
  </si>
  <si>
    <t>TGGGATTGGTGTTCTCTTTT</t>
  </si>
  <si>
    <t>06-00-CR</t>
  </si>
  <si>
    <t>3-'UTR_1558</t>
  </si>
  <si>
    <t>GGATGGGATTGGTGTTCTCT</t>
  </si>
  <si>
    <t>06-00-CS</t>
  </si>
  <si>
    <t>3-'UTR_1561</t>
  </si>
  <si>
    <t>TGTGGATGGGATTGGTGTTC</t>
  </si>
  <si>
    <t>06-00-CT</t>
  </si>
  <si>
    <t>3-'UTR_1564</t>
  </si>
  <si>
    <t>GAGTGTGGATGGGATTGGTG</t>
  </si>
  <si>
    <t>06-00-CU</t>
  </si>
  <si>
    <t>3-'UTR_1567</t>
  </si>
  <si>
    <t>CGTGAGTGTGGATGGGATTG</t>
  </si>
  <si>
    <t>06-00-CV</t>
  </si>
  <si>
    <t>3-'UTR_1570</t>
  </si>
  <si>
    <t>TTGCGTGAGTGTGGATGGGA</t>
  </si>
  <si>
    <t>06-00-CW</t>
  </si>
  <si>
    <t>3-'UTR_1573</t>
  </si>
  <si>
    <t>TTTTTGCGTGAGTGTGGATG</t>
  </si>
  <si>
    <t>06-00-CX</t>
  </si>
  <si>
    <t>3-'UTR_1576</t>
  </si>
  <si>
    <t>CGGTTTTTGCGTGAGTGTGG</t>
  </si>
  <si>
    <t>06-00-CY</t>
  </si>
  <si>
    <t>3-'UTR_1579</t>
  </si>
  <si>
    <t>TCGCGGTTTTTGCGTGAGTG</t>
  </si>
  <si>
    <t>06-00-CZ</t>
  </si>
  <si>
    <t>3-'UTR_1582</t>
  </si>
  <si>
    <t>GCATCGCGGTTTTTGCGTGA</t>
  </si>
  <si>
    <t>06-00-D0</t>
  </si>
  <si>
    <t>3-'UTR_1585</t>
  </si>
  <si>
    <t>TCGGCATCGCGGTTTTTGCG</t>
  </si>
  <si>
    <t>06-00-D1</t>
  </si>
  <si>
    <t>3-'UTR_1588</t>
  </si>
  <si>
    <t>TTGTCGGCATCGCGGTTTTT</t>
  </si>
  <si>
    <t>06-00-D2</t>
  </si>
  <si>
    <t>3-'UTR_1591</t>
  </si>
  <si>
    <t>TTCTTGTCGGCATCGCGGTT</t>
  </si>
  <si>
    <t>06-00-D3</t>
  </si>
  <si>
    <t>3-'UTR_1618</t>
  </si>
  <si>
    <t>AAGTCCAGGATCTCTCTCAT</t>
  </si>
  <si>
    <t>06-00-D4</t>
  </si>
  <si>
    <t>3-'UTR_1621</t>
  </si>
  <si>
    <t>AAGAAGTCCAGGATCTCTCT</t>
  </si>
  <si>
    <t>06-00-D5</t>
  </si>
  <si>
    <t>3-'UTR_1657</t>
  </si>
  <si>
    <t>CCCCAGGTTTTCTCTGTACA</t>
  </si>
  <si>
    <t>06-00-D6</t>
  </si>
  <si>
    <t>3-'UTR_1660</t>
  </si>
  <si>
    <t>CCTCCCCAGGTTTTCTCTGT</t>
  </si>
  <si>
    <t>06-00-D7</t>
  </si>
  <si>
    <t>3-'UTR_1663</t>
  </si>
  <si>
    <t>CACCCTCCCCAGGTTTTCTC</t>
  </si>
  <si>
    <t>06-00-D8</t>
  </si>
  <si>
    <t>3-'UTR_1690</t>
  </si>
  <si>
    <t>ATACAAGGTCCATTCCCCCG</t>
  </si>
  <si>
    <t>06-00-D9</t>
  </si>
  <si>
    <t>3-'UTR_1693</t>
  </si>
  <si>
    <t>TCTATACAAGGTCCATTCCC</t>
  </si>
  <si>
    <t>06-00-DA</t>
  </si>
  <si>
    <t>3-'UTR_1696</t>
  </si>
  <si>
    <t>AGATCTATACAAGGTCCATT</t>
  </si>
  <si>
    <t>06-00-DB</t>
  </si>
  <si>
    <t>3-'UTR_1699</t>
  </si>
  <si>
    <t>TCCAGATCTATACAAGGTCC</t>
  </si>
  <si>
    <t>06-00-DC</t>
  </si>
  <si>
    <t>3-'UTR_1702</t>
  </si>
  <si>
    <t>TCCTCCAGATCTATACAAGG</t>
  </si>
  <si>
    <t>06-00-DD</t>
  </si>
  <si>
    <t>3-'UTR_1705</t>
  </si>
  <si>
    <t>CTTTCCTCCAGATCTATACA</t>
  </si>
  <si>
    <t>06-00-DE</t>
  </si>
  <si>
    <t>3-'UTR_1708</t>
  </si>
  <si>
    <t>TTTCTTTCCTCCAGATCTAT</t>
  </si>
  <si>
    <t>06-00-DF</t>
  </si>
  <si>
    <t>3-'UTR_1714</t>
  </si>
  <si>
    <t>CGTAGCTTTCTTTCCTCCAG</t>
  </si>
  <si>
    <t>06-00-DG</t>
  </si>
  <si>
    <t>3-'UTR_1717</t>
  </si>
  <si>
    <t>TTTCGTAGCTTTCTTTCCTC</t>
  </si>
  <si>
    <t>06-00-DH</t>
  </si>
  <si>
    <t>3-'UTR_1720</t>
  </si>
  <si>
    <t>GTTTTTCGTAGCTTTCTTTC</t>
  </si>
  <si>
    <t>06-00-DI</t>
  </si>
  <si>
    <t>3-'UTR_1744</t>
  </si>
  <si>
    <t>CCGTACCACTAGAACTTTTA</t>
  </si>
  <si>
    <t>06-00-DJ</t>
  </si>
  <si>
    <t>3-'UTR_1747</t>
  </si>
  <si>
    <t>CTACCGTACCACTAGAACTT</t>
  </si>
  <si>
    <t>06-00-DK</t>
  </si>
  <si>
    <t>3-'UTR_1750</t>
  </si>
  <si>
    <t>CTCCTACCGTACCACTAGAA</t>
  </si>
  <si>
    <t>06-00-DL</t>
  </si>
  <si>
    <t>AAGCTCCTACCGTACCACTA</t>
  </si>
  <si>
    <t>06-00-DM</t>
  </si>
  <si>
    <t>3-'UTR_1810</t>
  </si>
  <si>
    <t>GTCGCTTGGAGACTAGCTCT</t>
  </si>
  <si>
    <t>06-00-DN</t>
  </si>
  <si>
    <t>3-'UTR_1813</t>
  </si>
  <si>
    <t>TTCGTCGCTTGGAGACTAGC</t>
  </si>
  <si>
    <t>06-00-DO</t>
  </si>
  <si>
    <t>3-'UTR_1816</t>
  </si>
  <si>
    <t>TTTTTCGTCGCTTGGAGACT</t>
  </si>
  <si>
    <t>06-00-DP</t>
  </si>
  <si>
    <t>3-'UTR_1819</t>
  </si>
  <si>
    <t>ATTTTTTTCGTCGCTTGGAG</t>
  </si>
  <si>
    <t>06-00-DQ</t>
  </si>
  <si>
    <t>3-'UTR_1822</t>
  </si>
  <si>
    <t>AACATTTTTTTCGTCGCTTG</t>
  </si>
  <si>
    <t>06-00-DR</t>
  </si>
  <si>
    <t>3-'UTR_1873</t>
  </si>
  <si>
    <t>TGCCATGTTTATCTCGATAA</t>
  </si>
  <si>
    <t>06-00-DS</t>
  </si>
  <si>
    <t>3-'UTR_1879</t>
  </si>
  <si>
    <t>TTTGATTGCCATGTTTATCT</t>
  </si>
  <si>
    <t>06-00-DT</t>
  </si>
  <si>
    <t>3-'UTR_1882</t>
  </si>
  <si>
    <t>CATTTTGATTGCCATGTTTA</t>
  </si>
  <si>
    <t>06-00-DU</t>
  </si>
  <si>
    <t>3-'UTR_1885</t>
  </si>
  <si>
    <t>GGACATTTTGATTGCCATGT</t>
  </si>
  <si>
    <t>06-00-DV</t>
  </si>
  <si>
    <t>3-'UTR_1888</t>
  </si>
  <si>
    <t>AATGGACATTTTGATTGCCA</t>
  </si>
  <si>
    <t>06-00-DW</t>
  </si>
  <si>
    <t>3-'UTR_1891</t>
  </si>
  <si>
    <t>AACAATGGACATTTTGATTG</t>
  </si>
  <si>
    <t>06-00-DX</t>
  </si>
  <si>
    <t>3-'UTR_1939</t>
  </si>
  <si>
    <t>CAGCAAGAAGCCTCTCCTTG</t>
  </si>
  <si>
    <t>06-00-DY</t>
  </si>
  <si>
    <t>3-'UTR_1942</t>
  </si>
  <si>
    <t>ATTCAGCAAGAAGCCTCTCC</t>
  </si>
  <si>
    <t>06-00-DZ</t>
  </si>
  <si>
    <t>3-'UTR_1963</t>
  </si>
  <si>
    <t>AATTTCAGCTGCAGAATCAA</t>
  </si>
  <si>
    <t>06-00-E0</t>
  </si>
  <si>
    <t>3-'UTR_1984</t>
  </si>
  <si>
    <t>TTCACGTTTGCAACTGTCCT</t>
  </si>
  <si>
    <t>06-00-E1</t>
  </si>
  <si>
    <t>3-'UTR_1987</t>
  </si>
  <si>
    <t>CTTTTCACGTTTGCAACTGT</t>
  </si>
  <si>
    <t>06-00-E2</t>
  </si>
  <si>
    <t>3-'UTR_1990</t>
  </si>
  <si>
    <t>CTTCTTTTCACGTTTGCAAC</t>
  </si>
  <si>
    <t>06-00-E3</t>
  </si>
  <si>
    <t>3-'UTR_1993</t>
  </si>
  <si>
    <t>TTTCTTCTTTTCACGTTTGC</t>
  </si>
  <si>
    <t>06-00-E4</t>
  </si>
  <si>
    <t>3-'UTR_2065</t>
  </si>
  <si>
    <t>TCGCCAGTACTTATTCTAAT</t>
  </si>
  <si>
    <t>06-00-E5</t>
  </si>
  <si>
    <t>3-'UTR_2068</t>
  </si>
  <si>
    <t>GGTTCGCCAGTACTTATTCT</t>
  </si>
  <si>
    <t>06-00-E6</t>
  </si>
  <si>
    <t>3-'UTR_2071</t>
  </si>
  <si>
    <t>GATGGTTCGCCAGTACTTAT</t>
  </si>
  <si>
    <t>06-00-E7</t>
  </si>
  <si>
    <t>3-'UTR_2074</t>
  </si>
  <si>
    <t>AGAGATGGTTCGCCAGTACT</t>
  </si>
  <si>
    <t>06-00-E8</t>
  </si>
  <si>
    <t>3-'UTR_2077</t>
  </si>
  <si>
    <t>CACAGAGATGGTTCGCCAGT</t>
  </si>
  <si>
    <t>06-00-E9</t>
  </si>
  <si>
    <t>3-'UTR_2080</t>
  </si>
  <si>
    <t>GACCACAGAGATGGTTCGCC</t>
  </si>
  <si>
    <t>06-00-EA</t>
  </si>
  <si>
    <t>3-'UTR_2083</t>
  </si>
  <si>
    <t>CAAGACCACAGAGATGGTTC</t>
  </si>
  <si>
    <t>06-00-EB</t>
  </si>
  <si>
    <t>3-'UTR_2149</t>
  </si>
  <si>
    <t>GCCATTTTTGCTTTTAACAG</t>
  </si>
  <si>
    <t>06-00-EC</t>
  </si>
  <si>
    <t>3-'UTR_2155</t>
  </si>
  <si>
    <t>TGCATGGCCATTTTTGCTTT</t>
  </si>
  <si>
    <t>06-00-ED</t>
  </si>
  <si>
    <t>3-'UTR_2158</t>
  </si>
  <si>
    <t>ACCTGCATGGCCATTTTTGC</t>
  </si>
  <si>
    <t>06-00-EE</t>
  </si>
  <si>
    <t>3-'UTR_2161</t>
  </si>
  <si>
    <t>TCAACCTGCATGGCCATTTT</t>
  </si>
  <si>
    <t>06-00-EF</t>
  </si>
  <si>
    <t>3-'UTR_2164</t>
  </si>
  <si>
    <t>GTGTCAACCTGCATGGCCAT</t>
  </si>
  <si>
    <t>06-00-EG</t>
  </si>
  <si>
    <t>3-'UTR_2167</t>
  </si>
  <si>
    <t>ACGGTGTCAACCTGCATGGC</t>
  </si>
  <si>
    <t>06-00-EH</t>
  </si>
  <si>
    <t>3-'UTR_2170</t>
  </si>
  <si>
    <t>CCAACGGTGTCAACCTGCAT</t>
  </si>
  <si>
    <t>06-00-EI</t>
  </si>
  <si>
    <t>3-'UTR_2173</t>
  </si>
  <si>
    <t>TTACCAACGGTGTCAACCTG</t>
  </si>
  <si>
    <t>06-00-EJ</t>
  </si>
  <si>
    <t>3-'UTR_2245</t>
  </si>
  <si>
    <t>AACACAGTAATTTCATGGTT</t>
  </si>
  <si>
    <t>06-00-EK</t>
  </si>
  <si>
    <t>3-'UTR_2356</t>
  </si>
  <si>
    <t>TAATACAGAGCCGAATCTTT</t>
  </si>
  <si>
    <t>06-00-EL</t>
  </si>
  <si>
    <t>3-'UTR_2377</t>
  </si>
  <si>
    <t>TTCTCGGCAGACTGATTCAA</t>
  </si>
  <si>
    <t>06-00-EM</t>
  </si>
  <si>
    <t>3-'UTR_2380</t>
  </si>
  <si>
    <t>GGATTCTCGGCAGACTGATT</t>
  </si>
  <si>
    <t>06-00-EN</t>
  </si>
  <si>
    <t>3-'UTR_2383</t>
  </si>
  <si>
    <t>CATGGATTCTCGGCAGACTG</t>
  </si>
  <si>
    <t>06-00-EO</t>
  </si>
  <si>
    <t>3-'UTR_2386</t>
  </si>
  <si>
    <t>ATACATGGATTCTCGGCAGA</t>
  </si>
  <si>
    <t>06-00-EP</t>
  </si>
  <si>
    <t>3-'UTR_2389</t>
  </si>
  <si>
    <t>TATATACATGGATTCTCGGC</t>
  </si>
  <si>
    <t>06-00-EQ</t>
  </si>
  <si>
    <t>3-'UTR_2419</t>
  </si>
  <si>
    <t>TACCTGTTATAAGGATGATA</t>
  </si>
  <si>
    <t>06-00-ER</t>
  </si>
  <si>
    <t>3-'UTR_2422</t>
  </si>
  <si>
    <t>ATGTACCTGTTATAAGGATG</t>
  </si>
  <si>
    <t>06-00-ES</t>
  </si>
  <si>
    <t>CDS_437</t>
  </si>
  <si>
    <t>GTCTCCATCATGTTGTACAT</t>
  </si>
  <si>
    <t>06-00-ET</t>
  </si>
  <si>
    <t>CDS_440</t>
  </si>
  <si>
    <t>TCCGTCTCCATCATGTTGTA</t>
  </si>
  <si>
    <t>06-00-EU</t>
  </si>
  <si>
    <t>CDS_443</t>
  </si>
  <si>
    <t>AGCTCCGTCTCCATCATGTT</t>
  </si>
  <si>
    <t>06-00-EV</t>
  </si>
  <si>
    <t>CDS_446</t>
  </si>
  <si>
    <t>TTCAGCTCCGTCTCCATCAT</t>
  </si>
  <si>
    <t>06-00-EW</t>
  </si>
  <si>
    <t>CDS_449</t>
  </si>
  <si>
    <t>GGCTTCAGCTCCGTCTCCAT</t>
  </si>
  <si>
    <t>06-00-EX</t>
  </si>
  <si>
    <t>CDS_524</t>
  </si>
  <si>
    <t>TTTTTCTGGTTGCCGCCGGC</t>
  </si>
  <si>
    <t>06-00-EY</t>
  </si>
  <si>
    <t>CDS_527</t>
  </si>
  <si>
    <t>CTGTTTTTCTGGTTGCCGCC</t>
  </si>
  <si>
    <t>06-00-EZ</t>
  </si>
  <si>
    <t>CDS_530</t>
  </si>
  <si>
    <t>GGGCTGTTTTTCTGGTTGCC</t>
  </si>
  <si>
    <t>06-00-F0</t>
  </si>
  <si>
    <t>CDS_533</t>
  </si>
  <si>
    <t>TCCGGGCTGTTTTTCTGGTT</t>
  </si>
  <si>
    <t>06-00-F1</t>
  </si>
  <si>
    <t>CDS_536</t>
  </si>
  <si>
    <t>CGGTCCGGGCTGTTTTTCTG</t>
  </si>
  <si>
    <t>06-00-F2</t>
  </si>
  <si>
    <t>CDS_539</t>
  </si>
  <si>
    <t>ACGCGGTCCGGGCTGTTTTT</t>
  </si>
  <si>
    <t>06-00-F3</t>
  </si>
  <si>
    <t>CDS_557</t>
  </si>
  <si>
    <t>GCATTCATGGGCCGCTTGAC</t>
  </si>
  <si>
    <t>06-00-F4</t>
  </si>
  <si>
    <t>CDS_560</t>
  </si>
  <si>
    <t>AAGGCATTCATGGGCCGCTT</t>
  </si>
  <si>
    <t>06-00-F5</t>
  </si>
  <si>
    <t>CDS_563</t>
  </si>
  <si>
    <t>ATGAAGGCATTCATGGGCCG</t>
  </si>
  <si>
    <t>06-00-F6</t>
  </si>
  <si>
    <t>CDS_566</t>
  </si>
  <si>
    <t>ACCATGAAGGCATTCATGGG</t>
  </si>
  <si>
    <t>06-00-F7</t>
  </si>
  <si>
    <t>CDS_569</t>
  </si>
  <si>
    <t>CACACCATGAAGGCATTCAT</t>
  </si>
  <si>
    <t>06-00-F8</t>
  </si>
  <si>
    <t>CDS_572</t>
  </si>
  <si>
    <t>GACCACACCATGAAGGCATT</t>
  </si>
  <si>
    <t>06-00-F9</t>
  </si>
  <si>
    <t>CDS_605</t>
  </si>
  <si>
    <t>TTCTCCTGGGCCATCTTGCG</t>
  </si>
  <si>
    <t>06-00-FA</t>
  </si>
  <si>
    <t>CDS_608</t>
  </si>
  <si>
    <t>GGGTTCTCCTGGGCCATCTT</t>
  </si>
  <si>
    <t>06-00-FB</t>
  </si>
  <si>
    <t>CDS_626</t>
  </si>
  <si>
    <t>TCCGAGTTGTGCATCTTGGG</t>
  </si>
  <si>
    <t>06-00-FC</t>
  </si>
  <si>
    <t>CDS_629</t>
  </si>
  <si>
    <t>ATCTCCGAGTTGTGCATCTT</t>
  </si>
  <si>
    <t>06-00-FD</t>
  </si>
  <si>
    <t>CDS_632</t>
  </si>
  <si>
    <t>CTGATCTCCGAGTTGTGCAT</t>
  </si>
  <si>
    <t>06-00-FE</t>
  </si>
  <si>
    <t>CDS_635</t>
  </si>
  <si>
    <t>TTGCTGATCTCCGAGTTGTG</t>
  </si>
  <si>
    <t>06-00-FF</t>
  </si>
  <si>
    <t>CDS_638</t>
  </si>
  <si>
    <t>CGCTTGCTGATCTCCGAGTT</t>
  </si>
  <si>
    <t>06-00-FG</t>
  </si>
  <si>
    <t>CDS_641</t>
  </si>
  <si>
    <t>AGGCGCTTGCTGATCTCCGA</t>
  </si>
  <si>
    <t>06-00-FH</t>
  </si>
  <si>
    <t>CDS_680</t>
  </si>
  <si>
    <t>CGCTTCTCCGTCTCCGACAA</t>
  </si>
  <si>
    <t>06-00-FI</t>
  </si>
  <si>
    <t>CDS_692</t>
  </si>
  <si>
    <t>TCGATGAACGGCCGCTTCTC</t>
  </si>
  <si>
    <t>06-00-FJ</t>
  </si>
  <si>
    <t>CDS_695</t>
  </si>
  <si>
    <t>TCGTCGATGAACGGCCGCTT</t>
  </si>
  <si>
    <t>06-00-FK</t>
  </si>
  <si>
    <t>CDS_701</t>
  </si>
  <si>
    <t>TTAGCCTCGTCGATGAACGG</t>
  </si>
  <si>
    <t>06-00-FL</t>
  </si>
  <si>
    <t>CDS_704</t>
  </si>
  <si>
    <t>CGCTTAGCCTCGTCGATGAA</t>
  </si>
  <si>
    <t>06-00-FM</t>
  </si>
  <si>
    <t>CDS_707</t>
  </si>
  <si>
    <t>AGCCGCTTAGCCTCGTCGAT</t>
  </si>
  <si>
    <t>06-00-FN</t>
  </si>
  <si>
    <t>CDS_725</t>
  </si>
  <si>
    <t>TTCATGTGCAGCGCTCGCAG</t>
  </si>
  <si>
    <t>06-00-FO</t>
  </si>
  <si>
    <t>CDS_728</t>
  </si>
  <si>
    <t>TCCTTCATGTGCAGCGCTCG</t>
  </si>
  <si>
    <t>06-00-FP</t>
  </si>
  <si>
    <t>CDS_734</t>
  </si>
  <si>
    <t>GGGTGCTCCTTCATGTGCAG</t>
  </si>
  <si>
    <t>06-00-FQ</t>
  </si>
  <si>
    <t>CDS_737</t>
  </si>
  <si>
    <t>TCCGGGTGCTCCTTCATGTG</t>
  </si>
  <si>
    <t>06-00-FR</t>
  </si>
  <si>
    <t>CDS_740</t>
  </si>
  <si>
    <t>TAATCCGGGTGCTCCTTCAT</t>
  </si>
  <si>
    <t>06-00-FS</t>
  </si>
  <si>
    <t>CDS_743</t>
  </si>
  <si>
    <t>TTATAATCCGGGTGCTCCTT</t>
  </si>
  <si>
    <t>06-00-FT</t>
  </si>
  <si>
    <t>CDS_746</t>
  </si>
  <si>
    <t>TATTTATAATCCGGGTGCTC</t>
  </si>
  <si>
    <t>06-00-FU</t>
  </si>
  <si>
    <t>CDS_749</t>
  </si>
  <si>
    <t>CGGTATTTATAATCCGGGTG</t>
  </si>
  <si>
    <t>06-00-FV</t>
  </si>
  <si>
    <t>CDS_773</t>
  </si>
  <si>
    <t>AGCGTCTTGGTTTTCCGCCG</t>
  </si>
  <si>
    <t>06-00-FW</t>
  </si>
  <si>
    <t>CDS_776</t>
  </si>
  <si>
    <t>ATGAGCGTCTTGGTTTTCCG</t>
  </si>
  <si>
    <t>06-00-FX</t>
  </si>
  <si>
    <t>CDS_779</t>
  </si>
  <si>
    <t>TTCATGAGCGTCTTGGTTTT</t>
  </si>
  <si>
    <t>06-00-FY</t>
  </si>
  <si>
    <t>CDS_782</t>
  </si>
  <si>
    <t>TTCTTCATGAGCGTCTTGGT</t>
  </si>
  <si>
    <t>06-00-FZ</t>
  </si>
  <si>
    <t>CDS_785</t>
  </si>
  <si>
    <t>TCCTTCTTCATGAGCGTCTT</t>
  </si>
  <si>
    <t>06-00-G0</t>
  </si>
  <si>
    <t>CDS_788</t>
  </si>
  <si>
    <t>TTATCCTTCTTCATGAGCGT</t>
  </si>
  <si>
    <t>06-00-G1</t>
  </si>
  <si>
    <t>CDS_791</t>
  </si>
  <si>
    <t>TACTTATCCTTCTTCATGAG</t>
  </si>
  <si>
    <t>06-00-G2</t>
  </si>
  <si>
    <t>CDS_794</t>
  </si>
  <si>
    <t>GTGTACTTATCCTTCTTCAT</t>
  </si>
  <si>
    <t>06-00-G3</t>
  </si>
  <si>
    <t>CDS_797</t>
  </si>
  <si>
    <t>AGCGTGTACTTATCCTTCTT</t>
  </si>
  <si>
    <t>06-00-G4</t>
  </si>
  <si>
    <t>CDS_800</t>
  </si>
  <si>
    <t>GGCAGCGTGTACTTATCCTT</t>
  </si>
  <si>
    <t>06-00-G5</t>
  </si>
  <si>
    <t>CDS_803</t>
  </si>
  <si>
    <t>CCGGGCAGCGTGTACTTATC</t>
  </si>
  <si>
    <t>06-00-G6</t>
  </si>
  <si>
    <t>CDS_845</t>
  </si>
  <si>
    <t>ACCCCGCTCGCCATGCTATT</t>
  </si>
  <si>
    <t>06-00-G7</t>
  </si>
  <si>
    <t>CDS_893</t>
  </si>
  <si>
    <t>CTGTCCATGCGCTGGTTCAC</t>
  </si>
  <si>
    <t>06-00-G8</t>
  </si>
  <si>
    <t>CDS_896</t>
  </si>
  <si>
    <t>TAACTGTCCATGCGCTGGTT</t>
  </si>
  <si>
    <t>06-00-G9</t>
  </si>
  <si>
    <t>CDS_899</t>
  </si>
  <si>
    <t>GCGTAACTGTCCATGCGCTG</t>
  </si>
  <si>
    <t>06-00-GA</t>
  </si>
  <si>
    <t>CDS_902</t>
  </si>
  <si>
    <t>TGCGCGTAACTGTCCATGCG</t>
  </si>
  <si>
    <t>06-00-GB</t>
  </si>
  <si>
    <t>CDS_905</t>
  </si>
  <si>
    <t>ATGTGCGCGTAACTGTCCAT</t>
  </si>
  <si>
    <t>06-00-GC</t>
  </si>
  <si>
    <t>CDS_908</t>
  </si>
  <si>
    <t>TTCATGTGCGCGTAACTGTC</t>
  </si>
  <si>
    <t>06-00-GD</t>
  </si>
  <si>
    <t>CDS_911</t>
  </si>
  <si>
    <t>CCGTTCATGTGCGCGTAACT</t>
  </si>
  <si>
    <t>06-00-GE</t>
  </si>
  <si>
    <t>CDS_914</t>
  </si>
  <si>
    <t>CAGCCGTTCATGTGCGCGTA</t>
  </si>
  <si>
    <t>06-00-GF</t>
  </si>
  <si>
    <t>CDS_920</t>
  </si>
  <si>
    <t>TTGCTCCAGCCGTTCATGTG</t>
  </si>
  <si>
    <t>06-00-GG</t>
  </si>
  <si>
    <t>CDS_923</t>
  </si>
  <si>
    <t>CCGTTGCTCCAGCCGTTCAT</t>
  </si>
  <si>
    <t>06-00-GH</t>
  </si>
  <si>
    <t>CDS_932</t>
  </si>
  <si>
    <t>CTGTAGCTGCCGTTGCTCCA</t>
  </si>
  <si>
    <t>06-00-GI</t>
  </si>
  <si>
    <t>CDS_935</t>
  </si>
  <si>
    <t>ATGCTGTAGCTGCCGTTGCT</t>
  </si>
  <si>
    <t>06-00-GJ</t>
  </si>
  <si>
    <t>CDS_938</t>
  </si>
  <si>
    <t>ATCATGCTGTAGCTGCCGTT</t>
  </si>
  <si>
    <t>06-00-GK</t>
  </si>
  <si>
    <t>CDS_941</t>
  </si>
  <si>
    <t>TGCATCATGCTGTAGCTGCC</t>
  </si>
  <si>
    <t>06-00-GL</t>
  </si>
  <si>
    <t>CDS_947</t>
  </si>
  <si>
    <t>TGGTCCTGCATCATGCTGTA</t>
  </si>
  <si>
    <t>06-00-GM</t>
  </si>
  <si>
    <t>CDS_950</t>
  </si>
  <si>
    <t>AGCTGGTCCTGCATCATGCT</t>
  </si>
  <si>
    <t>06-00-GN</t>
  </si>
  <si>
    <t>CDS_953</t>
  </si>
  <si>
    <t>CCCAGCTGGTCCTGCATCAT</t>
  </si>
  <si>
    <t>06-00-GO</t>
  </si>
  <si>
    <t>CDS_1016</t>
  </si>
  <si>
    <t>TAGCGGTGCATGGGCTGCAT</t>
  </si>
  <si>
    <t>06-00-GP</t>
  </si>
  <si>
    <t>CDS_1025</t>
  </si>
  <si>
    <t>CTCACGTCGTAGCGGTGCAT</t>
  </si>
  <si>
    <t>06-00-GQ</t>
  </si>
  <si>
    <t>CDS_1040</t>
  </si>
  <si>
    <t>TTGTACTGCAGGGCGCTCAC</t>
  </si>
  <si>
    <t>06-00-GR</t>
  </si>
  <si>
    <t>CDS_1043</t>
  </si>
  <si>
    <t>GAGTTGTACTGCAGGGCGCT</t>
  </si>
  <si>
    <t>06-00-GS</t>
  </si>
  <si>
    <t>CDS_1046</t>
  </si>
  <si>
    <t>ATGGAGTTGTACTGCAGGGC</t>
  </si>
  <si>
    <t>06-00-GT</t>
  </si>
  <si>
    <t>CDS_1049</t>
  </si>
  <si>
    <t>GTCATGGAGTTGTACTGCAG</t>
  </si>
  <si>
    <t>06-00-GU</t>
  </si>
  <si>
    <t>CDS_1052</t>
  </si>
  <si>
    <t>CTGGTCATGGAGTTGTACTG</t>
  </si>
  <si>
    <t>06-00-GV</t>
  </si>
  <si>
    <t>CDS_1055</t>
  </si>
  <si>
    <t>GAGCTGGTCATGGAGTTGTA</t>
  </si>
  <si>
    <t>06-00-GW</t>
  </si>
  <si>
    <t>CDS_1058</t>
  </si>
  <si>
    <t>TGCGAGCTGGTCATGGAGTT</t>
  </si>
  <si>
    <t>06-00-GX</t>
  </si>
  <si>
    <t>CDS_1061</t>
  </si>
  <si>
    <t>GTCTGCGAGCTGGTCATGGA</t>
  </si>
  <si>
    <t>06-00-GY</t>
  </si>
  <si>
    <t>CDS_1064</t>
  </si>
  <si>
    <t>TAGGTCTGCGAGCTGGTCAT</t>
  </si>
  <si>
    <t>06-00-GZ</t>
  </si>
  <si>
    <t>CDS_1067</t>
  </si>
  <si>
    <t>ATGTAGGTCTGCGAGCTGGT</t>
  </si>
  <si>
    <t>06-00-H0</t>
  </si>
  <si>
    <t>CDS_1073</t>
  </si>
  <si>
    <t>CCGTTCATGTAGGTCTGCGA</t>
  </si>
  <si>
    <t>06-00-H1</t>
  </si>
  <si>
    <t>CDS_1076</t>
  </si>
  <si>
    <t>GAGCCGTTCATGTAGGTCTG</t>
  </si>
  <si>
    <t>06-00-H2</t>
  </si>
  <si>
    <t>CDS_1079</t>
  </si>
  <si>
    <t>GGCGAGCCGTTCATGTAGGT</t>
  </si>
  <si>
    <t>06-00-H3</t>
  </si>
  <si>
    <t>CDS_1082</t>
  </si>
  <si>
    <t>GTGGGCGAGCCGTTCATGTA</t>
  </si>
  <si>
    <t>06-00-H4</t>
  </si>
  <si>
    <t>CDS_1085</t>
  </si>
  <si>
    <t>TAGGTGGGCGAGCCGTTCAT</t>
  </si>
  <si>
    <t>06-00-H5</t>
  </si>
  <si>
    <t>CDS_1094</t>
  </si>
  <si>
    <t>GACATGCTGTAGGTGGGCGA</t>
  </si>
  <si>
    <t>06-00-H6</t>
  </si>
  <si>
    <t>CDS_1097</t>
  </si>
  <si>
    <t>TAGGACATGCTGTAGGTGGG</t>
  </si>
  <si>
    <t>06-00-H7</t>
  </si>
  <si>
    <t>CDS_1100</t>
  </si>
  <si>
    <t>GAGTAGGACATGCTGTAGGT</t>
  </si>
  <si>
    <t>06-00-H8</t>
  </si>
  <si>
    <t>CDS_1103</t>
  </si>
  <si>
    <t>TGCGAGTAGGACATGCTGTA</t>
  </si>
  <si>
    <t>06-00-H9</t>
  </si>
  <si>
    <t>CDS_1106</t>
  </si>
  <si>
    <t>TGCTGCGAGTAGGACATGCT</t>
  </si>
  <si>
    <t>06-00-HA</t>
  </si>
  <si>
    <t>CDS_1109</t>
  </si>
  <si>
    <t>CCCTGCTGCGAGTAGGACAT</t>
  </si>
  <si>
    <t>06-00-HB</t>
  </si>
  <si>
    <t>CDS_1136</t>
  </si>
  <si>
    <t>ATGGAGCCAAGAGCCATGCC</t>
  </si>
  <si>
    <t>06-00-HC</t>
  </si>
  <si>
    <t>CDS_1139</t>
  </si>
  <si>
    <t>CCCATGGAGCCAAGAGCCAT</t>
  </si>
  <si>
    <t>06-00-HD</t>
  </si>
  <si>
    <t>CDS_1142</t>
  </si>
  <si>
    <t>GAACCCATGGAGCCAAGAGC</t>
  </si>
  <si>
    <t>06-00-HE</t>
  </si>
  <si>
    <t>CDS_1145</t>
  </si>
  <si>
    <t>ACCGAACCCATGGAGCCAAG</t>
  </si>
  <si>
    <t>06-00-HF</t>
  </si>
  <si>
    <t>CDS_1151</t>
  </si>
  <si>
    <t>TTGACCACCGAACCCATGGA</t>
  </si>
  <si>
    <t>06-00-HG</t>
  </si>
  <si>
    <t>CDS_1154</t>
  </si>
  <si>
    <t>GACTTGACCACCGAACCCAT</t>
  </si>
  <si>
    <t>06-00-HH</t>
  </si>
  <si>
    <t>CDS_1193</t>
  </si>
  <si>
    <t>GAGGAAGAGGTAACCACAGG</t>
  </si>
  <si>
    <t>06-00-HI</t>
  </si>
  <si>
    <t>CDS_1196</t>
  </si>
  <si>
    <t>TGGGAGGAAGAGGTAACCAC</t>
  </si>
  <si>
    <t>06-00-HJ</t>
  </si>
  <si>
    <t>CDS_1199</t>
  </si>
  <si>
    <t>GAGTGGGAGGAAGAGGTAAC</t>
  </si>
  <si>
    <t>06-00-HK</t>
  </si>
  <si>
    <t>CDS_1202</t>
  </si>
  <si>
    <t>CTGGAGTGGGAGGAAGAGGT</t>
  </si>
  <si>
    <t>06-00-HL</t>
  </si>
  <si>
    <t>CDS_1241</t>
  </si>
  <si>
    <t>CTGATCATGTCCCGGAGGTC</t>
  </si>
  <si>
    <t>06-00-HM</t>
  </si>
  <si>
    <t>ATGCTGATCATGTCCCGGAG</t>
  </si>
  <si>
    <t>06-00-HN</t>
  </si>
  <si>
    <t>CDS_1247</t>
  </si>
  <si>
    <t>TACATGCTGATCATGTCCCG</t>
  </si>
  <si>
    <t>06-00-HO</t>
  </si>
  <si>
    <t>CDS_1250</t>
  </si>
  <si>
    <t>AGATACATGCTGATCATGTC</t>
  </si>
  <si>
    <t>06-00-HP</t>
  </si>
  <si>
    <t>CDS_1253</t>
  </si>
  <si>
    <t>GGGAGATACATGCTGATCAT</t>
  </si>
  <si>
    <t>06-00-HQ</t>
  </si>
  <si>
    <t>CDS_1301</t>
  </si>
  <si>
    <t>GACATGTGAAGTCTGCTGGG</t>
  </si>
  <si>
    <t>06-00-HR</t>
  </si>
  <si>
    <t>CDS_1304</t>
  </si>
  <si>
    <t>TGGGACATGTGAAGTCTGCT</t>
  </si>
  <si>
    <t>06-00-HS</t>
  </si>
  <si>
    <t>CDS_1307</t>
  </si>
  <si>
    <t>TGCTGGGACATGTGAAGTCT</t>
  </si>
  <si>
    <t>06-00-HT</t>
  </si>
  <si>
    <t>CDS_1310</t>
  </si>
  <si>
    <t>TAGTGCTGGGACATGTGAAG</t>
  </si>
  <si>
    <t>06-00-HU</t>
  </si>
  <si>
    <t>CDS_1313</t>
  </si>
  <si>
    <t>TGGTAGTGCTGGGACATGTG</t>
  </si>
  <si>
    <t>06-00-HV</t>
  </si>
  <si>
    <t>CDS_1316</t>
  </si>
  <si>
    <t>CTCTGGTAGTGCTGGGACAT</t>
  </si>
  <si>
    <t>06-00-HW</t>
  </si>
  <si>
    <t>CDS_1352</t>
  </si>
  <si>
    <t>AGTGTGCCGTTAATGGCCGT</t>
  </si>
  <si>
    <t>06-00-HX</t>
  </si>
  <si>
    <t>CDS_1376</t>
  </si>
  <si>
    <t>GGCCCTCACATGTGTGAGAG</t>
  </si>
  <si>
    <t>06-00-HY</t>
  </si>
  <si>
    <t>CDS_1379</t>
  </si>
  <si>
    <t>TCCGGCCCTCACATGTGTGA</t>
  </si>
  <si>
    <t>T(M)^mC(M)^mC(M)^T(M)^G(M)^A^T^A^C^T^T^T^T^T^T^G(M)^A(M)^A(M)^mC(M)^A(M)</t>
  </si>
  <si>
    <t>A(M)^A(M)^mC(M)^T(M)^mC(M)^C^T^G^A^T^A^C^T^T^T^T(M)^T(M)^T(M)^G(M)^A(M)</t>
  </si>
  <si>
    <t>G(M)^A(M)^mC(M)^A(M)^A(M)^C^T^C^C^T^G^A^T^A^C^T(M)^T(M)^T(M)^T(M)^T(M)</t>
  </si>
  <si>
    <t>mC(M)^T(M)^T(M)^G(M)^A(M)^C^A^A^C^T^C^C^T^G^A^T(M)^A(M)^mC(M)^T(M)^T(M)</t>
  </si>
  <si>
    <t>T(M)^G(M)^mC(M)^mC(M)^T(M)^T^G^A^C^A^A^C^T^C^C^T(M)^G(M)^A(M)^T(M)^A(M)</t>
  </si>
  <si>
    <t>mC(M)^T(M)^mC(M)^T(M)^G(M)^C^C^T^T^G^A^C^A^A^C^T(M)^mC(M)^mC(M)^T(M)^G(M)</t>
  </si>
  <si>
    <t>mC(M)^T(M)^T(M)^mC(M)^T(M)^C^T^G^C^C^T^T^G^A^C^A(M)^A(M)^mC(M)^T(M)^mC(M)</t>
  </si>
  <si>
    <t>T(M)^mC(M)^T(M)^mC(M)^T(M)^T^C^T^C^T^G^C^C^T^T^G(M)^A(M)^mC(M)^A(M)^A(M)</t>
  </si>
  <si>
    <t>mC(M)^A(M)^mC(M)^T(M)^mC(M)^T^C^T^T^C^T^C^T^G^C^mC(M)^T(M)^T(M)^G(M)^A(M)</t>
  </si>
  <si>
    <t>mC(M)^T(M)^A(M)^mC(M)^T(M)^T^T^C^C^C^C^C^T^T^T^T(M)^G(M)^mC(M)^A(M)^A(M)</t>
  </si>
  <si>
    <t>T(M)^T(M)^mC(M)^T(M)^mC(M)^T^C^A^G^T^C^C^T^A^G^T(M)^mC(M)^T(M)^T(M)^A(M)</t>
  </si>
  <si>
    <t>T(M)^mC(M)^T(M)^T(M)^T(M)^C^T^C^T^C^A^G^T^C^C^T(M)^A(M)^G(M)^T(M)^mC(M)</t>
  </si>
  <si>
    <t>T(M)^mC(M)^T(M)^T(M)^mC(M)^T^T^T^C^T^C^T^C^A^G^T(M)^mC(M)^mC(M)^T(M)^A(M)</t>
  </si>
  <si>
    <t>T(M)^mC(M)^mC(M)^T(M)^mC(M)^T^T^C^T^T^T^C^T^C^T^mC(M)^A(M)^G(M)^T(M)^mC(M)</t>
  </si>
  <si>
    <t>mC(M)^T(M)^mC(M)^T(M)^mC(M)^C^T^C^T^T^C^T^T^T^C^T(M)^mC(M)^T(M)^mC(M)^A(M)</t>
  </si>
  <si>
    <t>T(M)^mC(M)^T(M)^mC(M)^T(M)^C^T^C^C^T^C^T^T^C^T^T(M)^T(M)^mC(M)^T(M)^mC(M)</t>
  </si>
  <si>
    <t>mC(M)^T(M)^T(M)^T(M)^mC(M)^T^C^T^C^T^C^C^T^C^T^T(M)^mC(M)^T(M)^T(M)^T(M)</t>
  </si>
  <si>
    <t>T(M)^T(M)^T(M)^mC(M)^T(M)^T^T^C^T^C^T^C^T^C^C^T(M)^mC(M)^T(M)^T(M)^mC(M)</t>
  </si>
  <si>
    <t>mC(M)^mC(M)^mC(M)^T(M)^T(M)^T^C^T^T^T^C^T^C^T^C^T(M)^mC(M)^mC(M)^T(M)^mC(M)</t>
  </si>
  <si>
    <t>T(M)^mC(M)^T(M)^mC(M)^mC(M)^C^T^T^T^C^T^T^T^C^T^mC(M)^T(M)^mC(M)^T(M)^mC(M)</t>
  </si>
  <si>
    <t>T(M)^T(M)^mC(M)^T(M)^mC(M)^T^C^C^C^T^T^T^C^T^T^T(M)^mC(M)^T(M)^mC(M)^T(M)</t>
  </si>
  <si>
    <t>A(M)^A(M)^mC(M)^T(M)^T(M)^C^T^C^T^C^C^C^T^T^T^mC(M)^T(M)^T(M)^T(M)^mC(M)</t>
  </si>
  <si>
    <t>mC(M)^G(M)^mC(M)^mC(M)^G(M)^A^T^G^A^T^T^G^T^T^A^T(M)^T(M)^A(M)^T(M)^T(M)</t>
  </si>
  <si>
    <t>mC(M)^G(M)^mC(M)^mC(M)^G(M)^C^C^G^A^T^G^A^T^T^G^T(M)^T(M)^A(M)^T(M)^T(M)</t>
  </si>
  <si>
    <t>T(M)^mC(M)^A(M)^G(M)^G(M)^C^G^A^A^G^A^A^T^A^A^T(M)^T(M)^T(M)^G(M)^G(M)</t>
  </si>
  <si>
    <t>T(M)^G(M)^T(M)^T(M)^G(M)^T^A^C^A^T^G^C^G^G^G^mC(M)^G(M)^mC(M)^T(M)^G(M)</t>
  </si>
  <si>
    <t>T(M)^mC(M)^A(M)^T(M)^G(M)^T^T^G^T^A^C^A^T^G^C^G(M)^G(M)^G(M)^mC(M)^G(M)</t>
  </si>
  <si>
    <t>mC(M)^mC(M)^A(M)^T(M)^mC(M)^A^T^G^T^T^G^T^A^C^A^T(M)^G(M)^mC(M)^G(M)^G(M)</t>
  </si>
  <si>
    <t>T(M)^T(M)^T(M)^mC(M)^T(M)^C^C^C^C^C^C^T^C^C^A^G(M)^T(M)^T(M)^mC(M)^G(M)</t>
  </si>
  <si>
    <t>A(M)^T(M)^T(M)^T(M)^mC(M)^C^C^T^C^G^T^T^T^T^T^mC(M)^T(M)^T(M)^T(M)^G(M)</t>
  </si>
  <si>
    <t>mC(M)^mC(M)^mC(M)^A(M)^T(M)^T^T^C^C^C^T^C^G^T^T^T(M)^T(M)^T(M)^mC(M)^T(M)</t>
  </si>
  <si>
    <t>mC(M)^mC(M)^T(M)^mC(M)^mC(M)^C^A^T^T^T^C^C^C^T^C^G(M)^T(M)^T(M)^T(M)^T(M)</t>
  </si>
  <si>
    <t>T(M)^T(M)^T(M)^T(M)^G(M)^C^A^C^C^C^C^T^C^C^C^A(M)^T(M)^T(M)^T(M)^mC(M)</t>
  </si>
  <si>
    <t>mC(M)^T(M)^mC(M)^T(M)^T(M)^T^T^G^C^A^C^C^C^C^T^mC(M)^mC(M)^mC(M)^A(M)^T(M)</t>
  </si>
  <si>
    <t>mC(M)^T(M)^mC(M)^mC(M)^T(M)^C^T^T^T^T^G^C^A^C^C^mC(M)^mC(M)^T(M)^mC(M)^mC(M)</t>
  </si>
  <si>
    <t>A(M)^mC(M)^T(M)^mC(M)^T(M)^C^C^T^C^T^T^T^T^G^C^A(M)^mC(M)^mC(M)^mC(M)^mC(M)</t>
  </si>
  <si>
    <t>mC(M)^T(M)^T(M)^A(M)^mC(M)^T^C^T^C^C^T^C^T^T^T^T(M)^G(M)^mC(M)^A(M)^mC(M)</t>
  </si>
  <si>
    <t>T(M)^T(M)^T(M)^mC(M)^T(M)^T^A^C^T^C^T^C^C^T^C^T(M)^T(M)^T(M)^T(M)^G(M)</t>
  </si>
  <si>
    <t>mC(M)^T(M)^G(M)^T(M)^T(M)^T^C^T^T^A^C^T^C^T^C^mC(M)^T(M)^mC(M)^T(M)^T(M)</t>
  </si>
  <si>
    <t>T(M)^mC(M)^mC(M)^A(M)^T(M)^G^C^T^G^T^T^T^C^T^T^A(M)^mC(M)^T(M)^mC(M)^T(M)</t>
  </si>
  <si>
    <t>T(M)^T(M)^mC(M)^T(M)^mC(M)^C^A^T^G^C^T^G^T^T^T^mC(M)^T(M)^T(M)^A(M)^mC(M)</t>
  </si>
  <si>
    <t>G(M)^T(M)^T(M)^T(M)^T(M)^C^T^C^C^A^T^G^C^T^G^T(M)^T(M)^T(M)^mC(M)^T(M)</t>
  </si>
  <si>
    <t>mC(M)^G(M)^G(M)^G(M)^T(M)^T^T^T^C^T^C^C^A^T^G^mC(M)^T(M)^G(M)^T(M)^T(M)</t>
  </si>
  <si>
    <t>T(M)^A(M)^mC(M)^mC(M)^G(M)^G^G^T^T^T^T^C^T^C^C^A(M)^T(M)^G(M)^mC(M)^T(M)</t>
  </si>
  <si>
    <t>G(M)^mC(M)^G(M)^T(M)^A(M)^C^C^G^G^G^T^T^T^T^C^T(M)^mC(M)^mC(M)^A(M)^T(M)</t>
  </si>
  <si>
    <t>T(M)^G(M)^A(M)^G(M)^mC(M)^G^T^A^C^C^G^G^G^T^T^T(M)^T(M)^mC(M)^T(M)^mC(M)</t>
  </si>
  <si>
    <t>T(M)^T(M)^T(M)^T(M)^G(M)^A^G^C^G^T^A^C^C^G^G^G(M)^T(M)^T(M)^T(M)^T(M)</t>
  </si>
  <si>
    <t>T(M)^mC(M)^T(M)^T(M)^T(M)^T^T^G^A^G^C^G^T^A^C^mC(M)^G(M)^G(M)^G(M)^T(M)</t>
  </si>
  <si>
    <t>T(M)^T(M)^T(M)^T(M)^mC(M)^T^T^T^T^T^G^A^G^C^G^T(M)^A(M)^mC(M)^mC(M)^G(M)</t>
  </si>
  <si>
    <t>mC(M)^mC(M)^T(M)^T(M)^T(M)^T^T^C^T^T^T^T^T^G^A^G(M)^mC(M)^G(M)^T(M)^A(M)</t>
  </si>
  <si>
    <t>T(M)^T(M)^T(M)^mC(M)^mC(M)^T^T^T^T^T^C^T^T^T^T^T(M)^G(M)^A(M)^G(M)^mC(M)</t>
  </si>
  <si>
    <t>G(M)^A(M)^T(M)^G(M)^G(M)^G^A^T^T^T^T^T^T^T^T^T(M)^T(M)^T(M)^mC(M)^mC(M)</t>
  </si>
  <si>
    <t>G(M)^G(M)^T(M)^G(M)^A(M)^T^G^G^G^A^T^T^T^T^T^T(M)^T(M)^T(M)^T(M)^T(M)</t>
  </si>
  <si>
    <t>G(M)^T(M)^G(M)^G(M)^G(M)^T^G^A^T^G^G^G^A^T^T^T(M)^T(M)^T(M)^T(M)^T(M)</t>
  </si>
  <si>
    <t>G(M)^mC(M)^T(M)^G(M)^T(M)^G^G^G^T^G^A^T^G^G^G^A(M)^T(M)^T(M)^T(M)^T(M)</t>
  </si>
  <si>
    <t>T(M)^T(M)^T(M)^G(M)^mC(M)^T^G^T^G^G^G^T^G^A^T^G(M)^G(M)^G(M)^A(M)^T(M)</t>
  </si>
  <si>
    <t>T(M)^mC(M)^A(M)^T(M)^T(M)^T^G^C^T^G^T^G^G^G^T^G(M)^A(M)^T(M)^G(M)^G(M)</t>
  </si>
  <si>
    <t>mC(M)^T(M)^G(M)^T(M)^mC(M)^A^T^T^T^G^C^T^G^T^G^G(M)^G(M)^T(M)^G(M)^A(M)</t>
  </si>
  <si>
    <t>mC(M)^T(M)^T(M)^T(M)^T(M)^G^C^A^G^C^T^G^T^C^A^T(M)^T(M)^T(M)^G(M)^mC(M)</t>
  </si>
  <si>
    <t>T(M)^mC(M)^T(M)^mC(M)^T(M)^T^T^T^G^C^A^G^C^T^G^T(M)^mC(M)^A(M)^T(M)^T(M)</t>
  </si>
  <si>
    <t>T(M)^G(M)^T(M)^T(M)^mC(M)^T^C^T^T^T^T^G^C^A^G^mC(M)^T(M)^G(M)^T(M)^mC(M)</t>
  </si>
  <si>
    <t>T(M)^G(M)^G(M)^G(M)^A(M)^T^T^G^G^T^G^T^T^C^T^mC(M)^T(M)^T(M)^T(M)^T(M)</t>
  </si>
  <si>
    <t>G(M)^G(M)^A(M)^T(M)^G(M)^G^G^A^T^T^G^G^T^G^T^T(M)^mC(M)^T(M)^mC(M)^T(M)</t>
  </si>
  <si>
    <t>T(M)^G(M)^T(M)^G(M)^G(M)^A^T^G^G^G^A^T^T^G^G^T(M)^G(M)^T(M)^T(M)^mC(M)</t>
  </si>
  <si>
    <t>G(M)^A(M)^G(M)^T(M)^G(M)^T^G^G^A^T^G^G^G^A^T^T(M)^G(M)^G(M)^T(M)^G(M)</t>
  </si>
  <si>
    <t>mC(M)^G(M)^T(M)^G(M)^A(M)^G^T^G^T^G^G^A^T^G^G^G(M)^A(M)^T(M)^T(M)^G(M)</t>
  </si>
  <si>
    <t>T(M)^T(M)^G(M)^mC(M)^G(M)^T^G^A^G^T^G^T^G^G^A^T(M)^G(M)^G(M)^G(M)^A(M)</t>
  </si>
  <si>
    <t>T(M)^T(M)^T(M)^T(M)^T(M)^G^C^G^T^G^A^G^T^G^T^G(M)^G(M)^A(M)^T(M)^G(M)</t>
  </si>
  <si>
    <t>mC(M)^G(M)^G(M)^T(M)^T(M)^T^T^T^G^C^G^T^G^A^G^T(M)^G(M)^T(M)^G(M)^G(M)</t>
  </si>
  <si>
    <t>T(M)^mC(M)^G(M)^mC(M)^G(M)^G^T^T^T^T^T^G^C^G^T^G(M)^A(M)^G(M)^T(M)^G(M)</t>
  </si>
  <si>
    <t>G(M)^mC(M)^A(M)^T(M)^mC(M)^G^C^G^G^T^T^T^T^T^G^mC(M)^G(M)^T(M)^G(M)^A(M)</t>
  </si>
  <si>
    <t>T(M)^mC(M)^G(M)^G(M)^mC(M)^A^T^C^G^C^G^G^T^T^T^T(M)^T(M)^G(M)^mC(M)^G(M)</t>
  </si>
  <si>
    <t>T(M)^T(M)^G(M)^T(M)^mC(M)^G^G^C^A^T^C^G^C^G^G^T(M)^T(M)^T(M)^T(M)^T(M)</t>
  </si>
  <si>
    <t>T(M)^T(M)^mC(M)^T(M)^T(M)^G^T^C^G^G^C^A^T^C^G^mC(M)^G(M)^G(M)^T(M)^T(M)</t>
  </si>
  <si>
    <t>A(M)^A(M)^G(M)^T(M)^mC(M)^C^A^G^G^A^T^C^T^C^T^mC(M)^T(M)^mC(M)^A(M)^T(M)</t>
  </si>
  <si>
    <t>A(M)^A(M)^G(M)^A(M)^A(M)^G^T^C^C^A^G^G^A^T^C^T(M)^mC(M)^T(M)^mC(M)^T(M)</t>
  </si>
  <si>
    <t>mC(M)^mC(M)^mC(M)^mC(M)^A(M)^G^G^T^T^T^T^C^T^C^T^G(M)^T(M)^A(M)^mC(M)^A(M)</t>
  </si>
  <si>
    <t>mC(M)^mC(M)^T(M)^mC(M)^mC(M)^C^C^A^G^G^T^T^T^T^C^T(M)^mC(M)^T(M)^G(M)^T(M)</t>
  </si>
  <si>
    <t>mC(M)^A(M)^mC(M)^mC(M)^mC(M)^T^C^C^C^C^A^G^G^T^T^T(M)^T(M)^mC(M)^T(M)^mC(M)</t>
  </si>
  <si>
    <t>A(M)^T(M)^A(M)^mC(M)^A(M)^A^G^G^T^C^C^A^T^T^C^mC(M)^mC(M)^mC(M)^mC(M)^G(M)</t>
  </si>
  <si>
    <t>T(M)^mC(M)^T(M)^A(M)^T(M)^A^C^A^A^G^G^T^C^C^A^T(M)^T(M)^mC(M)^mC(M)^mC(M)</t>
  </si>
  <si>
    <t>A(M)^G(M)^A(M)^T(M)^mC(M)^T^A^T^A^C^A^A^G^G^T^mC(M)^mC(M)^A(M)^T(M)^T(M)</t>
  </si>
  <si>
    <t>T(M)^mC(M)^mC(M)^A(M)^G(M)^A^T^C^T^A^T^A^C^A^A^G(M)^G(M)^T(M)^mC(M)^mC(M)</t>
  </si>
  <si>
    <t>T(M)^mC(M)^mC(M)^T(M)^mC(M)^C^A^G^A^T^C^T^A^T^A^mC(M)^A(M)^A(M)^G(M)^G(M)</t>
  </si>
  <si>
    <t>mC(M)^T(M)^T(M)^T(M)^mC(M)^C^T^C^C^A^G^A^T^C^T^A(M)^T(M)^A(M)^mC(M)^A(M)</t>
  </si>
  <si>
    <t>T(M)^T(M)^T(M)^mC(M)^T(M)^T^T^C^C^T^C^C^A^G^A^T(M)^mC(M)^T(M)^A(M)^T(M)</t>
  </si>
  <si>
    <t>mC(M)^G(M)^T(M)^A(M)^G(M)^C^T^T^T^C^T^T^T^C^C^T(M)^mC(M)^mC(M)^A(M)^G(M)</t>
  </si>
  <si>
    <t>T(M)^T(M)^T(M)^mC(M)^G(M)^T^A^G^C^T^T^T^C^T^T^T(M)^mC(M)^mC(M)^T(M)^mC(M)</t>
  </si>
  <si>
    <t>G(M)^T(M)^T(M)^T(M)^T(M)^T^C^G^T^A^G^C^T^T^T^mC(M)^T(M)^T(M)^T(M)^mC(M)</t>
  </si>
  <si>
    <t>mC(M)^mC(M)^G(M)^T(M)^A(M)^C^C^A^C^T^A^G^A^A^C^T(M)^T(M)^T(M)^T(M)^A(M)</t>
  </si>
  <si>
    <t>mC(M)^T(M)^A(M)^mC(M)^mC(M)^G^T^A^C^C^A^C^T^A^G^A(M)^A(M)^mC(M)^T(M)^T(M)</t>
  </si>
  <si>
    <t>mC(M)^T(M)^mC(M)^mC(M)^T(M)^A^C^C^G^T^A^C^C^A^C^T(M)^A(M)^G(M)^A(M)^A(M)</t>
  </si>
  <si>
    <t>G(M)^T(M)^mC(M)^G(M)^mC(M)^T^T^G^G^A^G^A^C^T^A^G(M)^mC(M)^T(M)^mC(M)^T(M)</t>
  </si>
  <si>
    <t>T(M)^T(M)^mC(M)^G(M)^T(M)^C^G^C^T^T^G^G^A^G^A^mC(M)^T(M)^A(M)^G(M)^mC(M)</t>
  </si>
  <si>
    <t>T(M)^T(M)^T(M)^T(M)^T(M)^C^G^T^C^G^C^T^T^G^G^A(M)^G(M)^A(M)^mC(M)^T(M)</t>
  </si>
  <si>
    <t>A(M)^T(M)^T(M)^T(M)^T(M)^T^T^T^C^G^T^C^G^C^T^T(M)^G(M)^G(M)^A(M)^G(M)</t>
  </si>
  <si>
    <t>A(M)^A(M)^mC(M)^A(M)^T(M)^T^T^T^T^T^T^C^G^T^C^G(M)^mC(M)^T(M)^T(M)^G(M)</t>
  </si>
  <si>
    <t>T(M)^G(M)^mC(M)^mC(M)^A(M)^T^G^T^T^T^A^T^C^T^C^G(M)^A(M)^T(M)^A(M)^A(M)</t>
  </si>
  <si>
    <t>T(M)^T(M)^T(M)^G(M)^A(M)^T^T^G^C^C^A^T^G^T^T^T(M)^A(M)^T(M)^mC(M)^T(M)</t>
  </si>
  <si>
    <t>mC(M)^A(M)^T(M)^T(M)^T(M)^T^G^A^T^T^G^C^C^A^T^G(M)^T(M)^T(M)^T(M)^A(M)</t>
  </si>
  <si>
    <t>G(M)^G(M)^A(M)^mC(M)^A(M)^T^T^T^T^G^A^T^T^G^C^mC(M)^A(M)^T(M)^G(M)^T(M)</t>
  </si>
  <si>
    <t>A(M)^A(M)^T(M)^G(M)^G(M)^A^C^A^T^T^T^T^G^A^T^T(M)^G(M)^mC(M)^mC(M)^A(M)</t>
  </si>
  <si>
    <t>A(M)^A(M)^mC(M)^A(M)^A(M)^T^G^G^A^C^A^T^T^T^T^G(M)^A(M)^T(M)^T(M)^G(M)</t>
  </si>
  <si>
    <t>mC(M)^A(M)^G(M)^mC(M)^A(M)^A^G^A^A^G^C^C^T^C^T^mC(M)^mC(M)^T(M)^T(M)^G(M)</t>
  </si>
  <si>
    <t>A(M)^T(M)^T(M)^mC(M)^A(M)^G^C^A^A^G^A^A^G^C^C^T(M)^mC(M)^T(M)^mC(M)^mC(M)</t>
  </si>
  <si>
    <t>A(M)^A(M)^T(M)^T(M)^T(M)^C^A^G^C^T^G^C^A^G^A^A(M)^T(M)^mC(M)^A(M)^A(M)</t>
  </si>
  <si>
    <t>T(M)^T(M)^mC(M)^A(M)^mC(M)^G^T^T^T^G^C^A^A^C^T^G(M)^T(M)^mC(M)^mC(M)^T(M)</t>
  </si>
  <si>
    <t>mC(M)^T(M)^T(M)^T(M)^T(M)^C^A^C^G^T^T^T^G^C^A^A(M)^mC(M)^T(M)^G(M)^T(M)</t>
  </si>
  <si>
    <t>mC(M)^T(M)^T(M)^mC(M)^T(M)^T^T^T^C^A^C^G^T^T^T^G(M)^mC(M)^A(M)^A(M)^mC(M)</t>
  </si>
  <si>
    <t>T(M)^T(M)^T(M)^mC(M)^T(M)^T^C^T^T^T^T^C^A^C^G^T(M)^T(M)^T(M)^G(M)^mC(M)</t>
  </si>
  <si>
    <t>T(M)^mC(M)^G(M)^mC(M)^mC(M)^A^G^T^A^C^T^T^A^T^T^mC(M)^T(M)^A(M)^A(M)^T(M)</t>
  </si>
  <si>
    <t>G(M)^G(M)^T(M)^T(M)^mC(M)^G^C^C^A^G^T^A^C^T^T^A(M)^T(M)^T(M)^mC(M)^T(M)</t>
  </si>
  <si>
    <t>G(M)^A(M)^T(M)^G(M)^G(M)^T^T^C^G^C^C^A^G^T^A^mC(M)^T(M)^T(M)^A(M)^T(M)</t>
  </si>
  <si>
    <t>A(M)^G(M)^A(M)^G(M)^A(M)^T^G^G^T^T^C^G^C^C^A^G(M)^T(M)^A(M)^mC(M)^T(M)</t>
  </si>
  <si>
    <t>mC(M)^A(M)^mC(M)^A(M)^G(M)^A^G^A^T^G^G^T^T^C^G^mC(M)^mC(M)^A(M)^G(M)^T(M)</t>
  </si>
  <si>
    <t>G(M)^A(M)^mC(M)^mC(M)^A(M)^C^A^G^A^G^A^T^G^G^T^T(M)^mC(M)^G(M)^mC(M)^mC(M)</t>
  </si>
  <si>
    <t>mC(M)^A(M)^A(M)^G(M)^A(M)^C^C^A^C^A^G^A^G^A^T^G(M)^G(M)^T(M)^T(M)^mC(M)</t>
  </si>
  <si>
    <t>G(M)^mC(M)^mC(M)^A(M)^T(M)^T^T^T^T^G^C^T^T^T^T^A(M)^A(M)^mC(M)^A(M)^G(M)</t>
  </si>
  <si>
    <t>T(M)^G(M)^mC(M)^A(M)^T(M)^G^G^C^C^A^T^T^T^T^T^G(M)^mC(M)^T(M)^T(M)^T(M)</t>
  </si>
  <si>
    <t>A(M)^mC(M)^mC(M)^T(M)^G(M)^C^A^T^G^G^C^C^A^T^T^T(M)^T(M)^T(M)^G(M)^mC(M)</t>
  </si>
  <si>
    <t>T(M)^mC(M)^A(M)^A(M)^mC(M)^C^T^G^C^A^T^G^G^C^C^A(M)^T(M)^T(M)^T(M)^T(M)</t>
  </si>
  <si>
    <t>G(M)^T(M)^G(M)^T(M)^mC(M)^A^A^C^C^T^G^C^A^T^G^G(M)^mC(M)^mC(M)^A(M)^T(M)</t>
  </si>
  <si>
    <t>A(M)^mC(M)^G(M)^G(M)^T(M)^G^T^C^A^A^C^C^T^G^C^A(M)^T(M)^G(M)^G(M)^mC(M)</t>
  </si>
  <si>
    <t>mC(M)^mC(M)^A(M)^A(M)^mC(M)^G^G^T^G^T^C^A^A^C^C^T(M)^G(M)^mC(M)^A(M)^T(M)</t>
  </si>
  <si>
    <t>T(M)^T(M)^A(M)^mC(M)^mC(M)^A^A^C^G^G^T^G^T^C^A^A(M)^mC(M)^mC(M)^T(M)^G(M)</t>
  </si>
  <si>
    <t>A(M)^A(M)^mC(M)^A(M)^mC(M)^A^G^T^A^A^T^T^T^C^A^T(M)^G(M)^G(M)^T(M)^T(M)</t>
  </si>
  <si>
    <t>T(M)^A(M)^A(M)^T(M)^A(M)^C^A^G^A^G^C^C^G^A^A^T(M)^mC(M)^T(M)^T(M)^T(M)</t>
  </si>
  <si>
    <t>T(M)^T(M)^mC(M)^T(M)^mC(M)^G^G^C^A^G^A^C^T^G^A^T(M)^T(M)^mC(M)^A(M)^A(M)</t>
  </si>
  <si>
    <t>G(M)^G(M)^A(M)^T(M)^T(M)^C^T^C^G^G^C^A^G^A^C^T(M)^G(M)^A(M)^T(M)^T(M)</t>
  </si>
  <si>
    <t>mC(M)^A(M)^T(M)^G(M)^G(M)^A^T^T^C^T^C^G^G^C^A^G(M)^A(M)^mC(M)^T(M)^G(M)</t>
  </si>
  <si>
    <t>A(M)^T(M)^A(M)^mC(M)^A(M)^T^G^G^A^T^T^C^T^C^G^G(M)^mC(M)^A(M)^G(M)^A(M)</t>
  </si>
  <si>
    <t>T(M)^A(M)^T(M)^A(M)^T(M)^A^C^A^T^G^G^A^T^T^C^T(M)^mC(M)^G(M)^G(M)^mC(M)</t>
  </si>
  <si>
    <t>T(M)^A(M)^mC(M)^mC(M)^T(M)^G^T^T^A^T^A^A^G^G^A^T(M)^G(M)^A(M)^T(M)^A(M)</t>
  </si>
  <si>
    <t>A(M)^T(M)^G(M)^T(M)^A(M)^C^C^T^G^T^T^A^T^A^A^G(M)^G(M)^A(M)^T(M)^G(M)</t>
  </si>
  <si>
    <t>G(M)^T(M)^mC(M)^T(M)^mC(M)^C^A^T^C^A^T^G^T^T^G^T(M)^A(M)^mC(M)^A(M)^T(M)</t>
  </si>
  <si>
    <t>T(M)^mC(M)^mC(M)^G(M)^T(M)^C^T^C^C^A^T^C^A^T^G^T(M)^T(M)^G(M)^T(M)^A(M)</t>
  </si>
  <si>
    <t>A(M)^G(M)^mC(M)^T(M)^mC(M)^C^G^T^C^T^C^C^A^T^C^A(M)^T(M)^G(M)^T(M)^T(M)</t>
  </si>
  <si>
    <t>T(M)^T(M)^mC(M)^A(M)^G(M)^C^T^C^C^G^T^C^T^C^C^A(M)^T(M)^mC(M)^A(M)^T(M)</t>
  </si>
  <si>
    <t>G(M)^G(M)^mC(M)^T(M)^T(M)^C^A^G^C^T^C^C^G^T^C^T(M)^mC(M)^mC(M)^A(M)^T(M)</t>
  </si>
  <si>
    <t>T(M)^T(M)^T(M)^T(M)^T(M)^C^T^G^G^T^T^G^C^C^G^mC(M)^mC(M)^G(M)^G(M)^mC(M)</t>
  </si>
  <si>
    <t>mC(M)^T(M)^G(M)^T(M)^T(M)^T^T^T^C^T^G^G^T^T^G^mC(M)^mC(M)^G(M)^mC(M)^mC(M)</t>
  </si>
  <si>
    <t>G(M)^G(M)^G(M)^mC(M)^T(M)^G^T^T^T^T^T^C^T^G^G^T(M)^T(M)^G(M)^mC(M)^mC(M)</t>
  </si>
  <si>
    <t>T(M)^mC(M)^mC(M)^G(M)^G(M)^G^C^T^G^T^T^T^T^T^C^T(M)^G(M)^G(M)^T(M)^T(M)</t>
  </si>
  <si>
    <t>mC(M)^G(M)^G(M)^T(M)^mC(M)^C^G^G^G^C^T^G^T^T^T^T(M)^T(M)^mC(M)^T(M)^G(M)</t>
  </si>
  <si>
    <t>A(M)^mC(M)^G(M)^mC(M)^G(M)^G^T^C^C^G^G^G^C^T^G^T(M)^T(M)^T(M)^T(M)^T(M)</t>
  </si>
  <si>
    <t>G(M)^mC(M)^A(M)^T(M)^T(M)^C^A^T^G^G^G^C^C^G^C^T(M)^T(M)^G(M)^A(M)^mC(M)</t>
  </si>
  <si>
    <t>A(M)^A(M)^G(M)^G(M)^mC(M)^A^T^T^C^A^T^G^G^G^C^mC(M)^G(M)^mC(M)^T(M)^T(M)</t>
  </si>
  <si>
    <t>A(M)^T(M)^G(M)^A(M)^A(M)^G^G^C^A^T^T^C^A^T^G^G(M)^G(M)^mC(M)^mC(M)^G(M)</t>
  </si>
  <si>
    <t>A(M)^mC(M)^mC(M)^A(M)^T(M)^G^A^A^G^G^C^A^T^T^C^A(M)^T(M)^G(M)^G(M)^G(M)</t>
  </si>
  <si>
    <t>mC(M)^A(M)^mC(M)^A(M)^mC(M)^C^A^T^G^A^A^G^G^C^A^T(M)^T(M)^mC(M)^A(M)^T(M)</t>
  </si>
  <si>
    <t>G(M)^A(M)^mC(M)^mC(M)^A(M)^C^A^C^C^A^T^G^A^A^G^G(M)^mC(M)^A(M)^T(M)^T(M)</t>
  </si>
  <si>
    <t>T(M)^T(M)^mC(M)^T(M)^mC(M)^C^T^G^G^G^C^C^A^T^C^T(M)^T(M)^G(M)^mC(M)^G(M)</t>
  </si>
  <si>
    <t>G(M)^G(M)^G(M)^T(M)^T(M)^C^T^C^C^T^G^G^G^C^C^A(M)^T(M)^mC(M)^T(M)^T(M)</t>
  </si>
  <si>
    <t>T(M)^mC(M)^mC(M)^G(M)^A(M)^G^T^T^G^T^G^C^A^T^C^T(M)^T(M)^G(M)^G(M)^G(M)</t>
  </si>
  <si>
    <t>A(M)^T(M)^mC(M)^T(M)^mC(M)^C^G^A^G^T^T^G^T^G^C^A(M)^T(M)^mC(M)^T(M)^T(M)</t>
  </si>
  <si>
    <t>mC(M)^T(M)^G(M)^A(M)^T(M)^C^T^C^C^G^A^G^T^T^G^T(M)^G(M)^mC(M)^A(M)^T(M)</t>
  </si>
  <si>
    <t>T(M)^T(M)^G(M)^mC(M)^T(M)^G^A^T^C^T^C^C^G^A^G^T(M)^T(M)^G(M)^T(M)^G(M)</t>
  </si>
  <si>
    <t>mC(M)^G(M)^mC(M)^T(M)^T(M)^G^C^T^G^A^T^C^T^C^C^G(M)^A(M)^G(M)^T(M)^T(M)</t>
  </si>
  <si>
    <t>A(M)^G(M)^G(M)^mC(M)^G(M)^C^T^T^G^C^T^G^A^T^C^T(M)^mC(M)^mC(M)^G(M)^A(M)</t>
  </si>
  <si>
    <t>mC(M)^G(M)^mC(M)^T(M)^T(M)^C^T^C^C^G^T^C^T^C^C^G(M)^A(M)^mC(M)^A(M)^A(M)</t>
  </si>
  <si>
    <t>T(M)^mC(M)^G(M)^A(M)^T(M)^G^A^A^C^G^G^C^C^G^C^T(M)^T(M)^mC(M)^T(M)^mC(M)</t>
  </si>
  <si>
    <t>T(M)^mC(M)^G(M)^T(M)^mC(M)^G^A^T^G^A^A^C^G^G^C^mC(M)^G(M)^mC(M)^T(M)^T(M)</t>
  </si>
  <si>
    <t>T(M)^T(M)^A(M)^G(M)^mC(M)^C^T^C^G^T^C^G^A^T^G^A(M)^A(M)^mC(M)^G(M)^G(M)</t>
  </si>
  <si>
    <t>mC(M)^G(M)^mC(M)^T(M)^T(M)^A^G^C^C^T^C^G^T^C^G^A(M)^T(M)^G(M)^A(M)^A(M)</t>
  </si>
  <si>
    <t>A(M)^G(M)^mC(M)^mC(M)^G(M)^C^T^T^A^G^C^C^T^C^G^T(M)^mC(M)^G(M)^A(M)^T(M)</t>
  </si>
  <si>
    <t>T(M)^T(M)^mC(M)^A(M)^T(M)^G^T^G^C^A^G^C^G^C^T^mC(M)^G(M)^mC(M)^A(M)^G(M)</t>
  </si>
  <si>
    <t>T(M)^mC(M)^mC(M)^T(M)^T(M)^C^A^T^G^T^G^C^A^G^C^G(M)^mC(M)^T(M)^mC(M)^G(M)</t>
  </si>
  <si>
    <t>G(M)^G(M)^G(M)^T(M)^G(M)^C^T^C^C^T^T^C^A^T^G^T(M)^G(M)^mC(M)^A(M)^G(M)</t>
  </si>
  <si>
    <t>T(M)^mC(M)^mC(M)^G(M)^G(M)^G^T^G^C^T^C^C^T^T^C^A(M)^T(M)^G(M)^T(M)^G(M)</t>
  </si>
  <si>
    <t>T(M)^A(M)^A(M)^T(M)^mC(M)^C^G^G^G^T^G^C^T^C^C^T(M)^T(M)^mC(M)^A(M)^T(M)</t>
  </si>
  <si>
    <t>T(M)^T(M)^A(M)^T(M)^A(M)^A^T^C^C^G^G^G^T^G^C^T(M)^mC(M)^mC(M)^T(M)^T(M)</t>
  </si>
  <si>
    <t>T(M)^A(M)^T(M)^T(M)^T(M)^A^T^A^A^T^C^C^G^G^G^T(M)^G(M)^mC(M)^T(M)^mC(M)</t>
  </si>
  <si>
    <t>mC(M)^G(M)^G(M)^T(M)^A(M)^T^T^T^A^T^A^A^T^C^C^G(M)^G(M)^G(M)^T(M)^G(M)</t>
  </si>
  <si>
    <t>A(M)^G(M)^mC(M)^G(M)^T(M)^C^T^T^G^G^T^T^T^T^C^mC(M)^G(M)^mC(M)^mC(M)^G(M)</t>
  </si>
  <si>
    <t>A(M)^T(M)^G(M)^A(M)^G(M)^C^G^T^C^T^T^G^G^T^T^T(M)^T(M)^mC(M)^mC(M)^G(M)</t>
  </si>
  <si>
    <t>T(M)^T(M)^mC(M)^A(M)^T(M)^G^A^G^C^G^T^C^T^T^G^G(M)^T(M)^T(M)^T(M)^T(M)</t>
  </si>
  <si>
    <t>T(M)^T(M)^mC(M)^T(M)^T(M)^C^A^T^G^A^G^C^G^T^C^T(M)^T(M)^G(M)^G(M)^T(M)</t>
  </si>
  <si>
    <t>T(M)^mC(M)^mC(M)^T(M)^T(M)^C^T^T^C^A^T^G^A^G^C^G(M)^T(M)^mC(M)^T(M)^T(M)</t>
  </si>
  <si>
    <t>T(M)^T(M)^A(M)^T(M)^mC(M)^C^T^T^C^T^T^C^A^T^G^A(M)^G(M)^mC(M)^G(M)^T(M)</t>
  </si>
  <si>
    <t>T(M)^A(M)^mC(M)^T(M)^T(M)^A^T^C^C^T^T^C^T^T^C^A(M)^T(M)^G(M)^A(M)^G(M)</t>
  </si>
  <si>
    <t>G(M)^T(M)^G(M)^T(M)^A(M)^C^T^T^A^T^C^C^T^T^C^T(M)^T(M)^mC(M)^A(M)^T(M)</t>
  </si>
  <si>
    <t>A(M)^G(M)^mC(M)^G(M)^T(M)^G^T^A^C^T^T^A^T^C^C^T(M)^T(M)^mC(M)^T(M)^T(M)</t>
  </si>
  <si>
    <t>G(M)^G(M)^mC(M)^A(M)^G(M)^C^G^T^G^T^A^C^T^T^A^T(M)^mC(M)^mC(M)^T(M)^T(M)</t>
  </si>
  <si>
    <t>mC(M)^mC(M)^G(M)^G(M)^G(M)^C^A^G^C^G^T^G^T^A^C^T(M)^T(M)^A(M)^T(M)^mC(M)</t>
  </si>
  <si>
    <t>A(M)^mC(M)^mC(M)^mC(M)^mC(M)^G^C^T^C^G^C^C^A^T^G^mC(M)^T(M)^A(M)^T(M)^T(M)</t>
  </si>
  <si>
    <t>mC(M)^T(M)^G(M)^T(M)^mC(M)^C^A^T^G^C^G^C^T^G^G^T(M)^T(M)^mC(M)^A(M)^mC(M)</t>
  </si>
  <si>
    <t>T(M)^A(M)^A(M)^mC(M)^T(M)^G^T^C^C^A^T^G^C^G^C^T(M)^G(M)^G(M)^T(M)^T(M)</t>
  </si>
  <si>
    <t>G(M)^mC(M)^G(M)^T(M)^A(M)^A^C^T^G^T^C^C^A^T^G^mC(M)^G(M)^mC(M)^T(M)^G(M)</t>
  </si>
  <si>
    <t>T(M)^G(M)^mC(M)^G(M)^mC(M)^G^T^A^A^C^T^G^T^C^C^A(M)^T(M)^G(M)^mC(M)^G(M)</t>
  </si>
  <si>
    <t>A(M)^T(M)^G(M)^T(M)^G(M)^C^G^C^G^T^A^A^C^T^G^T(M)^mC(M)^mC(M)^A(M)^T(M)</t>
  </si>
  <si>
    <t>T(M)^T(M)^mC(M)^A(M)^T(M)^G^T^G^C^G^C^G^T^A^A^mC(M)^T(M)^G(M)^T(M)^mC(M)</t>
  </si>
  <si>
    <t>mC(M)^mC(M)^G(M)^T(M)^T(M)^C^A^T^G^T^G^C^G^C^G^T(M)^A(M)^A(M)^mC(M)^T(M)</t>
  </si>
  <si>
    <t>mC(M)^A(M)^G(M)^mC(M)^mC(M)^G^T^T^C^A^T^G^T^G^C^G(M)^mC(M)^G(M)^T(M)^A(M)</t>
  </si>
  <si>
    <t>T(M)^T(M)^G(M)^mC(M)^T(M)^C^C^A^G^C^C^G^T^T^C^A(M)^T(M)^G(M)^T(M)^G(M)</t>
  </si>
  <si>
    <t>mC(M)^mC(M)^G(M)^T(M)^T(M)^G^C^T^C^C^A^G^C^C^G^T(M)^T(M)^mC(M)^A(M)^T(M)</t>
  </si>
  <si>
    <t>mC(M)^T(M)^G(M)^T(M)^A(M)^G^C^T^G^C^C^G^T^T^G^mC(M)^T(M)^mC(M)^mC(M)^A(M)</t>
  </si>
  <si>
    <t>A(M)^T(M)^G(M)^mC(M)^T(M)^G^T^A^G^C^T^G^C^C^G^T(M)^T(M)^G(M)^mC(M)^T(M)</t>
  </si>
  <si>
    <t>A(M)^T(M)^mC(M)^A(M)^T(M)^G^C^T^G^T^A^G^C^T^G^mC(M)^mC(M)^G(M)^T(M)^T(M)</t>
  </si>
  <si>
    <t>T(M)^G(M)^mC(M)^A(M)^T(M)^C^A^T^G^C^T^G^T^A^G^mC(M)^T(M)^G(M)^mC(M)^mC(M)</t>
  </si>
  <si>
    <t>T(M)^G(M)^G(M)^T(M)^mC(M)^C^T^G^C^A^T^C^A^T^G^mC(M)^T(M)^G(M)^T(M)^A(M)</t>
  </si>
  <si>
    <t>A(M)^G(M)^mC(M)^T(M)^G(M)^G^T^C^C^T^G^C^A^T^C^A(M)^T(M)^G(M)^mC(M)^T(M)</t>
  </si>
  <si>
    <t>mC(M)^mC(M)^mC(M)^A(M)^G(M)^C^T^G^G^T^C^C^T^G^C^A(M)^T(M)^mC(M)^A(M)^T(M)</t>
  </si>
  <si>
    <t>T(M)^A(M)^G(M)^mC(M)^G(M)^G^T^G^C^A^T^G^G^G^C^T(M)^G(M)^mC(M)^A(M)^T(M)</t>
  </si>
  <si>
    <t>mC(M)^T(M)^mC(M)^A(M)^mC(M)^G^T^C^G^T^A^G^C^G^G^T(M)^G(M)^mC(M)^A(M)^T(M)</t>
  </si>
  <si>
    <t>T(M)^T(M)^G(M)^T(M)^A(M)^C^T^G^C^A^G^G^G^C^G^mC(M)^T(M)^mC(M)^A(M)^mC(M)</t>
  </si>
  <si>
    <t>G(M)^A(M)^G(M)^T(M)^T(M)^G^T^A^C^T^G^C^A^G^G^G(M)^mC(M)^G(M)^mC(M)^T(M)</t>
  </si>
  <si>
    <t>A(M)^T(M)^G(M)^G(M)^A(M)^G^T^T^G^T^A^C^T^G^C^A(M)^G(M)^G(M)^G(M)^mC(M)</t>
  </si>
  <si>
    <t>G(M)^T(M)^mC(M)^A(M)^T(M)^G^G^A^G^T^T^G^T^A^C^T(M)^G(M)^mC(M)^A(M)^G(M)</t>
  </si>
  <si>
    <t>mC(M)^T(M)^G(M)^G(M)^T(M)^C^A^T^G^G^A^G^T^T^G^T(M)^A(M)^mC(M)^T(M)^G(M)</t>
  </si>
  <si>
    <t>G(M)^A(M)^G(M)^mC(M)^T(M)^G^G^T^C^A^T^G^G^A^G^T(M)^T(M)^G(M)^T(M)^A(M)</t>
  </si>
  <si>
    <t>T(M)^G(M)^mC(M)^G(M)^A(M)^G^C^T^G^G^T^C^A^T^G^G(M)^A(M)^G(M)^T(M)^T(M)</t>
  </si>
  <si>
    <t>G(M)^T(M)^mC(M)^T(M)^G(M)^C^G^A^G^C^T^G^G^T^C^A(M)^T(M)^G(M)^G(M)^A(M)</t>
  </si>
  <si>
    <t>T(M)^A(M)^G(M)^G(M)^T(M)^C^T^G^C^G^A^G^C^T^G^G(M)^T(M)^mC(M)^A(M)^T(M)</t>
  </si>
  <si>
    <t>A(M)^T(M)^G(M)^T(M)^A(M)^G^G^T^C^T^G^C^G^A^G^mC(M)^T(M)^G(M)^G(M)^T(M)</t>
  </si>
  <si>
    <t>mC(M)^mC(M)^G(M)^T(M)^T(M)^C^A^T^G^T^A^G^G^T^C^T(M)^G(M)^mC(M)^G(M)^A(M)</t>
  </si>
  <si>
    <t>G(M)^A(M)^G(M)^mC(M)^mC(M)^G^T^T^C^A^T^G^T^A^G^G(M)^T(M)^mC(M)^T(M)^G(M)</t>
  </si>
  <si>
    <t>G(M)^G(M)^mC(M)^G(M)^A(M)^G^C^C^G^T^T^C^A^T^G^T(M)^A(M)^G(M)^G(M)^T(M)</t>
  </si>
  <si>
    <t>G(M)^T(M)^G(M)^G(M)^G(M)^C^G^A^G^C^C^G^T^T^C^A(M)^T(M)^G(M)^T(M)^A(M)</t>
  </si>
  <si>
    <t>T(M)^A(M)^G(M)^G(M)^T(M)^G^G^G^C^G^A^G^C^C^G^T(M)^T(M)^mC(M)^A(M)^T(M)</t>
  </si>
  <si>
    <t>G(M)^A(M)^mC(M)^A(M)^T(M)^G^C^T^G^T^A^G^G^T^G^G(M)^G(M)^mC(M)^G(M)^A(M)</t>
  </si>
  <si>
    <t>T(M)^A(M)^G(M)^G(M)^A(M)^C^A^T^G^C^T^G^T^A^G^G(M)^T(M)^G(M)^G(M)^G(M)</t>
  </si>
  <si>
    <t>G(M)^A(M)^G(M)^T(M)^A(M)^G^G^A^C^A^T^G^C^T^G^T(M)^A(M)^G(M)^G(M)^T(M)</t>
  </si>
  <si>
    <t>T(M)^G(M)^mC(M)^G(M)^A(M)^G^T^A^G^G^A^C^A^T^G^mC(M)^T(M)^G(M)^T(M)^A(M)</t>
  </si>
  <si>
    <t>T(M)^G(M)^mC(M)^T(M)^G(M)^C^G^A^G^T^A^G^G^A^C^A(M)^T(M)^G(M)^mC(M)^T(M)</t>
  </si>
  <si>
    <t>mC(M)^mC(M)^mC(M)^T(M)^G(M)^C^T^G^C^G^A^G^T^A^G^G(M)^A(M)^mC(M)^A(M)^T(M)</t>
  </si>
  <si>
    <t>A(M)^T(M)^G(M)^G(M)^A(M)^G^C^C^A^A^G^A^G^C^C^A(M)^T(M)^G(M)^mC(M)^mC(M)</t>
  </si>
  <si>
    <t>mC(M)^mC(M)^mC(M)^A(M)^T(M)^G^G^A^G^C^C^A^A^G^A^G(M)^mC(M)^mC(M)^A(M)^T(M)</t>
  </si>
  <si>
    <t>G(M)^A(M)^A(M)^mC(M)^mC(M)^C^A^T^G^G^A^G^C^C^A^A(M)^G(M)^A(M)^G(M)^mC(M)</t>
  </si>
  <si>
    <t>A(M)^mC(M)^mC(M)^G(M)^A(M)^A^C^C^C^A^T^G^G^A^G^mC(M)^mC(M)^A(M)^A(M)^G(M)</t>
  </si>
  <si>
    <t>T(M)^T(M)^G(M)^A(M)^mC(M)^C^A^C^C^G^A^A^C^C^C^A(M)^T(M)^G(M)^G(M)^A(M)</t>
  </si>
  <si>
    <t>G(M)^A(M)^mC(M)^T(M)^T(M)^G^A^C^C^A^C^C^G^A^A^mC(M)^mC(M)^mC(M)^A(M)^T(M)</t>
  </si>
  <si>
    <t>G(M)^A(M)^G(M)^G(M)^A(M)^A^G^A^G^G^T^A^A^C^C^A(M)^mC(M)^A(M)^G(M)^G(M)</t>
  </si>
  <si>
    <t>T(M)^G(M)^G(M)^G(M)^A(M)^G^G^A^A^G^A^G^G^T^A^A(M)^mC(M)^mC(M)^A(M)^mC(M)</t>
  </si>
  <si>
    <t>G(M)^A(M)^G(M)^T(M)^G(M)^G^G^A^G^G^A^A^G^A^G^G(M)^T(M)^A(M)^A(M)^mC(M)</t>
  </si>
  <si>
    <t>mC(M)^T(M)^G(M)^G(M)^A(M)^G^T^G^G^G^A^G^G^A^A^G(M)^A(M)^G(M)^G(M)^T(M)</t>
  </si>
  <si>
    <t>mC(M)^T(M)^G(M)^A(M)^T(M)^C^A^T^G^T^C^C^C^G^G^A(M)^G(M)^G(M)^T(M)^mC(M)</t>
  </si>
  <si>
    <t>T(M)^A(M)^mC(M)^A(M)^T(M)^G^C^T^G^A^T^C^A^T^G^T(M)^mC(M)^mC(M)^mC(M)^G(M)</t>
  </si>
  <si>
    <t>A(M)^G(M)^A(M)^T(M)^A(M)^C^A^T^G^C^T^G^A^T^C^A(M)^T(M)^G(M)^T(M)^mC(M)</t>
  </si>
  <si>
    <t>G(M)^G(M)^G(M)^A(M)^G(M)^A^T^A^C^A^T^G^C^T^G^A(M)^T(M)^mC(M)^A(M)^T(M)</t>
  </si>
  <si>
    <t>G(M)^A(M)^mC(M)^A(M)^T(M)^G^T^G^A^A^G^T^C^T^G^mC(M)^T(M)^G(M)^G(M)^G(M)</t>
  </si>
  <si>
    <t>T(M)^G(M)^G(M)^G(M)^A(M)^C^A^T^G^T^G^A^A^G^T^mC(M)^T(M)^G(M)^mC(M)^T(M)</t>
  </si>
  <si>
    <t>T(M)^G(M)^mC(M)^T(M)^G(M)^G^G^A^C^A^T^G^T^G^A^A(M)^G(M)^T(M)^mC(M)^T(M)</t>
  </si>
  <si>
    <t>T(M)^A(M)^G(M)^T(M)^G(M)^C^T^G^G^G^A^C^A^T^G^T(M)^G(M)^A(M)^A(M)^G(M)</t>
  </si>
  <si>
    <t>T(M)^G(M)^G(M)^T(M)^A(M)^G^T^G^C^T^G^G^G^A^C^A(M)^T(M)^G(M)^T(M)^G(M)</t>
  </si>
  <si>
    <t>mC(M)^T(M)^mC(M)^T(M)^G(M)^G^T^A^G^T^G^C^T^G^G^G(M)^A(M)^mC(M)^A(M)^T(M)</t>
  </si>
  <si>
    <t>A(M)^G(M)^T(M)^G(M)^T(M)^G^C^C^G^T^T^A^A^T^G^G(M)^mC(M)^mC(M)^G(M)^T(M)</t>
  </si>
  <si>
    <t>G(M)^G(M)^mC(M)^mC(M)^mC(M)^T^C^A^C^A^T^G^T^G^T^G(M)^A(M)^G(M)^A(M)^G(M)</t>
  </si>
  <si>
    <t>T(M)^mC(M)^mC(M)^G(M)^G(M)^C^C^C^T^C^A^C^A^T^G^T(M)^G(M)^T(M)^G(M)^A(M)</t>
  </si>
  <si>
    <t>PS300_ASO</t>
    <phoneticPr fontId="1"/>
  </si>
  <si>
    <t>PS300_SO</t>
    <phoneticPr fontId="1"/>
  </si>
  <si>
    <t>PS327_ASO</t>
    <phoneticPr fontId="1"/>
  </si>
  <si>
    <t>PS327_SO</t>
    <phoneticPr fontId="1"/>
  </si>
  <si>
    <t>06-00-HZ</t>
  </si>
  <si>
    <t>PS300_ASO</t>
  </si>
  <si>
    <t>06-00-I0</t>
  </si>
  <si>
    <t>PS300_SO</t>
  </si>
  <si>
    <t>06-00-I1</t>
  </si>
  <si>
    <t>PS327_ASO</t>
  </si>
  <si>
    <t>06-00-I2</t>
  </si>
  <si>
    <t>PS327_SO</t>
  </si>
  <si>
    <t>A(L)^A(L)^A(L)^A(O)^C(O)^C(O)^A(O)^C(O)^A(O)^G(O)^G(O)^C(O)^G(O)^A(O)^G(O)^U(O)^U(O)^C(O)^T(L)^A(L)^mC(L)</t>
  </si>
  <si>
    <t>G(O)^U(O)^A(O)^gaacucgccuguggu^U(O)^U(O)^U(O)</t>
  </si>
  <si>
    <t>G(L)^mC(L)^A(L)^C(O)^A(O)^C(O)^U(O)^U(O)^C(O)^C(O)^A(O)^A(O)^U(O)^A(O)^C(O)^U(O)^U(O)^A(L)^mC(L)^mC(L)</t>
  </si>
  <si>
    <t>G(O)^G(O)^U(O)^aaguauuggaagug^U(O)^G(O)^C(O)</t>
  </si>
  <si>
    <t>mecp2-33</t>
  </si>
  <si>
    <t>mecp2-52</t>
  </si>
  <si>
    <t>06-00-1K</t>
    <phoneticPr fontId="1"/>
  </si>
  <si>
    <t>Mecp2-33-SO(All-DNA)</t>
    <phoneticPr fontId="1"/>
  </si>
  <si>
    <t>T(M)^G(M)^mC(M)^mC(M)^G(M)^C^C^G^C^C^G^A^T^G^A^T(M)^T(M)^G(M)^T(M)^T(M)</t>
    <phoneticPr fontId="1"/>
  </si>
  <si>
    <t>A(M)^T(M)^G(M)^mC(M)^T(M)^G^A^T^C^A^T^G^T^C^C^mC(M)^G(M)^G(M)^A(M)^G(M)</t>
    <phoneticPr fontId="1"/>
  </si>
  <si>
    <t>A(M)^mC(M)^mC(M)^mC(M)^mC(M)^T^C^C^C^A^T^T^T^C^C^mC(M)^T(M)^mC(M)^G(M)^T(M)</t>
    <phoneticPr fontId="1"/>
  </si>
  <si>
    <t>A(M)^T(M)^G(M)^mC(M)^T(M)^G^T^T^T^C^T^T^A^C^T^mC(M)^T(M)^mC(M)^mC(M)^T(M)</t>
    <phoneticPr fontId="1"/>
  </si>
  <si>
    <t>A(M)^A(M)^G(M)^mC(M)^T(M)^C^C^T^A^C^C^G^T^A^C^mC(M)^A(M)^mC(M)^T(M)^A(M)</t>
    <phoneticPr fontId="1"/>
  </si>
  <si>
    <t>A(O)^A(O)^C(O)^A(O)^A(O)^ucaucggcgg^C(O)^G(O)^G(O)^C(O)^A(O)</t>
  </si>
  <si>
    <t>C(O)^U(O)^C(O)^c(O)^G(O)^ggacaugauc^A(O)^G(O)^C(O)^A(O)^U(O)</t>
  </si>
  <si>
    <t>A(O)^C(O)^G(O)^A(O)^G(O)^ggaaauggga^G(O)^G(O)^G(O)^G(O)^U(O)</t>
  </si>
  <si>
    <t>A(O)^G(O)^G(O)^A(O)^G(O)^aguaagaaac^A(O)^G(O)^C(O)^A(O)^U(O)</t>
  </si>
  <si>
    <t>U(O)^A(O)^G(O)^U(O)^G(O)^guacgguagg^A(O)^G(O)^C(O)^U(O)^U(O)</t>
  </si>
  <si>
    <t>AACAATCATCGGCGGCGGCA</t>
    <phoneticPr fontId="1"/>
  </si>
  <si>
    <t>CTCCGGGACATGATCAGCAT</t>
    <phoneticPr fontId="1"/>
  </si>
  <si>
    <t>ACGAGGGAAATGGGAGGGGT</t>
    <phoneticPr fontId="1"/>
  </si>
  <si>
    <t>AGGAGAGTAAGAAACAGCAT</t>
  </si>
  <si>
    <t>TAGTGGTACGGTAGGAGCTT</t>
    <phoneticPr fontId="1"/>
  </si>
  <si>
    <t>06-00-I3</t>
  </si>
  <si>
    <t>06-00-I4</t>
  </si>
  <si>
    <t>06-00-I5</t>
  </si>
  <si>
    <t>06-00-I6</t>
  </si>
  <si>
    <t>06-00-I7</t>
  </si>
  <si>
    <t>AACAATCATCGGCGGCGGCA</t>
  </si>
  <si>
    <t>CTCCGGGACATGATCAGCAT</t>
  </si>
  <si>
    <t>ACGAGGGAAATGGGAGGGGT</t>
  </si>
  <si>
    <t>TAGTGGTACGGTAGGAGCTT</t>
  </si>
  <si>
    <t>SOX2 5'-UTR_187_SO</t>
    <phoneticPr fontId="1"/>
  </si>
  <si>
    <t>SOX2 CDS_1244_SO</t>
    <phoneticPr fontId="1"/>
  </si>
  <si>
    <t>SOX2 3-'UTR_1435_SO</t>
    <phoneticPr fontId="1"/>
  </si>
  <si>
    <t>SOX2 3-'UTR_1462_SO</t>
    <phoneticPr fontId="1"/>
  </si>
  <si>
    <t>SOX2 3-'UTR_1753_SO</t>
    <phoneticPr fontId="1"/>
  </si>
  <si>
    <t>SOX2 5'-UTR_187_SO</t>
  </si>
  <si>
    <t>SOX2 CDS_1244_SO</t>
  </si>
  <si>
    <t>SOX2 3-'UTR_1435_SO</t>
  </si>
  <si>
    <t>SOX2 3-'UTR_1462_SO</t>
  </si>
  <si>
    <t>SOX2 3-'UTR_1753_SO</t>
  </si>
  <si>
    <t>5'-UTR_187_ASO</t>
    <phoneticPr fontId="1"/>
  </si>
  <si>
    <t>CDS_1244_ASO</t>
    <phoneticPr fontId="1"/>
  </si>
  <si>
    <t>3-'UTR_1435_ASO</t>
    <phoneticPr fontId="1"/>
  </si>
  <si>
    <t>3-'UTR_1462_ASO</t>
    <phoneticPr fontId="1"/>
  </si>
  <si>
    <t>3-'UTR_1753_ASO</t>
    <phoneticPr fontId="1"/>
  </si>
  <si>
    <t>5'-UTR_187_ASO</t>
  </si>
  <si>
    <t>3-'UTR_1435_ASO</t>
  </si>
  <si>
    <t>3-'UTR_1462_ASO</t>
  </si>
  <si>
    <t>3-'UTR_1753_ASO</t>
  </si>
  <si>
    <t>CDS_1244_ASO</t>
  </si>
  <si>
    <t>06-00-I8</t>
  </si>
  <si>
    <t>ue_test</t>
  </si>
  <si>
    <t>TGTAAAACCGTT</t>
  </si>
  <si>
    <t>ue_test</t>
    <phoneticPr fontId="1"/>
  </si>
  <si>
    <t>06-00-I9</t>
  </si>
  <si>
    <t>TACTGTTTTTCTCTGCATGC</t>
  </si>
  <si>
    <t>06-00-IA</t>
  </si>
  <si>
    <t>GGTACTGTTTTTCTCTGCAT</t>
  </si>
  <si>
    <t>06-00-IB</t>
  </si>
  <si>
    <t>TAGGTACTGTTTTTCTCTGC</t>
  </si>
  <si>
    <t>06-00-IC</t>
  </si>
  <si>
    <t>TTAGGTACTGTTTTTCTCTG</t>
  </si>
  <si>
    <t>06-00-ID</t>
  </si>
  <si>
    <t>ATTAGGTACTGTTTTTCTCT</t>
  </si>
  <si>
    <t>06-00-IE</t>
  </si>
  <si>
    <t>TATTAGGTACTGTTTTTCTC</t>
  </si>
  <si>
    <t>06-00-IF</t>
  </si>
  <si>
    <t>TCACCGCAAGGAAGGCATTC</t>
  </si>
  <si>
    <t>06-00-IG</t>
  </si>
  <si>
    <t>TTCACCGCAAGGAAGGCATT</t>
  </si>
  <si>
    <t>06-00-IH</t>
  </si>
  <si>
    <t>TTTCACCGCAAGGAAGGCAT</t>
  </si>
  <si>
    <t>06-00-II</t>
  </si>
  <si>
    <t>CTTTCACCGCAAGGAAGGCA</t>
  </si>
  <si>
    <t>06-00-IJ</t>
  </si>
  <si>
    <t>TTCGCTTTCACCGCAAGGAA</t>
  </si>
  <si>
    <t>06-00-IK</t>
  </si>
  <si>
    <t>ATTCGCTTTCACCGCAAGGA</t>
  </si>
  <si>
    <t>06-00-IL</t>
  </si>
  <si>
    <t>TCTAGGAATTCGCTTTCACC</t>
  </si>
  <si>
    <t>06-00-IM</t>
  </si>
  <si>
    <t>GTCTAGGAATTCGCTTTCAC</t>
  </si>
  <si>
    <t>06-00-IN</t>
  </si>
  <si>
    <t>TGTCTAGGAATTCGCTTTCA</t>
  </si>
  <si>
    <t>06-00-IO</t>
  </si>
  <si>
    <t>GTGTCTAGGAATTCGCTTTC</t>
  </si>
  <si>
    <t>06-00-IP</t>
  </si>
  <si>
    <t>AGGTGTCTAGGAATTCGCTT</t>
  </si>
  <si>
    <t>06-00-IQ</t>
  </si>
  <si>
    <t>CAGGTGTCTAGGAATTCGCT</t>
  </si>
  <si>
    <t>06-00-IR</t>
  </si>
  <si>
    <t>CCAGGTGTCTAGGAATTCGC</t>
  </si>
  <si>
    <t>06-00-IS</t>
  </si>
  <si>
    <t>CTCTCTGTTCCAGGTGTCTA</t>
  </si>
  <si>
    <t>06-00-IT</t>
  </si>
  <si>
    <t>TCTCTCTGTTCCAGGTGTCT</t>
  </si>
  <si>
    <t>06-00-IU</t>
  </si>
  <si>
    <t>GTCTCTCTGTTCCAGGTGTC</t>
  </si>
  <si>
    <t>06-00-IV</t>
  </si>
  <si>
    <t>TGTGTCTCTCTGTTCCAGGT</t>
  </si>
  <si>
    <t>06-00-IW</t>
  </si>
  <si>
    <t>TGGTGGCAGTGTGTCTCTCT</t>
  </si>
  <si>
    <t>06-00-IX</t>
  </si>
  <si>
    <t>CTGGTGGCAGTGTGTCTCTC</t>
  </si>
  <si>
    <t>06-00-IY</t>
  </si>
  <si>
    <t>GCTGGTGGCAGTGTGTCTCT</t>
  </si>
  <si>
    <t>06-00-IZ</t>
  </si>
  <si>
    <t>TGCTGGTGGCAGTGTGTCTC</t>
  </si>
  <si>
    <t>06-00-J0</t>
  </si>
  <si>
    <t>TGTGCTGGTGGCAGTGTGTC</t>
  </si>
  <si>
    <t>06-00-J1</t>
  </si>
  <si>
    <t>TTGTGCTGGTGGCAGTGTGT</t>
  </si>
  <si>
    <t>06-00-J2</t>
  </si>
  <si>
    <t>ATTTGTGCTGGTGGCAGTGT</t>
  </si>
  <si>
    <t>06-00-J3</t>
  </si>
  <si>
    <t>AGTGCCAGCCTTCTTCACAG</t>
  </si>
  <si>
    <t>06-00-J4</t>
  </si>
  <si>
    <t>CAGTGCCAGCCTTCTTCACA</t>
  </si>
  <si>
    <t>06-00-J5</t>
  </si>
  <si>
    <t>ACAGTGCCAGCCTTCTTCAC</t>
  </si>
  <si>
    <t>06-00-J6</t>
  </si>
  <si>
    <t>TACAGTGCCAGCCTTCTTCA</t>
  </si>
  <si>
    <t>06-00-J7</t>
  </si>
  <si>
    <t>CGTACAGTGCCAGCCTTCTT</t>
  </si>
  <si>
    <t>06-00-J8</t>
  </si>
  <si>
    <t>TCGTACAGTGCCAGCCTTCT</t>
  </si>
  <si>
    <t>06-00-J9</t>
  </si>
  <si>
    <t>CTCGTACAGTGCCAGCCTTC</t>
  </si>
  <si>
    <t>06-00-JA</t>
  </si>
  <si>
    <t>ACTCGTACAGTGCCAGCCTT</t>
  </si>
  <si>
    <t>06-00-JB</t>
  </si>
  <si>
    <t>AGGGCTCGCAGATGGTATCA</t>
  </si>
  <si>
    <t>06-00-JC</t>
  </si>
  <si>
    <t>CAGGGCTCGCAGATGGTATC</t>
  </si>
  <si>
    <t>06-00-JD</t>
  </si>
  <si>
    <t>GCAGGGCTCGCAGATGGTAT</t>
  </si>
  <si>
    <t>06-00-JE</t>
  </si>
  <si>
    <t>AGAAGCCGACTGGGCAGGGC</t>
  </si>
  <si>
    <t>06-00-JF</t>
  </si>
  <si>
    <t>AAGAAGCCGACTGGGCAGGG</t>
  </si>
  <si>
    <t>06-00-JG</t>
  </si>
  <si>
    <t>GAAGAAGCCGACTGGGCAGG</t>
  </si>
  <si>
    <t>06-00-JH</t>
  </si>
  <si>
    <t>AGAAGAAGCCGACTGGGCAG</t>
  </si>
  <si>
    <t>06-00-JI</t>
  </si>
  <si>
    <t>GGAGAAGAAGCCGACTGGGC</t>
  </si>
  <si>
    <t>06-00-JJ</t>
  </si>
  <si>
    <t>TGGAGAAGAAGCCGACTGGG</t>
  </si>
  <si>
    <t>06-00-JK</t>
  </si>
  <si>
    <t>06-00-JL</t>
  </si>
  <si>
    <t>ATTGGAGAAGAAGCCGACTG</t>
  </si>
  <si>
    <t>06-00-JM</t>
  </si>
  <si>
    <t>TGTTGCACAACCAGGTCTTT</t>
  </si>
  <si>
    <t>06-00-JN</t>
  </si>
  <si>
    <t>CTGTTGCACAACCAGGTCTT</t>
  </si>
  <si>
    <t>06-00-JO</t>
  </si>
  <si>
    <t>CCTGCCTGTTGCACAACCAG</t>
  </si>
  <si>
    <t>06-00-JP</t>
  </si>
  <si>
    <t>GCCTGCCTGTTGCACAACCA</t>
  </si>
  <si>
    <t>06-00-JQ</t>
  </si>
  <si>
    <t>TGTTTGTGCCTGCCTGTTGC</t>
  </si>
  <si>
    <t>06-00-JR</t>
  </si>
  <si>
    <t>CTTGTTTGTGCCTGCCTGTT</t>
  </si>
  <si>
    <t>06-00-JS</t>
  </si>
  <si>
    <t>TCTTGTTTGTGCCTGCCTGT</t>
  </si>
  <si>
    <t>06-00-JT</t>
  </si>
  <si>
    <t>AGTCTTGTTTGTGCCTGCCT</t>
  </si>
  <si>
    <t>06-00-JU</t>
  </si>
  <si>
    <t>CAGTCTTGTTTGTGCCTGCC</t>
  </si>
  <si>
    <t>06-00-JV</t>
  </si>
  <si>
    <t>TCAGTCTTGTTTGTGCCTGC</t>
  </si>
  <si>
    <t>06-00-JW</t>
  </si>
  <si>
    <t>ATCACCACCAGGGCTCTCAG</t>
  </si>
  <si>
    <t>06-00-JX</t>
  </si>
  <si>
    <t>GATCACCACCAGGGCTCTCA</t>
  </si>
  <si>
    <t>06-00-JY</t>
  </si>
  <si>
    <t>GGGAAAATTGATCTCCTGGG</t>
  </si>
  <si>
    <t>06-00-JZ</t>
  </si>
  <si>
    <t>CGGGAAAATTGATCTCCTGG</t>
  </si>
  <si>
    <t>06-00-K0</t>
  </si>
  <si>
    <t>TCGGGAAAATTGATCTCCTG</t>
  </si>
  <si>
    <t>06-00-K1</t>
  </si>
  <si>
    <t>CGTCGGGAAAATTGATCTCC</t>
  </si>
  <si>
    <t>06-00-K2</t>
  </si>
  <si>
    <t>TCGTCGGGAAAATTGATCTC</t>
  </si>
  <si>
    <t>06-00-K3</t>
  </si>
  <si>
    <t>ATCGTCGGGAAAATTGATCT</t>
  </si>
  <si>
    <t>06-00-K4</t>
  </si>
  <si>
    <t>AGTGTTGGAGCCAGGAAGAT</t>
  </si>
  <si>
    <t>06-00-K5</t>
  </si>
  <si>
    <t>CAGTGTTGGAGCCAGGAAGA</t>
  </si>
  <si>
    <t>06-00-K6</t>
  </si>
  <si>
    <t>AGCAGTGTTGGAGCCAGGAA</t>
  </si>
  <si>
    <t>06-00-K7</t>
  </si>
  <si>
    <t>GAGCAGCAGTGTTGGAGCCA</t>
  </si>
  <si>
    <t>06-00-K8</t>
  </si>
  <si>
    <t>CTGCACTGGAGCAGCAGTGT</t>
  </si>
  <si>
    <t>06-00-K9</t>
  </si>
  <si>
    <t>CCTGCACTGGAGCAGCAGTG</t>
  </si>
  <si>
    <t>06-00-KA</t>
  </si>
  <si>
    <t>TCCTGCACTGGAGCAGCAGT</t>
  </si>
  <si>
    <t>06-00-KB</t>
  </si>
  <si>
    <t>CTCCTGCACTGGAGCAGCAG</t>
  </si>
  <si>
    <t>06-00-KC</t>
  </si>
  <si>
    <t>GTCTCCTGCACTGGAGCAGC</t>
  </si>
  <si>
    <t>06-00-KD</t>
  </si>
  <si>
    <t>AGTCTCCTGCACTGGAGCAG</t>
  </si>
  <si>
    <t>06-00-KE</t>
  </si>
  <si>
    <t>GTAAAGTCTCCTGCACTGGA</t>
  </si>
  <si>
    <t>06-00-KF</t>
  </si>
  <si>
    <t>ATGTAAAGTCTCCTGCACTG</t>
  </si>
  <si>
    <t>06-00-KG</t>
  </si>
  <si>
    <t>CATGTAAAGTCTCCTGCACT</t>
  </si>
  <si>
    <t>06-00-KH</t>
  </si>
  <si>
    <t>ATCCATGTAAAGTCTCCTGC</t>
  </si>
  <si>
    <t>06-00-KI</t>
  </si>
  <si>
    <t>CATCCATGTAAAGTCTCCTG</t>
  </si>
  <si>
    <t>06-00-KJ</t>
  </si>
  <si>
    <t>GCATCCATGTAAAGTCTCCT</t>
  </si>
  <si>
    <t>06-00-KK</t>
  </si>
  <si>
    <t>TGGCATCCATGTAAAGTCTC</t>
  </si>
  <si>
    <t>06-00-KL</t>
  </si>
  <si>
    <t>TTGGCATCCATGTAAAGTCT</t>
  </si>
  <si>
    <t>06-00-KM</t>
  </si>
  <si>
    <t>GTTGGCATCCATGTAAAGTC</t>
  </si>
  <si>
    <t>06-00-KN</t>
  </si>
  <si>
    <t>GGTTGGCATCCATGTAAAGT</t>
  </si>
  <si>
    <t>06-00-KO</t>
  </si>
  <si>
    <t>CCGGTTGGCATCCATGTAAA</t>
  </si>
  <si>
    <t>06-00-KP</t>
  </si>
  <si>
    <t>ACCGGTTGGCATCCATGTAA</t>
  </si>
  <si>
    <t>06-00-KQ</t>
  </si>
  <si>
    <t>GACCGGTTGGCATCCATGTA</t>
  </si>
  <si>
    <t>06-00-KR</t>
  </si>
  <si>
    <t>TGACCGGTTGGCATCCATGT</t>
  </si>
  <si>
    <t>06-00-KS</t>
  </si>
  <si>
    <t>GGTGACCGGTTGGCATCCAT</t>
  </si>
  <si>
    <t>06-00-KT</t>
  </si>
  <si>
    <t>TTTGCCATCCTCCTGGGTGA</t>
  </si>
  <si>
    <t>06-00-KU</t>
  </si>
  <si>
    <t>TCTTTGCCATCCTCCTGGGT</t>
  </si>
  <si>
    <t>06-00-KV</t>
  </si>
  <si>
    <t>CTCTTTGCCATCCTCCTGGG</t>
  </si>
  <si>
    <t>06-00-KW</t>
  </si>
  <si>
    <t>CTCTCTTTGCCATCCTCCTG</t>
  </si>
  <si>
    <t>06-00-KX</t>
  </si>
  <si>
    <t>ACTCTCTTTGCCATCCTCCT</t>
  </si>
  <si>
    <t>06-00-KY</t>
  </si>
  <si>
    <t>GACTCTCTTTGCCATCCTCC</t>
  </si>
  <si>
    <t>06-00-KZ</t>
  </si>
  <si>
    <t>CGACTCTCTTTGCCATCCTC</t>
  </si>
  <si>
    <t>06-00-L0</t>
  </si>
  <si>
    <t>TGCGACTCTCTTTGCCATCC</t>
  </si>
  <si>
    <t>06-00-L1</t>
  </si>
  <si>
    <t>ATGCGACTCTCTTTGCCATC</t>
  </si>
  <si>
    <t>06-00-L2</t>
  </si>
  <si>
    <t>GATGCGACTCTCTTTGCCAT</t>
  </si>
  <si>
    <t>06-00-L3</t>
  </si>
  <si>
    <t>AGATGCGACTCTCTTTGCCA</t>
  </si>
  <si>
    <t>06-00-L4</t>
  </si>
  <si>
    <t>TGAGATGCGACTCTCTTTGC</t>
  </si>
  <si>
    <t>06-00-L5</t>
  </si>
  <si>
    <t>CTGAGATGCGACTCTCTTTG</t>
  </si>
  <si>
    <t>06-00-L6</t>
  </si>
  <si>
    <t>ACTGAGATGCGACTCTCTTT</t>
  </si>
  <si>
    <t>06-00-L7</t>
  </si>
  <si>
    <t>CACTGAGATGCGACTCTCTT</t>
  </si>
  <si>
    <t>06-00-L8</t>
  </si>
  <si>
    <t>TGCACTGAGATGCGACTCTC</t>
  </si>
  <si>
    <t>06-00-L9</t>
  </si>
  <si>
    <t>CTGCACTGAGATGCGACTCT</t>
  </si>
  <si>
    <t>06-00-LA</t>
  </si>
  <si>
    <t>CCTGCACTGAGATGCGACTC</t>
  </si>
  <si>
    <t>06-00-LB</t>
  </si>
  <si>
    <t>TCCTGCACTGAGATGCGACT</t>
  </si>
  <si>
    <t>06-00-LC</t>
  </si>
  <si>
    <t>TCTCCTGCACTGAGATGCGA</t>
  </si>
  <si>
    <t>06-00-LD</t>
  </si>
  <si>
    <t>CTCTCCTGCACTGAGATGCG</t>
  </si>
  <si>
    <t>Cd40-ASO 103 MOE</t>
    <phoneticPr fontId="1"/>
  </si>
  <si>
    <t>Cd40-ASO 105 MOE</t>
    <phoneticPr fontId="1"/>
  </si>
  <si>
    <t>Cd40-ASO 107 MOE</t>
    <phoneticPr fontId="1"/>
  </si>
  <si>
    <t>Cd40-ASO 108 MOE</t>
    <phoneticPr fontId="1"/>
  </si>
  <si>
    <t>Cd40-ASO 109 MOE</t>
    <phoneticPr fontId="1"/>
  </si>
  <si>
    <t>Cd40-ASO 110 MOE</t>
    <phoneticPr fontId="1"/>
  </si>
  <si>
    <t>Cd40-ASO 202 MOE</t>
    <phoneticPr fontId="1"/>
  </si>
  <si>
    <t>Cd40-ASO 203 MOE</t>
    <phoneticPr fontId="1"/>
  </si>
  <si>
    <t>Cd40-ASO 204 MOE</t>
    <phoneticPr fontId="1"/>
  </si>
  <si>
    <t>Cd40-ASO 205 MOE</t>
    <phoneticPr fontId="1"/>
  </si>
  <si>
    <t>Cd40-ASO 209 MOE</t>
    <phoneticPr fontId="1"/>
  </si>
  <si>
    <t>Cd40-ASO 210 MOE</t>
    <phoneticPr fontId="1"/>
  </si>
  <si>
    <t>Cd40-ASO 217 MOE</t>
    <phoneticPr fontId="1"/>
  </si>
  <si>
    <t>Cd40-ASO 218 MOE</t>
    <phoneticPr fontId="1"/>
  </si>
  <si>
    <t>Cd40-ASO 219 MOE</t>
    <phoneticPr fontId="1"/>
  </si>
  <si>
    <t>Cd40-ASO 220 MOE</t>
    <phoneticPr fontId="1"/>
  </si>
  <si>
    <t>Cd40-ASO 222 MOE</t>
    <phoneticPr fontId="1"/>
  </si>
  <si>
    <t>Cd40-ASO 223 MOE</t>
    <phoneticPr fontId="1"/>
  </si>
  <si>
    <t>Cd40-ASO 224 MOE</t>
    <phoneticPr fontId="1"/>
  </si>
  <si>
    <t>Cd40-ASO 233 MOE</t>
    <phoneticPr fontId="1"/>
  </si>
  <si>
    <t>Cd40-ASO 234 MOE</t>
    <phoneticPr fontId="1"/>
  </si>
  <si>
    <t>Cd40-ASO 235 MOE</t>
    <phoneticPr fontId="1"/>
  </si>
  <si>
    <t>Cd40-ASO 238 MOE</t>
    <phoneticPr fontId="1"/>
  </si>
  <si>
    <t>Cd40-ASO 247 MOE</t>
    <phoneticPr fontId="1"/>
  </si>
  <si>
    <t>Cd40-ASO 248 MOE</t>
    <phoneticPr fontId="1"/>
  </si>
  <si>
    <t>Cd40-ASO 249 MOE</t>
    <phoneticPr fontId="1"/>
  </si>
  <si>
    <t>Cd40-ASO 250 MOE</t>
    <phoneticPr fontId="1"/>
  </si>
  <si>
    <t>Cd40-ASO 252 MOE</t>
    <phoneticPr fontId="1"/>
  </si>
  <si>
    <t>Cd40-ASO 253 MOE</t>
    <phoneticPr fontId="1"/>
  </si>
  <si>
    <t>Cd40-ASO 255 MOE</t>
    <phoneticPr fontId="1"/>
  </si>
  <si>
    <t>Cd40-ASO 342 MOE</t>
    <phoneticPr fontId="1"/>
  </si>
  <si>
    <t>Cd40-ASO 343 MOE</t>
    <phoneticPr fontId="1"/>
  </si>
  <si>
    <t>Cd40-ASO 344 MOE</t>
    <phoneticPr fontId="1"/>
  </si>
  <si>
    <t>Cd40-ASO 345 MOE</t>
    <phoneticPr fontId="1"/>
  </si>
  <si>
    <t>Cd40-ASO 347 MOE</t>
    <phoneticPr fontId="1"/>
  </si>
  <si>
    <t>Cd40-ASO 348 MOE</t>
    <phoneticPr fontId="1"/>
  </si>
  <si>
    <t>Cd40-ASO 349 MOE</t>
    <phoneticPr fontId="1"/>
  </si>
  <si>
    <t>Cd40-ASO 350 MOE</t>
    <phoneticPr fontId="1"/>
  </si>
  <si>
    <t>Cd40-ASO 447 MOE</t>
    <phoneticPr fontId="1"/>
  </si>
  <si>
    <t>Cd40-ASO 448 MOE</t>
    <phoneticPr fontId="1"/>
  </si>
  <si>
    <t>Cd40-ASO 449 MOE</t>
    <phoneticPr fontId="1"/>
  </si>
  <si>
    <t>Cd40-ASO 462 MOE</t>
    <phoneticPr fontId="1"/>
  </si>
  <si>
    <t>Cd40-ASO 463 MOE</t>
    <phoneticPr fontId="1"/>
  </si>
  <si>
    <t>Cd40-ASO 464 MOE</t>
    <phoneticPr fontId="1"/>
  </si>
  <si>
    <t>Cd40-ASO 465 MOE</t>
    <phoneticPr fontId="1"/>
  </si>
  <si>
    <t>Cd40-ASO 467 MOE</t>
    <phoneticPr fontId="1"/>
  </si>
  <si>
    <t>Cd40-ASO 468 MOE</t>
    <phoneticPr fontId="1"/>
  </si>
  <si>
    <t>Cd40-ASO 469 MOE</t>
    <phoneticPr fontId="1"/>
  </si>
  <si>
    <t>Cd40-ASO 470 MOE</t>
    <phoneticPr fontId="1"/>
  </si>
  <si>
    <t>Cd40-ASO 538 MOE</t>
    <phoneticPr fontId="1"/>
  </si>
  <si>
    <t>Cd40-ASO 539 MOE</t>
    <phoneticPr fontId="1"/>
  </si>
  <si>
    <t>Cd40-ASO 544 MOE</t>
    <phoneticPr fontId="1"/>
  </si>
  <si>
    <t>Cd40-ASO 545 MOE</t>
    <phoneticPr fontId="1"/>
  </si>
  <si>
    <t>Cd40-ASO 552 MOE</t>
    <phoneticPr fontId="1"/>
  </si>
  <si>
    <t>Cd40-ASO 554 MOE3</t>
    <phoneticPr fontId="1"/>
  </si>
  <si>
    <t>Cd40-ASO 555 MOE</t>
    <phoneticPr fontId="1"/>
  </si>
  <si>
    <t>Cd40-ASO 557 MOE</t>
    <phoneticPr fontId="1"/>
  </si>
  <si>
    <t>Cd40-ASO 558 MOE</t>
    <phoneticPr fontId="1"/>
  </si>
  <si>
    <t>Cd40-ASO 559 MOE</t>
    <phoneticPr fontId="1"/>
  </si>
  <si>
    <t>Cd40-ASO 604 MOE</t>
    <phoneticPr fontId="1"/>
  </si>
  <si>
    <t>Cd40-ASO 605 MOE</t>
    <phoneticPr fontId="1"/>
  </si>
  <si>
    <t>Cd40-ASO 728 MOE</t>
    <phoneticPr fontId="1"/>
  </si>
  <si>
    <t>Cd40-ASO 729 MOE</t>
    <phoneticPr fontId="1"/>
  </si>
  <si>
    <t>Cd40-ASO 730 MOE</t>
    <phoneticPr fontId="1"/>
  </si>
  <si>
    <t>Cd40-ASO 732 MOE</t>
    <phoneticPr fontId="1"/>
  </si>
  <si>
    <t>Cd40-ASO 733 MOE</t>
    <phoneticPr fontId="1"/>
  </si>
  <si>
    <t>Cd40-ASO 734 MOE</t>
    <phoneticPr fontId="1"/>
  </si>
  <si>
    <t>Cd40-ASO 752 MOE</t>
    <phoneticPr fontId="1"/>
  </si>
  <si>
    <t>Cd40-ASO 753 MOE</t>
    <phoneticPr fontId="1"/>
  </si>
  <si>
    <t>Cd40-ASO 755 MOE</t>
    <phoneticPr fontId="1"/>
  </si>
  <si>
    <t>Cd40-ASO 759 MOE</t>
    <phoneticPr fontId="1"/>
  </si>
  <si>
    <t>Cd40-ASO 767 MOE</t>
    <phoneticPr fontId="1"/>
  </si>
  <si>
    <t>Cd40-ASO 768 MOE</t>
    <phoneticPr fontId="1"/>
  </si>
  <si>
    <t>Cd40-ASO 769 MOE</t>
    <phoneticPr fontId="1"/>
  </si>
  <si>
    <t>Cd40-ASO 770 MOE</t>
    <phoneticPr fontId="1"/>
  </si>
  <si>
    <t>Cd40-ASO 772 MOE</t>
    <phoneticPr fontId="1"/>
  </si>
  <si>
    <t>Cd40-ASO 773 MOE</t>
    <phoneticPr fontId="1"/>
  </si>
  <si>
    <t>Cd40-ASO 777 MOE</t>
    <phoneticPr fontId="1"/>
  </si>
  <si>
    <t>Cd40-ASO 779 MOE</t>
    <phoneticPr fontId="1"/>
  </si>
  <si>
    <t>Cd40-ASO 780 MOE</t>
    <phoneticPr fontId="1"/>
  </si>
  <si>
    <t>Cd40-ASO 783 MOE</t>
    <phoneticPr fontId="1"/>
  </si>
  <si>
    <t>Cd40-ASO 784 MOE</t>
    <phoneticPr fontId="1"/>
  </si>
  <si>
    <t>Cd40-ASO 785 MOE</t>
    <phoneticPr fontId="1"/>
  </si>
  <si>
    <t>Cd40-ASO 787 MOE</t>
    <phoneticPr fontId="1"/>
  </si>
  <si>
    <t>Cd40-ASO 788 MOE</t>
    <phoneticPr fontId="1"/>
  </si>
  <si>
    <t>Cd40-ASO 789 MOE</t>
    <phoneticPr fontId="1"/>
  </si>
  <si>
    <t>Cd40-ASO 790 MOE</t>
    <phoneticPr fontId="1"/>
  </si>
  <si>
    <t>Cd40-ASO 792 MOE</t>
    <phoneticPr fontId="1"/>
  </si>
  <si>
    <t>Cd40-ASO 793 MOE</t>
    <phoneticPr fontId="1"/>
  </si>
  <si>
    <t>Cd40-ASO 794 MOE</t>
    <phoneticPr fontId="1"/>
  </si>
  <si>
    <t>Cd40-ASO 795 MOE</t>
    <phoneticPr fontId="1"/>
  </si>
  <si>
    <t>Cd40-ASO 797 MOE</t>
    <phoneticPr fontId="1"/>
  </si>
  <si>
    <t>Cd40-ASO 812 MOE</t>
    <phoneticPr fontId="1"/>
  </si>
  <si>
    <t>Cd40-ASO 814 MOE</t>
    <phoneticPr fontId="1"/>
  </si>
  <si>
    <t>Cd40-ASO 815 MOE</t>
    <phoneticPr fontId="1"/>
  </si>
  <si>
    <t>Cd40-ASO 817 MOE</t>
    <phoneticPr fontId="1"/>
  </si>
  <si>
    <t>Cd40-ASO 818 MOE</t>
    <phoneticPr fontId="1"/>
  </si>
  <si>
    <t>Cd40-ASO 819 MOE</t>
    <phoneticPr fontId="1"/>
  </si>
  <si>
    <t>Cd40-ASO 820 MOE</t>
    <phoneticPr fontId="1"/>
  </si>
  <si>
    <t>Cd40-ASO 822 MOE</t>
    <phoneticPr fontId="1"/>
  </si>
  <si>
    <t>Cd40-ASO 823 MOE</t>
    <phoneticPr fontId="1"/>
  </si>
  <si>
    <t>Cd40-ASO 824 MOE</t>
    <phoneticPr fontId="1"/>
  </si>
  <si>
    <t>Cd40-ASO 825 MOE</t>
    <phoneticPr fontId="1"/>
  </si>
  <si>
    <t>Cd40-ASO 827 MOE</t>
    <phoneticPr fontId="1"/>
  </si>
  <si>
    <t>Cd40-ASO 828 MOE</t>
    <phoneticPr fontId="1"/>
  </si>
  <si>
    <t>Cd40-ASO 829 MOE</t>
    <phoneticPr fontId="1"/>
  </si>
  <si>
    <t>Cd40-ASO 830 MOE</t>
    <phoneticPr fontId="1"/>
  </si>
  <si>
    <t>Cd40-ASO 832 MOE</t>
    <phoneticPr fontId="1"/>
  </si>
  <si>
    <t>Cd40-ASO 833 MOE</t>
    <phoneticPr fontId="1"/>
  </si>
  <si>
    <t>Cd40-ASO 834 MOE</t>
    <phoneticPr fontId="1"/>
  </si>
  <si>
    <t>Cd40-ASO 835 MOE</t>
    <phoneticPr fontId="1"/>
  </si>
  <si>
    <t>Cd40-ASO 837 MOE</t>
    <phoneticPr fontId="1"/>
  </si>
  <si>
    <t>Cd40-ASO 838 MOE</t>
    <phoneticPr fontId="1"/>
  </si>
  <si>
    <t>Cd40-ASO 103 MOE</t>
  </si>
  <si>
    <t>Cd40-ASO 105 MOE</t>
  </si>
  <si>
    <t>Cd40-ASO 107 MOE</t>
  </si>
  <si>
    <t>Cd40-ASO 108 MOE</t>
  </si>
  <si>
    <t>Cd40-ASO 109 MOE</t>
  </si>
  <si>
    <t>Cd40-ASO 110 MOE</t>
  </si>
  <si>
    <t>Cd40-ASO 202 MOE</t>
  </si>
  <si>
    <t>Cd40-ASO 203 MOE</t>
  </si>
  <si>
    <t>Cd40-ASO 204 MOE</t>
  </si>
  <si>
    <t>Cd40-ASO 205 MOE</t>
  </si>
  <si>
    <t>Cd40-ASO 209 MOE</t>
  </si>
  <si>
    <t>Cd40-ASO 210 MOE</t>
  </si>
  <si>
    <t>Cd40-ASO 217 MOE</t>
  </si>
  <si>
    <t>Cd40-ASO 218 MOE</t>
  </si>
  <si>
    <t>Cd40-ASO 219 MOE</t>
  </si>
  <si>
    <t>Cd40-ASO 220 MOE</t>
  </si>
  <si>
    <t>Cd40-ASO 222 MOE</t>
  </si>
  <si>
    <t>Cd40-ASO 223 MOE</t>
  </si>
  <si>
    <t>Cd40-ASO 224 MOE</t>
  </si>
  <si>
    <t>Cd40-ASO 233 MOE</t>
  </si>
  <si>
    <t>Cd40-ASO 234 MOE</t>
  </si>
  <si>
    <t>Cd40-ASO 235 MOE</t>
  </si>
  <si>
    <t>Cd40-ASO 238 MOE</t>
  </si>
  <si>
    <t>Cd40-ASO 247 MOE</t>
  </si>
  <si>
    <t>Cd40-ASO 248 MOE</t>
  </si>
  <si>
    <t>Cd40-ASO 249 MOE</t>
  </si>
  <si>
    <t>Cd40-ASO 250 MOE</t>
  </si>
  <si>
    <t>Cd40-ASO 252 MOE</t>
  </si>
  <si>
    <t>Cd40-ASO 253 MOE</t>
  </si>
  <si>
    <t>Cd40-ASO 255 MOE</t>
  </si>
  <si>
    <t>Cd40-ASO 342 MOE</t>
  </si>
  <si>
    <t>Cd40-ASO 343 MOE</t>
  </si>
  <si>
    <t>Cd40-ASO 344 MOE</t>
  </si>
  <si>
    <t>Cd40-ASO 345 MOE</t>
  </si>
  <si>
    <t>Cd40-ASO 347 MOE</t>
  </si>
  <si>
    <t>Cd40-ASO 348 MOE</t>
  </si>
  <si>
    <t>Cd40-ASO 349 MOE</t>
  </si>
  <si>
    <t>Cd40-ASO 350 MOE</t>
  </si>
  <si>
    <t>Cd40-ASO 447 MOE</t>
  </si>
  <si>
    <t>Cd40-ASO 448 MOE</t>
  </si>
  <si>
    <t>Cd40-ASO 449 MOE</t>
  </si>
  <si>
    <t>Cd40-ASO 462 MOE</t>
  </si>
  <si>
    <t>Cd40-ASO 463 MOE</t>
  </si>
  <si>
    <t>Cd40-ASO 464 MOE</t>
  </si>
  <si>
    <t>Cd40-ASO 465 MOE</t>
  </si>
  <si>
    <t>Cd40-ASO 467 MOE</t>
  </si>
  <si>
    <t>Cd40-ASO 468 MOE</t>
  </si>
  <si>
    <t>Cd40-ASO 469 MOE</t>
  </si>
  <si>
    <t>Cd40-ASO 470 MOE</t>
  </si>
  <si>
    <t>Cd40-ASO 538 MOE</t>
  </si>
  <si>
    <t>Cd40-ASO 539 MOE</t>
  </si>
  <si>
    <t>Cd40-ASO 544 MOE</t>
  </si>
  <si>
    <t>Cd40-ASO 545 MOE</t>
  </si>
  <si>
    <t>Cd40-ASO 552 MOE</t>
  </si>
  <si>
    <t>Cd40-ASO 554 MOE3</t>
  </si>
  <si>
    <t>Cd40-ASO 555 MOE</t>
  </si>
  <si>
    <t>Cd40-ASO 557 MOE</t>
  </si>
  <si>
    <t>Cd40-ASO 558 MOE</t>
  </si>
  <si>
    <t>Cd40-ASO 559 MOE</t>
  </si>
  <si>
    <t>Cd40-ASO 604 MOE</t>
  </si>
  <si>
    <t>Cd40-ASO 605 MOE</t>
  </si>
  <si>
    <t>Cd40-ASO 728 MOE</t>
  </si>
  <si>
    <t>Cd40-ASO 729 MOE</t>
  </si>
  <si>
    <t>Cd40-ASO 730 MOE</t>
  </si>
  <si>
    <t>Cd40-ASO 732 MOE</t>
  </si>
  <si>
    <t>Cd40-ASO 733 MOE</t>
  </si>
  <si>
    <t>Cd40-ASO 734 MOE</t>
  </si>
  <si>
    <t>Cd40-ASO 752 MOE</t>
  </si>
  <si>
    <t>Cd40-ASO 753 MOE</t>
  </si>
  <si>
    <t>Cd40-ASO 755 MOE</t>
  </si>
  <si>
    <t>Cd40-ASO 759 MOE</t>
  </si>
  <si>
    <t>Cd40-ASO 767 MOE</t>
  </si>
  <si>
    <t>Cd40-ASO 768 MOE</t>
  </si>
  <si>
    <t>Cd40-ASO 769 MOE</t>
  </si>
  <si>
    <t>Cd40-ASO 770 MOE</t>
  </si>
  <si>
    <t>Cd40-ASO 772 MOE</t>
  </si>
  <si>
    <t>Cd40-ASO 773 MOE</t>
  </si>
  <si>
    <t>Cd40-ASO 777 MOE</t>
  </si>
  <si>
    <t>Cd40-ASO 779 MOE</t>
  </si>
  <si>
    <t>Cd40-ASO 780 MOE</t>
  </si>
  <si>
    <t>Cd40-ASO 783 MOE</t>
  </si>
  <si>
    <t>Cd40-ASO 784 MOE</t>
  </si>
  <si>
    <t>Cd40-ASO 785 MOE</t>
  </si>
  <si>
    <t>Cd40-ASO 787 MOE</t>
  </si>
  <si>
    <t>Cd40-ASO 788 MOE</t>
  </si>
  <si>
    <t>Cd40-ASO 789 MOE</t>
  </si>
  <si>
    <t>Cd40-ASO 790 MOE</t>
  </si>
  <si>
    <t>Cd40-ASO 792 MOE</t>
  </si>
  <si>
    <t>Cd40-ASO 793 MOE</t>
  </si>
  <si>
    <t>Cd40-ASO 794 MOE</t>
  </si>
  <si>
    <t>Cd40-ASO 795 MOE</t>
  </si>
  <si>
    <t>Cd40-ASO 797 MOE</t>
  </si>
  <si>
    <t>Cd40-ASO 812 MOE</t>
  </si>
  <si>
    <t>Cd40-ASO 814 MOE</t>
  </si>
  <si>
    <t>Cd40-ASO 815 MOE</t>
  </si>
  <si>
    <t>Cd40-ASO 817 MOE</t>
  </si>
  <si>
    <t>Cd40-ASO 818 MOE</t>
  </si>
  <si>
    <t>Cd40-ASO 819 MOE</t>
  </si>
  <si>
    <t>Cd40-ASO 820 MOE</t>
  </si>
  <si>
    <t>Cd40-ASO 822 MOE</t>
  </si>
  <si>
    <t>Cd40-ASO 823 MOE</t>
  </si>
  <si>
    <t>Cd40-ASO 824 MOE</t>
  </si>
  <si>
    <t>Cd40-ASO 825 MOE</t>
  </si>
  <si>
    <t>Cd40-ASO 827 MOE</t>
  </si>
  <si>
    <t>Cd40-ASO 828 MOE</t>
  </si>
  <si>
    <t>Cd40-ASO 829 MOE</t>
  </si>
  <si>
    <t>Cd40-ASO 830 MOE</t>
  </si>
  <si>
    <t>Cd40-ASO 832 MOE</t>
  </si>
  <si>
    <t>Cd40-ASO 833 MOE</t>
  </si>
  <si>
    <t>Cd40-ASO 834 MOE</t>
  </si>
  <si>
    <t>Cd40-ASO 835 MOE</t>
  </si>
  <si>
    <t>Cd40-ASO 837 MOE</t>
  </si>
  <si>
    <t>Cd40-ASO 838 MOE</t>
  </si>
  <si>
    <t>T(M)^A(M)^mC(M)^T(M)^G(M)^T^T^T^T^T^C^T^C^T^G^mC(M)^A(M)^T(M)^G(M)^mC(M)</t>
  </si>
  <si>
    <t>G(M)^G(M)^T(M)^A(M)^mC(M)^T^G^T^T^T^T^T^C^T^C^T(M)^G(M)^mC(M)^A(M)^T(M)</t>
  </si>
  <si>
    <t>T(M)^A(M)^G(M)^G(M)^T(M)^A^C^T^G^T^T^T^T^T^C^T(M)^mC(M)^T(M)^G(M)^mC(M)</t>
  </si>
  <si>
    <t>T(M)^T(M)^A(M)^G(M)^G(M)^T^A^C^T^G^T^T^T^T^T^mC(M)^T(M)^mC(M)^T(M)^G(M)</t>
  </si>
  <si>
    <t>A(M)^T(M)^T(M)^A(M)^G(M)^G^T^A^C^T^G^T^T^T^T^T(M)^mC(M)^T(M)^mC(M)^T(M)</t>
  </si>
  <si>
    <t>T(M)^A(M)^T(M)^T(M)^A(M)^G^G^T^A^C^T^G^T^T^T^T(M)^T(M)^mC(M)^T(M)^mC(M)</t>
  </si>
  <si>
    <t>T(M)^mC(M)^A(M)^mC(M)^mC(M)^G^C^A^A^G^G^A^A^G^G^mC(M)^A(M)^T(M)^T(M)^mC(M)</t>
  </si>
  <si>
    <t>T(M)^T(M)^mC(M)^A(M)^mC(M)^C^G^C^A^A^G^G^A^A^G^G(M)^mC(M)^A(M)^T(M)^T(M)</t>
  </si>
  <si>
    <t>T(M)^T(M)^T(M)^mC(M)^A(M)^C^C^G^C^A^A^G^G^A^A^G(M)^G(M)^mC(M)^A(M)^T(M)</t>
  </si>
  <si>
    <t>mC(M)^T(M)^T(M)^T(M)^mC(M)^A^C^C^G^C^A^A^G^G^A^A(M)^G(M)^G(M)^mC(M)^A(M)</t>
  </si>
  <si>
    <t>T(M)^T(M)^mC(M)^G(M)^mC(M)^T^T^T^C^A^C^C^G^C^A^A(M)^G(M)^G(M)^A(M)^A(M)</t>
  </si>
  <si>
    <t>A(M)^T(M)^T(M)^mC(M)^G(M)^C^T^T^T^C^A^C^C^G^C^A(M)^A(M)^G(M)^G(M)^A(M)</t>
  </si>
  <si>
    <t>T(M)^mC(M)^T(M)^A(M)^G(M)^G^A^A^T^T^C^G^C^T^T^T(M)^mC(M)^A(M)^mC(M)^mC(M)</t>
  </si>
  <si>
    <t>G(M)^T(M)^mC(M)^T(M)^A(M)^G^G^A^A^T^T^C^G^C^T^T(M)^T(M)^mC(M)^A(M)^mC(M)</t>
  </si>
  <si>
    <t>T(M)^G(M)^T(M)^mC(M)^T(M)^A^G^G^A^A^T^T^C^G^C^T(M)^T(M)^T(M)^mC(M)^A(M)</t>
  </si>
  <si>
    <t>G(M)^T(M)^G(M)^T(M)^mC(M)^T^A^G^G^A^A^T^T^C^G^mC(M)^T(M)^T(M)^T(M)^mC(M)</t>
  </si>
  <si>
    <t>A(M)^G(M)^G(M)^T(M)^G(M)^T^C^T^A^G^G^A^A^T^T^mC(M)^G(M)^mC(M)^T(M)^T(M)</t>
  </si>
  <si>
    <t>mC(M)^A(M)^G(M)^G(M)^T(M)^G^T^C^T^A^G^G^A^A^T^T(M)^mC(M)^G(M)^mC(M)^T(M)</t>
  </si>
  <si>
    <t>mC(M)^mC(M)^A(M)^G(M)^G(M)^T^G^T^C^T^A^G^G^A^A^T(M)^T(M)^mC(M)^G(M)^mC(M)</t>
  </si>
  <si>
    <t>mC(M)^T(M)^mC(M)^T(M)^mC(M)^T^G^T^T^C^C^A^G^G^T^G(M)^T(M)^mC(M)^T(M)^A(M)</t>
  </si>
  <si>
    <t>T(M)^mC(M)^T(M)^mC(M)^T(M)^C^T^G^T^T^C^C^A^G^G^T(M)^G(M)^T(M)^mC(M)^T(M)</t>
  </si>
  <si>
    <t>G(M)^T(M)^mC(M)^T(M)^mC(M)^T^C^T^G^T^T^C^C^A^G^G(M)^T(M)^G(M)^T(M)^mC(M)</t>
  </si>
  <si>
    <t>T(M)^G(M)^T(M)^G(M)^T(M)^C^T^C^T^C^T^G^T^T^C^mC(M)^A(M)^G(M)^G(M)^T(M)</t>
  </si>
  <si>
    <t>T(M)^G(M)^G(M)^T(M)^G(M)^G^C^A^G^T^G^T^G^T^C^T(M)^mC(M)^T(M)^mC(M)^T(M)</t>
  </si>
  <si>
    <t>mC(M)^T(M)^G(M)^G(M)^T(M)^G^G^C^A^G^T^G^T^G^T^mC(M)^T(M)^mC(M)^T(M)^mC(M)</t>
  </si>
  <si>
    <t>G(M)^mC(M)^T(M)^G(M)^G(M)^T^G^G^C^A^G^T^G^T^G^T(M)^mC(M)^T(M)^mC(M)^T(M)</t>
  </si>
  <si>
    <t>T(M)^G(M)^mC(M)^T(M)^G(M)^G^T^G^G^C^A^G^T^G^T^G(M)^T(M)^mC(M)^T(M)^mC(M)</t>
  </si>
  <si>
    <t>T(M)^G(M)^T(M)^G(M)^mC(M)^T^G^G^T^G^G^C^A^G^T^G(M)^T(M)^G(M)^T(M)^mC(M)</t>
  </si>
  <si>
    <t>T(M)^T(M)^G(M)^T(M)^G(M)^C^T^G^G^T^G^G^C^A^G^T(M)^G(M)^T(M)^G(M)^T(M)</t>
  </si>
  <si>
    <t>A(M)^T(M)^T(M)^T(M)^G(M)^T^G^C^T^G^G^T^G^G^C^A(M)^G(M)^T(M)^G(M)^T(M)</t>
  </si>
  <si>
    <t>A(M)^G(M)^T(M)^G(M)^mC(M)^C^A^G^C^C^T^T^C^T^T^mC(M)^A(M)^mC(M)^A(M)^G(M)</t>
  </si>
  <si>
    <t>mC(M)^A(M)^G(M)^T(M)^G(M)^C^C^A^G^C^C^T^T^C^T^T(M)^mC(M)^A(M)^mC(M)^A(M)</t>
  </si>
  <si>
    <t>A(M)^mC(M)^A(M)^G(M)^T(M)^G^C^C^A^G^C^C^T^T^C^T(M)^T(M)^mC(M)^A(M)^mC(M)</t>
  </si>
  <si>
    <t>T(M)^A(M)^mC(M)^A(M)^G(M)^T^G^C^C^A^G^C^C^T^T^mC(M)^T(M)^T(M)^mC(M)^A(M)</t>
  </si>
  <si>
    <t>mC(M)^G(M)^T(M)^A(M)^mC(M)^A^G^T^G^C^C^A^G^C^C^T(M)^T(M)^mC(M)^T(M)^T(M)</t>
  </si>
  <si>
    <t>T(M)^mC(M)^G(M)^T(M)^A(M)^C^A^G^T^G^C^C^A^G^C^mC(M)^T(M)^T(M)^mC(M)^T(M)</t>
  </si>
  <si>
    <t>mC(M)^T(M)^mC(M)^G(M)^T(M)^A^C^A^G^T^G^C^C^A^G^mC(M)^mC(M)^T(M)^T(M)^mC(M)</t>
  </si>
  <si>
    <t>A(M)^mC(M)^T(M)^mC(M)^G(M)^T^A^C^A^G^T^G^C^C^A^G(M)^mC(M)^mC(M)^T(M)^T(M)</t>
  </si>
  <si>
    <t>A(M)^G(M)^G(M)^G(M)^mC(M)^T^C^G^C^A^G^A^T^G^G^T(M)^A(M)^T(M)^mC(M)^A(M)</t>
  </si>
  <si>
    <t>mC(M)^A(M)^G(M)^G(M)^G(M)^C^T^C^G^C^A^G^A^T^G^G(M)^T(M)^A(M)^T(M)^mC(M)</t>
  </si>
  <si>
    <t>G(M)^mC(M)^A(M)^G(M)^G(M)^G^C^T^C^G^C^A^G^A^T^G(M)^G(M)^T(M)^A(M)^T(M)</t>
  </si>
  <si>
    <t>A(M)^G(M)^A(M)^A(M)^G(M)^C^C^G^A^C^T^G^G^G^C^A(M)^G(M)^G(M)^G(M)^mC(M)</t>
  </si>
  <si>
    <t>A(M)^A(M)^G(M)^A(M)^A(M)^G^C^C^G^A^C^T^G^G^G^mC(M)^A(M)^G(M)^G(M)^G(M)</t>
  </si>
  <si>
    <t>G(M)^A(M)^A(M)^G(M)^A(M)^A^G^C^C^G^A^C^T^G^G^G(M)^mC(M)^A(M)^G(M)^G(M)</t>
  </si>
  <si>
    <t>A(M)^G(M)^A(M)^A(M)^G(M)^A^A^G^C^C^G^A^C^T^G^G(M)^G(M)^mC(M)^A(M)^G(M)</t>
  </si>
  <si>
    <t>G(M)^G(M)^A(M)^G(M)^A(M)^A^G^A^A^G^C^C^G^A^C^T(M)^G(M)^G(M)^G(M)^mC(M)</t>
  </si>
  <si>
    <t>T(M)^G(M)^G(M)^A(M)^G(M)^A^A^G^A^A^G^C^C^G^A^mC(M)^T(M)^G(M)^G(M)^G(M)</t>
  </si>
  <si>
    <t>A(M)^T(M)^T(M)^G(M)^G(M)^A^G^A^A^G^A^A^G^C^C^G(M)^A(M)^mC(M)^T(M)^G(M)</t>
  </si>
  <si>
    <t>T(M)^G(M)^T(M)^T(M)^G(M)^C^A^C^A^A^C^C^A^G^G^T(M)^mC(M)^T(M)^T(M)^T(M)</t>
  </si>
  <si>
    <t>mC(M)^T(M)^G(M)^T(M)^T(M)^G^C^A^C^A^A^C^C^A^G^G(M)^T(M)^mC(M)^T(M)^T(M)</t>
  </si>
  <si>
    <t>mC(M)^mC(M)^T(M)^G(M)^mC(M)^C^T^G^T^T^G^C^A^C^A^A(M)^mC(M)^mC(M)^A(M)^G(M)</t>
  </si>
  <si>
    <t>G(M)^mC(M)^mC(M)^T(M)^G(M)^C^C^T^G^T^T^G^C^A^C^A(M)^A(M)^mC(M)^mC(M)^A(M)</t>
  </si>
  <si>
    <t>T(M)^G(M)^T(M)^T(M)^T(M)^G^T^G^C^C^T^G^C^C^T^G(M)^T(M)^T(M)^G(M)^mC(M)</t>
  </si>
  <si>
    <t>mC(M)^T(M)^T(M)^G(M)^T(M)^T^T^G^T^G^C^C^T^G^C^mC(M)^T(M)^G(M)^T(M)^T(M)</t>
  </si>
  <si>
    <t>T(M)^mC(M)^T(M)^T(M)^G(M)^T^T^T^G^T^G^C^C^T^G^mC(M)^mC(M)^T(M)^G(M)^T(M)</t>
  </si>
  <si>
    <t>A(M)^G(M)^T(M)^mC(M)^T(M)^T^G^T^T^T^G^T^G^C^C^T(M)^G(M)^mC(M)^mC(M)^T(M)</t>
  </si>
  <si>
    <t>mC(M)^A(M)^G(M)^T(M)^mC(M)^T^T^G^T^T^T^G^T^G^C^mC(M)^T(M)^G(M)^mC(M)^mC(M)</t>
  </si>
  <si>
    <t>T(M)^mC(M)^A(M)^G(M)^T(M)^C^T^T^G^T^T^T^G^T^G^mC(M)^mC(M)^T(M)^G(M)^mC(M)</t>
  </si>
  <si>
    <t>A(M)^T(M)^mC(M)^A(M)^mC(M)^C^A^C^C^A^G^G^G^C^T^mC(M)^T(M)^mC(M)^A(M)^G(M)</t>
  </si>
  <si>
    <t>G(M)^A(M)^T(M)^mC(M)^A(M)^C^C^A^C^C^A^G^G^G^C^T(M)^mC(M)^T(M)^mC(M)^A(M)</t>
  </si>
  <si>
    <t>G(M)^G(M)^G(M)^A(M)^A(M)^A^A^T^T^G^A^T^C^T^C^mC(M)^T(M)^G(M)^G(M)^G(M)</t>
  </si>
  <si>
    <t>mC(M)^G(M)^G(M)^G(M)^A(M)^A^A^A^T^T^G^A^T^C^T^mC(M)^mC(M)^T(M)^G(M)^G(M)</t>
  </si>
  <si>
    <t>T(M)^mC(M)^G(M)^G(M)^G(M)^A^A^A^A^T^T^G^A^T^C^T(M)^mC(M)^mC(M)^T(M)^G(M)</t>
  </si>
  <si>
    <t>mC(M)^G(M)^T(M)^mC(M)^G(M)^G^G^A^A^A^A^T^T^G^A^T(M)^mC(M)^T(M)^mC(M)^mC(M)</t>
  </si>
  <si>
    <t>T(M)^mC(M)^G(M)^T(M)^mC(M)^G^G^G^A^A^A^A^T^T^G^A(M)^T(M)^mC(M)^T(M)^mC(M)</t>
  </si>
  <si>
    <t>A(M)^T(M)^mC(M)^G(M)^T(M)^C^G^G^G^A^A^A^A^T^T^G(M)^A(M)^T(M)^mC(M)^T(M)</t>
  </si>
  <si>
    <t>A(M)^G(M)^T(M)^G(M)^T(M)^T^G^G^A^G^C^C^A^G^G^A(M)^A(M)^G(M)^A(M)^T(M)</t>
  </si>
  <si>
    <t>mC(M)^A(M)^G(M)^T(M)^G(M)^T^T^G^G^A^G^C^C^A^G^G(M)^A(M)^A(M)^G(M)^A(M)</t>
  </si>
  <si>
    <t>A(M)^G(M)^mC(M)^A(M)^G(M)^T^G^T^T^G^G^A^G^C^C^A(M)^G(M)^G(M)^A(M)^A(M)</t>
  </si>
  <si>
    <t>G(M)^A(M)^G(M)^mC(M)^A(M)^G^C^A^G^T^G^T^T^G^G^A(M)^G(M)^mC(M)^mC(M)^A(M)</t>
  </si>
  <si>
    <t>mC(M)^T(M)^G(M)^mC(M)^A(M)^C^T^G^G^A^G^C^A^G^C^A(M)^G(M)^T(M)^G(M)^T(M)</t>
  </si>
  <si>
    <t>mC(M)^mC(M)^T(M)^G(M)^mC(M)^A^C^T^G^G^A^G^C^A^G^mC(M)^A(M)^G(M)^T(M)^G(M)</t>
  </si>
  <si>
    <t>T(M)^mC(M)^mC(M)^T(M)^G(M)^C^A^C^T^G^G^A^G^C^A^G(M)^mC(M)^A(M)^G(M)^T(M)</t>
  </si>
  <si>
    <t>mC(M)^T(M)^mC(M)^mC(M)^T(M)^G^C^A^C^T^G^G^A^G^C^A(M)^G(M)^mC(M)^A(M)^G(M)</t>
  </si>
  <si>
    <t>G(M)^T(M)^mC(M)^T(M)^mC(M)^C^T^G^C^A^C^T^G^G^A^G(M)^mC(M)^A(M)^G(M)^mC(M)</t>
  </si>
  <si>
    <t>A(M)^G(M)^T(M)^mC(M)^T(M)^C^C^T^G^C^A^C^T^G^G^A(M)^G(M)^mC(M)^A(M)^G(M)</t>
  </si>
  <si>
    <t>G(M)^T(M)^A(M)^A(M)^A(M)^G^T^C^T^C^C^T^G^C^A^mC(M)^T(M)^G(M)^G(M)^A(M)</t>
  </si>
  <si>
    <t>A(M)^T(M)^G(M)^T(M)^A(M)^A^A^G^T^C^T^C^C^T^G^mC(M)^A(M)^mC(M)^T(M)^G(M)</t>
  </si>
  <si>
    <t>mC(M)^A(M)^T(M)^G(M)^T(M)^A^A^A^G^T^C^T^C^C^T^G(M)^mC(M)^A(M)^mC(M)^T(M)</t>
  </si>
  <si>
    <t>A(M)^T(M)^mC(M)^mC(M)^A(M)^T^G^T^A^A^A^G^T^C^T^mC(M)^mC(M)^T(M)^G(M)^mC(M)</t>
  </si>
  <si>
    <t>mC(M)^A(M)^T(M)^mC(M)^mC(M)^A^T^G^T^A^A^A^G^T^C^T(M)^mC(M)^mC(M)^T(M)^G(M)</t>
  </si>
  <si>
    <t>G(M)^mC(M)^A(M)^T(M)^mC(M)^C^A^T^G^T^A^A^A^G^T^mC(M)^T(M)^mC(M)^mC(M)^T(M)</t>
  </si>
  <si>
    <t>T(M)^G(M)^G(M)^mC(M)^A(M)^T^C^C^A^T^G^T^A^A^A^G(M)^T(M)^mC(M)^T(M)^mC(M)</t>
  </si>
  <si>
    <t>T(M)^T(M)^G(M)^G(M)^mC(M)^A^T^C^C^A^T^G^T^A^A^A(M)^G(M)^T(M)^mC(M)^T(M)</t>
  </si>
  <si>
    <t>G(M)^T(M)^T(M)^G(M)^G(M)^C^A^T^C^C^A^T^G^T^A^A(M)^A(M)^G(M)^T(M)^mC(M)</t>
  </si>
  <si>
    <t>G(M)^G(M)^T(M)^T(M)^G(M)^G^C^A^T^C^C^A^T^G^T^A(M)^A(M)^A(M)^G(M)^T(M)</t>
  </si>
  <si>
    <t>mC(M)^mC(M)^G(M)^G(M)^T(M)^T^G^G^C^A^T^C^C^A^T^G(M)^T(M)^A(M)^A(M)^A(M)</t>
  </si>
  <si>
    <t>A(M)^mC(M)^mC(M)^G(M)^G(M)^T^T^G^G^C^A^T^C^C^A^T(M)^G(M)^T(M)^A(M)^A(M)</t>
  </si>
  <si>
    <t>G(M)^A(M)^mC(M)^mC(M)^G(M)^G^T^T^G^G^C^A^T^C^C^A(M)^T(M)^G(M)^T(M)^A(M)</t>
  </si>
  <si>
    <t>T(M)^G(M)^A(M)^mC(M)^mC(M)^G^G^T^T^G^G^C^A^T^C^mC(M)^A(M)^T(M)^G(M)^T(M)</t>
  </si>
  <si>
    <t>G(M)^G(M)^T(M)^G(M)^A(M)^C^C^G^G^T^T^G^G^C^A^T(M)^mC(M)^mC(M)^A(M)^T(M)</t>
  </si>
  <si>
    <t>T(M)^T(M)^T(M)^G(M)^mC(M)^C^A^T^C^C^T^C^C^T^G^G(M)^G(M)^T(M)^G(M)^A(M)</t>
  </si>
  <si>
    <t>T(M)^mC(M)^T(M)^T(M)^T(M)^G^C^C^A^T^C^C^T^C^C^T(M)^G(M)^G(M)^G(M)^T(M)</t>
  </si>
  <si>
    <t>mC(M)^T(M)^mC(M)^T(M)^T(M)^T^G^C^C^A^T^C^C^T^C^mC(M)^T(M)^G(M)^G(M)^G(M)</t>
  </si>
  <si>
    <t>mC(M)^T(M)^mC(M)^T(M)^mC(M)^T^T^T^G^C^C^A^T^C^C^T(M)^mC(M)^mC(M)^T(M)^G(M)</t>
  </si>
  <si>
    <t>A(M)^mC(M)^T(M)^mC(M)^T(M)^C^T^T^T^G^C^C^A^T^C^mC(M)^T(M)^mC(M)^mC(M)^T(M)</t>
  </si>
  <si>
    <t>G(M)^A(M)^mC(M)^T(M)^mC(M)^T^C^T^T^T^G^C^C^A^T^mC(M)^mC(M)^T(M)^mC(M)^mC(M)</t>
  </si>
  <si>
    <t>mC(M)^G(M)^A(M)^mC(M)^T(M)^C^T^C^T^T^T^G^C^C^A^T(M)^mC(M)^mC(M)^T(M)^mC(M)</t>
  </si>
  <si>
    <t>T(M)^G(M)^mC(M)^G(M)^A(M)^C^T^C^T^C^T^T^T^G^C^mC(M)^A(M)^T(M)^mC(M)^mC(M)</t>
  </si>
  <si>
    <t>A(M)^T(M)^G(M)^mC(M)^G(M)^A^C^T^C^T^C^T^T^T^G^mC(M)^mC(M)^A(M)^T(M)^mC(M)</t>
  </si>
  <si>
    <t>G(M)^A(M)^T(M)^G(M)^mC(M)^G^A^C^T^C^T^C^T^T^T^G(M)^mC(M)^mC(M)^A(M)^T(M)</t>
  </si>
  <si>
    <t>A(M)^G(M)^A(M)^T(M)^G(M)^C^G^A^C^T^C^T^C^T^T^T(M)^G(M)^mC(M)^mC(M)^A(M)</t>
  </si>
  <si>
    <t>T(M)^G(M)^A(M)^G(M)^A(M)^T^G^C^G^A^C^T^C^T^C^T(M)^T(M)^T(M)^G(M)^mC(M)</t>
  </si>
  <si>
    <t>mC(M)^T(M)^G(M)^A(M)^G(M)^A^T^G^C^G^A^C^T^C^T^mC(M)^T(M)^T(M)^T(M)^G(M)</t>
  </si>
  <si>
    <t>A(M)^mC(M)^T(M)^G(M)^A(M)^G^A^T^G^C^G^A^C^T^C^T(M)^mC(M)^T(M)^T(M)^T(M)</t>
  </si>
  <si>
    <t>mC(M)^A(M)^mC(M)^T(M)^G(M)^A^G^A^T^G^C^G^A^C^T^mC(M)^T(M)^mC(M)^T(M)^T(M)</t>
  </si>
  <si>
    <t>T(M)^G(M)^mC(M)^A(M)^mC(M)^T^G^A^G^A^T^G^C^G^A^mC(M)^T(M)^mC(M)^T(M)^mC(M)</t>
  </si>
  <si>
    <t>mC(M)^T(M)^G(M)^mC(M)^A(M)^C^T^G^A^G^A^T^G^C^G^A(M)^mC(M)^T(M)^mC(M)^T(M)</t>
  </si>
  <si>
    <t>mC(M)^mC(M)^T(M)^G(M)^mC(M)^A^C^T^G^A^G^A^T^G^C^G(M)^A(M)^mC(M)^T(M)^mC(M)</t>
  </si>
  <si>
    <t>T(M)^mC(M)^mC(M)^T(M)^G(M)^C^A^C^T^G^A^G^A^T^G^mC(M)^G(M)^A(M)^mC(M)^T(M)</t>
  </si>
  <si>
    <t>T(M)^mC(M)^T(M)^mC(M)^mC(M)^T^G^C^A^C^T^G^A^G^A^T(M)^G(M)^mC(M)^G(M)^A(M)</t>
  </si>
  <si>
    <t>mC(M)^T(M)^mC(M)^T(M)^mC(M)^C^T^G^C^A^C^T^G^A^G^A(M)^T(M)^G(M)^mC(M)^G(M)</t>
  </si>
  <si>
    <t>06-00-LE</t>
  </si>
  <si>
    <t>06-00-LF</t>
  </si>
  <si>
    <t>b2a2 BCR::ABL-SO</t>
    <phoneticPr fontId="1"/>
  </si>
  <si>
    <t>b2a2 BCR::ABL-ASO</t>
    <phoneticPr fontId="1"/>
  </si>
  <si>
    <t>b2a2 BCR::ABL-SO</t>
  </si>
  <si>
    <t>b2a2 BCR::ABL-ASO</t>
  </si>
  <si>
    <t>06-00-LG</t>
  </si>
  <si>
    <t>b3a2 BCR::ABL-SO</t>
  </si>
  <si>
    <t>06-00-LH</t>
  </si>
  <si>
    <t>b3a2 BCR::ABL-ASO</t>
  </si>
  <si>
    <t>b3a2 BCR::ABL-SO</t>
    <phoneticPr fontId="1"/>
  </si>
  <si>
    <t>b3a2 BCR::ABL-ASO</t>
    <phoneticPr fontId="1"/>
  </si>
  <si>
    <t>AAGCAGAGTTCAAAAGCCCT</t>
  </si>
  <si>
    <t>AGGGCTTTTGAACTCTGCTT</t>
  </si>
  <si>
    <t>A(O)^A(O)^G(O)^cagaguucaaaagc^C(O)^C(O)^U(O)</t>
    <phoneticPr fontId="1"/>
  </si>
  <si>
    <t>A(L)^G(L)^G(L)^G^C^T^T^T^T^G^A^A^C^T^C^T^G^mC(L)^T(L)^T(L)</t>
    <phoneticPr fontId="1"/>
  </si>
  <si>
    <t>CCATCAATAAGGAAGAAGCCC</t>
  </si>
  <si>
    <t>GGGCTTCTTCCTTATTGATGG</t>
  </si>
  <si>
    <t>G(L)^G(L)^G(L)^C^T^T^C^T^T^C^C^T^T^A^T^T^G^A^T(L)^G(L)^G(L)</t>
    <phoneticPr fontId="1"/>
  </si>
  <si>
    <t>C(O)^C(O)^A(O)^ucaauaaggaagaag^C(O)^C(O)^C(O)</t>
    <phoneticPr fontId="1"/>
  </si>
  <si>
    <t>PS300_ASO_01</t>
  </si>
  <si>
    <t>AAAACCACAGGCGAGTTCTAC</t>
  </si>
  <si>
    <t>PS300_SO_01</t>
  </si>
  <si>
    <t>GTAGAACTCGCCTGTGGTTTT</t>
  </si>
  <si>
    <t>06-00-LK</t>
  </si>
  <si>
    <t>PS300_SO_02</t>
  </si>
  <si>
    <t>06-00-LL</t>
  </si>
  <si>
    <t>PS300_SO_03</t>
  </si>
  <si>
    <t>GTAGAACTCGCCTGTG</t>
  </si>
  <si>
    <t>06-00-LM</t>
  </si>
  <si>
    <t>PS300_SO_04</t>
  </si>
  <si>
    <t>GTAGAACTCGC</t>
  </si>
  <si>
    <t>06-00-LN</t>
  </si>
  <si>
    <t>PS300_SO_05</t>
  </si>
  <si>
    <t>ACTCGCCTGTGGTTTT</t>
  </si>
  <si>
    <t>06-00-LO</t>
  </si>
  <si>
    <t>PS300_SO_06</t>
  </si>
  <si>
    <t>CCTGTGGTTTT</t>
  </si>
  <si>
    <t>06-00-LP</t>
  </si>
  <si>
    <t>PS300_SO_07</t>
  </si>
  <si>
    <t>GTAGAACTCGCCTGTGGTTTTCTAGGTCATG</t>
  </si>
  <si>
    <t>06-00-LQ</t>
  </si>
  <si>
    <t>PS300_SO_08</t>
  </si>
  <si>
    <t>CTAGGTCATGGTAGAACTCGCCTGTGGTTTT</t>
  </si>
  <si>
    <t>A(L)^A(L)^A(L)^A(O)^C(O)^C(O)^A(O)^C(O)^A(O)^G(O)^G(O)^C(O)^G(O)^A(O)^G(O)^U(O)^U(O)^C(O)^T(L)^A(L)^mC(L)</t>
    <phoneticPr fontId="6"/>
  </si>
  <si>
    <t>A(M)^A(M)^A(M)^A(O)^C(O)^C(O)^A(O)^C(O)^A(O)^G(O)^G(O)^C(O)^G(O)^A(O)^G(O)^U(O)^U(O)^C(O)^T(M)^A(M)^mC(M)</t>
    <phoneticPr fontId="1"/>
  </si>
  <si>
    <t>G(O)^U(O)^A(O)^gaacucgccuguggu^U(O)^U(O)^U(O)</t>
    <phoneticPr fontId="1"/>
  </si>
  <si>
    <t>g^u^a^gaacucgccuguggu^u^u^u</t>
    <phoneticPr fontId="1"/>
  </si>
  <si>
    <t>G(O)^U(O)^A(O)^iaacuciccuiuiiu^U(O)^U(O)^U(O)</t>
    <phoneticPr fontId="1"/>
  </si>
  <si>
    <t>G(O)^U(O)^A(O)^IaacucIccuIuIIu^U(O)^U(O)^U(O)</t>
  </si>
  <si>
    <t>G(O)^U(O)^A(O)^GAACUCGCCUGUGGU^U(O)^U(O)^U(O)</t>
  </si>
  <si>
    <t>G^U^A^GAACUCGCCUGUGGU^U^U^U</t>
  </si>
  <si>
    <t>G(O)^U(O)^A(O)^IAACUCICCUIUIIU^U(O)^U(O)^U(O)</t>
  </si>
  <si>
    <t>G(O)^U(O)^A(O)^gaacu^C(O)^G(O)^C(O)</t>
  </si>
  <si>
    <t>G(O)^U(O)^A(O)^GAACU^C(O)^G(O)^C(O)</t>
  </si>
  <si>
    <t>A(O)^C(O)^U(O)^cgccuguggu^U(O)^U(O)^U(O)</t>
  </si>
  <si>
    <t>C(O)^C(O)^U(O)^guggu^U(O)^U(O)^U(O)</t>
  </si>
  <si>
    <t>C(O)^C(O)^U(O)^GUGGU^U(O)^U(O)^U(O)</t>
  </si>
  <si>
    <t>G(L)^T(L)^A(L)^G(O)^A(O)^A(O)^C(O)^U(O)^C(O)^G(O)^C(O)^C(O)^U(O)^G(O)^U(O)^G(O)^G(O)^U(O)^T(L)^T(L)^T(L)</t>
    <phoneticPr fontId="6"/>
  </si>
  <si>
    <t>GTAIAACTCICCTITIITTTT</t>
  </si>
  <si>
    <t>PS300_ASO_wMOE/g2OMe</t>
    <phoneticPr fontId="1"/>
  </si>
  <si>
    <t>PS300_ASO_all2OMe</t>
    <phoneticPr fontId="1"/>
  </si>
  <si>
    <t>PS300_SO_allRNA</t>
    <phoneticPr fontId="1"/>
  </si>
  <si>
    <t>PS300_SO_w2OMe/gRNA-I</t>
    <phoneticPr fontId="1"/>
  </si>
  <si>
    <t>PS300_SO_w2OMe/gRNA-dI</t>
    <phoneticPr fontId="1"/>
  </si>
  <si>
    <t>PS300_SO_allDNA</t>
    <phoneticPr fontId="1"/>
  </si>
  <si>
    <t>PS300_SO_3'(-5)</t>
    <phoneticPr fontId="1"/>
  </si>
  <si>
    <t>PS300_SO_3'(-10)</t>
    <phoneticPr fontId="1"/>
  </si>
  <si>
    <t>PS300_SO_5'(-5)</t>
    <phoneticPr fontId="1"/>
  </si>
  <si>
    <t>PS300_SO_5'(-10)</t>
    <phoneticPr fontId="1"/>
  </si>
  <si>
    <t>PS300_SO_3'(+10)</t>
    <phoneticPr fontId="1"/>
  </si>
  <si>
    <t>PS300_SO_5'(+10)</t>
    <phoneticPr fontId="1"/>
  </si>
  <si>
    <t>PS300_SO_LNA_NegaCont</t>
    <phoneticPr fontId="1"/>
  </si>
  <si>
    <t>06-00-LR</t>
  </si>
  <si>
    <t>dT 20mer</t>
  </si>
  <si>
    <t>06-00-LS</t>
  </si>
  <si>
    <t>rU 20mer</t>
  </si>
  <si>
    <t>UUUUUUUUUUUUUUUUUUUU</t>
  </si>
  <si>
    <t>06-00-LR</t>
    <phoneticPr fontId="1"/>
  </si>
  <si>
    <t xml:space="preserve">dT 20mer </t>
    <phoneticPr fontId="1"/>
  </si>
  <si>
    <t>TTTTTTTTTTTTTTTTTTTT</t>
    <phoneticPr fontId="1"/>
  </si>
  <si>
    <t>rU 20mer</t>
    <phoneticPr fontId="1"/>
  </si>
  <si>
    <t>uuuuuuuuuuuuuuuuuuuu</t>
    <phoneticPr fontId="1"/>
  </si>
  <si>
    <t>U(O) 5mer rU10mer U(O) 5mer</t>
    <phoneticPr fontId="1"/>
  </si>
  <si>
    <t>U(O) 5mer rU10mer U(O) 3mer 2mer(PS)</t>
    <phoneticPr fontId="1"/>
  </si>
  <si>
    <t>U(O) 5mer(PS) rU10mer U(O) 5mer(PS)</t>
    <phoneticPr fontId="1"/>
  </si>
  <si>
    <t>06-00-1U</t>
    <phoneticPr fontId="1"/>
  </si>
  <si>
    <t>Cd40-hm-ASO (5',3'-2merPS)</t>
    <phoneticPr fontId="1"/>
  </si>
  <si>
    <t>Cd40-hm-ASO (5'-1merPS, 3'-2merPS)</t>
    <phoneticPr fontId="1"/>
  </si>
  <si>
    <t>06-00-1V</t>
    <phoneticPr fontId="1"/>
  </si>
  <si>
    <t>Cd40-hm-SO (5'-2mer PS)</t>
    <phoneticPr fontId="1"/>
  </si>
  <si>
    <t>Cd40-hm-SO (3'-2mer PS)</t>
    <phoneticPr fontId="1"/>
  </si>
  <si>
    <t>T(M)^T(M)^G(M)G(M)A(M)G^A^A^G^A^A^G^C^C^G^A(M)mC(M)T(M)^G(M)^G(M)</t>
    <phoneticPr fontId="1"/>
  </si>
  <si>
    <t>T(M)^T(M)G(M)G(M)A(M)G^A^A^G^A^A^G^C^C^G^A(M)mC(M)T(M)^G(M)^G(M)</t>
    <phoneticPr fontId="1"/>
  </si>
  <si>
    <t>C(O)^C(O)^A(O)G(O)U(O)cggcuucuucU(O)C(O)C(O)A(O)A(O)</t>
    <phoneticPr fontId="1"/>
  </si>
  <si>
    <t>C(O)C(O)A(O)G(O)U(O)cggcuucuucU(O)C(O)C(O)^A(O)^A(O)</t>
    <phoneticPr fontId="1"/>
  </si>
  <si>
    <t>G(O)^U(O)^A(O)^gaacucgccu^G(O)^U(O)^G(O)</t>
    <phoneticPr fontId="1"/>
  </si>
  <si>
    <t>U(O)U(O)U(O)U(O)U(O)uuuuuuuuuuU(O)U(O)U(O)U(O)U(O)</t>
    <phoneticPr fontId="1"/>
  </si>
  <si>
    <t>U(O)U(O)U(O)U(O)U(O)uuuuuuuuuuU(O)U(O)U(O)^U(O)^U(O)</t>
    <phoneticPr fontId="1"/>
  </si>
  <si>
    <t>TTTTTTTTTTTTTTTTTTTT</t>
  </si>
  <si>
    <t>06-00-LT</t>
  </si>
  <si>
    <t>TCCAGCATTGGTATTCA</t>
  </si>
  <si>
    <t>17mer ApoB</t>
  </si>
  <si>
    <t>A(O)^A(O)^A(O)^A(O)^C(O)^C(O)^A(O)^C(O)^A(O)^G(O)^G(O)^C(O)^G(O)^A(O)^G(O)^U(O)^U(O)^C(O)^U(O)^A(O)^C(O)</t>
    <phoneticPr fontId="6"/>
  </si>
  <si>
    <t>mC(L)^T(L)^A(L)^G(O)^G(O)^U(O)^C(O)^A(L)^T(L)^G(L)G(O)U(O)A(O)GAACUCGCCUGUGGU^U(O)^U(O)^U(O)</t>
    <phoneticPr fontId="1"/>
  </si>
  <si>
    <t>mC(L)^T(L)^A(L)^G(O)^G(O)^U(O)^C(O)^A(L)^T(L)^G(L)G(O)U(O)A(O)gaacucgccuguggu^U(O)^U(O)^U(O)</t>
    <phoneticPr fontId="1"/>
  </si>
  <si>
    <t>G(O)^U(O)^A(O)^GAACUCGCCUGUGGUU(O)U(O)U(O)mC(L)^T(L)^A(L)^G(O)^G(O)^U(O)^C(O)^A(L)^T(L)^G(L)</t>
    <phoneticPr fontId="1"/>
  </si>
  <si>
    <t>G(O)^U(O)^A(O)^gaacucgccugugguU(O)U(O)U(O)mC(L)^T(L)^A(L)^G(O)^G(O)^U(O)^C(O)^A(L)^T(L)^G(L)</t>
    <phoneticPr fontId="1"/>
  </si>
  <si>
    <t>U(O)^U(O)^U(O)^U(O)^U(O)^uuuuuuuuuu^U(O)^U(O)^U(O)^U(O)^U(O)</t>
    <phoneticPr fontId="1"/>
  </si>
  <si>
    <t>malat1-hm-02</t>
  </si>
  <si>
    <t>G(L)^mC(L)^A(L)^T^T^mC^T^A^A^T^A^G^mC^A(L)^G(L)^mC(L)</t>
    <phoneticPr fontId="1"/>
  </si>
  <si>
    <t>06-00-LU</t>
    <phoneticPr fontId="1"/>
  </si>
  <si>
    <t>malat1-hm-ASO-(mC)</t>
    <phoneticPr fontId="1"/>
  </si>
  <si>
    <t>PS300_SO_allDNA_T</t>
  </si>
  <si>
    <t>PS300_SO_allDNA_T+mC</t>
  </si>
  <si>
    <t>G^T^A^GAACTCGCCTGTGGT^T^T^T</t>
    <phoneticPr fontId="1"/>
  </si>
  <si>
    <t>G^T^A^GAAmCTmCGmCmCTGTGGT^T^T^T</t>
    <phoneticPr fontId="1"/>
  </si>
  <si>
    <t>TCCAG(L)^mC(L)^A^T^T^G^G^T^A^T^T(L)^mC(L)^A(L)</t>
    <phoneticPr fontId="1"/>
  </si>
  <si>
    <t>T^C^C^A^G(L)^mC(L)^A^T^T^G^G^T^A^T^T(L)^mC(L)^A(L)</t>
    <phoneticPr fontId="1"/>
  </si>
  <si>
    <t>Casimersen_ASO_ENA-Ome-gap</t>
    <phoneticPr fontId="1"/>
  </si>
  <si>
    <t>Casimersen_ASO_ENA-Ome-ren</t>
    <phoneticPr fontId="1"/>
  </si>
  <si>
    <t>Exon23_ASO_ENA-Ome-gap</t>
    <phoneticPr fontId="1"/>
  </si>
  <si>
    <t>Exon23_ASO_ENA-Ome-ren</t>
    <phoneticPr fontId="1"/>
  </si>
  <si>
    <t>CAATGCCATCCTGGAGTTCCTG</t>
  </si>
  <si>
    <t>06-00-LY</t>
  </si>
  <si>
    <t>Casimersen_ASO</t>
  </si>
  <si>
    <t>06-00-LZ</t>
  </si>
  <si>
    <t>Exon23_ASO</t>
  </si>
  <si>
    <t>GGCCAAACCTCGGCTTACCTGAAAT</t>
  </si>
  <si>
    <t>06-00-LY</t>
    <phoneticPr fontId="1"/>
  </si>
  <si>
    <t>06-00-LZ</t>
    <phoneticPr fontId="1"/>
  </si>
  <si>
    <t>06-00-M0</t>
  </si>
  <si>
    <t>Cd40-SO 821 MOE</t>
  </si>
  <si>
    <t>AGGATGGCAAAGAGAGTCGC</t>
  </si>
  <si>
    <t>06-00-M1</t>
  </si>
  <si>
    <t>Cd40-SO 829 MOE</t>
  </si>
  <si>
    <t>AAAGAGAGTCGCATCTCAGT</t>
  </si>
  <si>
    <t>ApoB-ASO (17mer, PS)</t>
    <phoneticPr fontId="1"/>
  </si>
  <si>
    <t>ApoB-ASO (17mer, 5'-4merPO)</t>
    <phoneticPr fontId="1"/>
  </si>
  <si>
    <t>mC(E)^A(E)^A(E)^T(O)^G(O)^C(O)^C(O)^A(O)^T(O)^C(O)^C(O)^T(O)^G(O)^G(O)^A(O)^G(O)^T(O)^T(O)^C(O)^mC(E)^T(E)^G(E)</t>
  </si>
  <si>
    <t>mC(E)^A(E)^A(O)^T(O)^G(E)^mC(E)^C(O)^A(O)^T(E)^C(E)^C(O)^T(O)^G(E)^G(E)^A(O)^G(O)^T(E)^T(E)^C(O)^C(O)^T(E)^G(E)</t>
  </si>
  <si>
    <t>G(E)^G(E)^C(O)^C(O)^A(E)^A(E)^A(O)^C(O)^mC(E)^T(E)^C(O)^G(O)^G(E)^C(O)^T(O)^T(E)^A(E)^C(O)^C(O)^T(E)^G(E)^A(O)^A(O)^A(E)^T(E)</t>
    <phoneticPr fontId="1"/>
  </si>
  <si>
    <t>G(E)^G(E)^mC(E)^C(O)^A(O)^A(O)^A(O)^C(O)^C(O)^T(O)^C(O)^G(O)^G(O)^C(O)^T(O)^T(O)^A(O)^C(O)^C(O)^T(O)^G(O)^A(O)^A(E)^A(E)^T(E)</t>
    <phoneticPr fontId="1"/>
  </si>
  <si>
    <t>A(O)^G(O)^G(O)^A(O)^U(O)^ggcaaagaga^G(O)^U(O)^C(O)^G(O)^C(O)</t>
  </si>
  <si>
    <t>A(O)^A(O)^A(O)^G(O)^A(O)^gagucgcauc^U(O)^C(O)^A(O)^G(O)^U(O)</t>
  </si>
  <si>
    <t>06-00-M0</t>
    <phoneticPr fontId="1"/>
  </si>
  <si>
    <t>06-00-M1</t>
    <phoneticPr fontId="1"/>
  </si>
  <si>
    <t>Malat1-hm-ASO(395251)</t>
    <phoneticPr fontId="1"/>
  </si>
  <si>
    <t>Malat1-hm-SO(395251)</t>
    <phoneticPr fontId="1"/>
  </si>
  <si>
    <t>G(L)^mC(L)^A(L)^TTC^TAA^TAG^C^A(L)^G(L)^mC(L)</t>
  </si>
  <si>
    <t>malat1-hm-ASO_Goos</t>
  </si>
  <si>
    <t>malat1-hm-ASO_Wsoo</t>
    <phoneticPr fontId="1"/>
  </si>
  <si>
    <t>G(L)^mC(L)A(L)T^T^C^T^A^A^T^A^G^CA(L)G(L)^mC(L)</t>
  </si>
  <si>
    <t>malat1-hm-ASO_Wsos</t>
    <phoneticPr fontId="1"/>
  </si>
  <si>
    <t>G(L)^mC(L)A(L)^T^T^C^T^A^A^T^A^G^C^A(L)G(L)^mC(L)</t>
    <phoneticPr fontId="1"/>
  </si>
  <si>
    <t>malat1-hm-ASO_Wsso</t>
    <phoneticPr fontId="1"/>
  </si>
  <si>
    <t>G(L)^mC(L)^A(L)T^T^C^T^A^A^T^A^G^CA(L)^G(L)^mC(L)</t>
    <phoneticPr fontId="1"/>
  </si>
  <si>
    <t>malat1-hm-ASO_WsosGoos</t>
    <phoneticPr fontId="1"/>
  </si>
  <si>
    <t>G(L)^mC(L)A(L)^TTC^TAA^TAG^C^A(L)G(L)^mC(L)</t>
    <phoneticPr fontId="1"/>
  </si>
  <si>
    <t>malat1-hm-ASO_Wooo</t>
    <phoneticPr fontId="1"/>
  </si>
  <si>
    <t>G(L)mC(L)A(L)T^T^C^T^A^A^T^A^G^CA(L)G(L)mC(L)</t>
    <phoneticPr fontId="1"/>
  </si>
  <si>
    <t>malat1-hm-ASO_FullPO</t>
    <phoneticPr fontId="1"/>
  </si>
  <si>
    <t>malat1-hm-SO_Wsso</t>
    <phoneticPr fontId="1"/>
  </si>
  <si>
    <t>G(O)^C(O)^U(O)gcuauuagaaU(O)^G(O)^C(O)</t>
    <phoneticPr fontId="1"/>
  </si>
  <si>
    <t>malat1-hm-SO_Wsoo</t>
    <phoneticPr fontId="1"/>
  </si>
  <si>
    <t>G(O)^C(O)U(O)gcuauuagaaU(O)G(O)^C(O)</t>
    <phoneticPr fontId="1"/>
  </si>
  <si>
    <t>malat1-hm-SO_FullPO</t>
    <phoneticPr fontId="1"/>
  </si>
  <si>
    <t>G(O)C(O)U(O)gcuauuagaaU(O)G(O)C(O)</t>
    <phoneticPr fontId="1"/>
  </si>
  <si>
    <t>malat1-hm-SO_GDNA</t>
    <phoneticPr fontId="1"/>
  </si>
  <si>
    <t>G(O)^C(O)^U(O)^GCTATTAGAA^U(O)^G(O)^C(O)</t>
    <phoneticPr fontId="1"/>
  </si>
  <si>
    <t>G(L)mC(L)A(L)TTCTAATAGCA(L)G(L)mC(L)</t>
    <phoneticPr fontId="1"/>
  </si>
  <si>
    <t>06-00-M2</t>
  </si>
  <si>
    <t>Cd40-SO 823 MOE</t>
  </si>
  <si>
    <t>GATGGCAAAGAGAGTCGCAT</t>
  </si>
  <si>
    <t>06-00-M3</t>
  </si>
  <si>
    <t>Cd40-SO 826 MOE</t>
  </si>
  <si>
    <t>GGCAAAGAGAGTCGCATCTC</t>
  </si>
  <si>
    <t>06-00-M4</t>
  </si>
  <si>
    <t>Cd40-SO 827 MOE</t>
  </si>
  <si>
    <t>GCAAAGAGAGTCGCATCTCA</t>
  </si>
  <si>
    <t>06-00-M5</t>
  </si>
  <si>
    <t>Cd40-SO 831 MOE</t>
  </si>
  <si>
    <t>AGAGAGTCGCATCTCAGTGC</t>
  </si>
  <si>
    <t>06-00-M6</t>
  </si>
  <si>
    <t>Cd40-SO 832 MOE</t>
  </si>
  <si>
    <t>GAGAGTCGCATCTCAGTGCA</t>
  </si>
  <si>
    <t>06-00-M7</t>
  </si>
  <si>
    <t>Cd40-SO 833 MOE</t>
  </si>
  <si>
    <t>AGAGTCGCATCTCAGTGCAG</t>
  </si>
  <si>
    <t>G(O)^A(O)^U(O)^G(O)^G(O)^caaagagagu^C(O)^G(O)^C(O)^A(O)^U(O)</t>
  </si>
  <si>
    <t>G(O)^G(O)^C(O)^A(O)^A(O)^agagagucgc^A(O)^U(O)^C(O)^U(O)^C(O)</t>
  </si>
  <si>
    <t>G(O)^C(O)^A(O)^A(O)^A(O)^gagagucgca^U(O)^C(O)^U(O)^C(O)^A(O)</t>
  </si>
  <si>
    <t>A(O)^G(O)^A(O)^G(O)^A(O)^gucgcaucuc^A(O)^G(O)^U(O)^G(O)^C(O)</t>
  </si>
  <si>
    <t>G(O)^A(O)^G(O)^A(O)^G(O)^ucgcaucuca^G(O)^U(O)^G(O)^C(O)^A(O)</t>
  </si>
  <si>
    <t>A(O)^G(O)^A(O)^G(O)^U(O)^cgcaucucag^U(O)^G(O)^C(O)^A(O)^G(O)</t>
  </si>
  <si>
    <t>PS327_ASO_wMOE/g2OMe</t>
    <phoneticPr fontId="1"/>
  </si>
  <si>
    <t>G(M)^mC(M)^A(M)^C(O)^A(O)^C(O)^U(O)^U(O)^C(O)^C(O)^A(O)^A(O)^U(O)^A(O)^C(O)^U(O)^U(O)^A(M)^mC(M)^mC(M)</t>
    <phoneticPr fontId="1"/>
  </si>
  <si>
    <t>PS327_SO_w2OMe/gRNA-I</t>
    <phoneticPr fontId="1"/>
  </si>
  <si>
    <t>06-00-I2</t>
    <phoneticPr fontId="1"/>
  </si>
  <si>
    <t>G(O)^G(O)^U(O)^aaiuauuiiaaiui^U(O)^G(O)^C(O)</t>
  </si>
  <si>
    <t>06-00-M8</t>
  </si>
  <si>
    <t>GGTAAGTATT</t>
  </si>
  <si>
    <t>06-00-M9</t>
  </si>
  <si>
    <t>PS327_SO_3'(+10)</t>
  </si>
  <si>
    <t>GGTAAGTATTGGAAGTGTGCCTAGGTCATG</t>
  </si>
  <si>
    <t>PS327_SO_allDNA</t>
    <phoneticPr fontId="1"/>
  </si>
  <si>
    <t>PS327_SO_w2OMe/gDNA-I</t>
    <phoneticPr fontId="1"/>
  </si>
  <si>
    <t>PS327_SO_3'(-10)/gDNA</t>
    <phoneticPr fontId="1"/>
  </si>
  <si>
    <t>PS327_SO_3'(+10)/gDNA</t>
    <phoneticPr fontId="1"/>
  </si>
  <si>
    <t>G^G^T^AAGTATTGGAAGTG^T^G^C</t>
    <phoneticPr fontId="1"/>
  </si>
  <si>
    <t>G(O)^G(O)^U(O)^AAITATTIIAAITI^U(O)^G(O)^C(O)</t>
    <phoneticPr fontId="1"/>
  </si>
  <si>
    <t>G(O)^G(O)^U(O)^AAGTATTGGAAGTGU(O)G(O)C(O)mC(L)^T(L)^A(L)^G(O)^G(O)^U(O)^C(O)^A(L)^T(L)^G(L)</t>
    <phoneticPr fontId="1"/>
  </si>
  <si>
    <t>G(O)^G(O)^U(O)^AAGT^A(O)^U(O)^U(O)</t>
  </si>
  <si>
    <t>PS327_SO_3'(-10)</t>
  </si>
  <si>
    <t>C^T^G^A^G^TCATAACCAG^C^C^T^G^G</t>
    <phoneticPr fontId="1"/>
  </si>
  <si>
    <t>06-00-MA</t>
  </si>
  <si>
    <t>ACCAGCCTGG</t>
  </si>
  <si>
    <t>accagccugg</t>
    <phoneticPr fontId="1"/>
  </si>
  <si>
    <t>06-00-MB</t>
  </si>
  <si>
    <t>CTAGGTCATGCTGAGTCATAACCAGCCTGG</t>
  </si>
  <si>
    <t>mC(L)^T(L)^A(L)^G(O)^G(O)^U(O)^C(O)^A(L)^T(L)^G(L)C(O)U(O)G(O)A(O)G(O)TCATAACCAG^C(O)^C(O)^U(O)^G(O)^G(O)</t>
    <phoneticPr fontId="1"/>
  </si>
  <si>
    <t>PS300_ASO_allMOE</t>
  </si>
  <si>
    <t>A(M)^A(M)^A(M)^A(M)^mC(M)^mC(M)^A(M)^mC(M)^A(M)^G(M)^G(M)^mC(M)^G(M)^A(M)^G(M)^T(M)^T(M)^mC(M)^T(M)^A(M)^mC(M)</t>
    <phoneticPr fontId="1"/>
  </si>
  <si>
    <t>G(M)^mC(M)^A(M)^mC(M)^A(M)^mC(M)^T(M)^T(M)^mC(M)^mC(M)^A(M)^A(M)^T(M)^A(M)^mC(M)^T(M)^T(M)^A(M)^mC(M)^mC(M)</t>
    <phoneticPr fontId="1"/>
  </si>
  <si>
    <t>PS327_ASO_allMOE</t>
    <phoneticPr fontId="1"/>
  </si>
  <si>
    <t>Malat1-hmSO(395251)</t>
  </si>
  <si>
    <t>Malat1_hmSO_5'(-10)(395251)</t>
  </si>
  <si>
    <t>Malat1_hmSO_5'(+10)(395251)</t>
  </si>
  <si>
    <t>06-00-HZ</t>
    <phoneticPr fontId="1"/>
  </si>
  <si>
    <t>06-00-1M</t>
    <phoneticPr fontId="1"/>
  </si>
  <si>
    <t>Casimersen_ASO_ENA-Ome-gap(U)</t>
    <phoneticPr fontId="1"/>
  </si>
  <si>
    <t>Casimersen_ASO_ENA-Ome-ren(U)</t>
    <phoneticPr fontId="1"/>
  </si>
  <si>
    <t>Exon23_ASO_ENA-Ome-gap(U)</t>
    <phoneticPr fontId="1"/>
  </si>
  <si>
    <t>Exon23_ASO_ENA-Ome-ren(U)</t>
    <phoneticPr fontId="1"/>
  </si>
  <si>
    <t>mC(E)^A(E)^A(E)^U(O)^G(O)^C(O)^C(O)^A(O)^U(O)^C(O)^C(O)^U(O)^G(O)^G(O)^A(O)^G(O)^U(O)^U(O)^C(O)^mC(E)^U(E)^G(E)</t>
    <phoneticPr fontId="1"/>
  </si>
  <si>
    <t>mC(E)^A(E)^A(O)^U(O)^G(E)^mC(E)^C(O)^A(O)^U(E)^C(E)^C(O)^U(O)^G(E)^G(E)^A(O)^G(O)^U(E)^U(E)^C(O)^C(O)^U(E)^G(E)</t>
    <phoneticPr fontId="1"/>
  </si>
  <si>
    <t>G(E)^G(E)^mC(E)^C(O)^A(O)^A(O)^A(O)^C(O)^C(O)^U(O)^C(O)^G(O)^G(O)^C(O)^U(O)^U(O)^A(O)^C(O)^C(O)^U(O)^G(O)^A(O)^A(E)^A(E)^U(E)</t>
    <phoneticPr fontId="1"/>
  </si>
  <si>
    <t>G(E)^G(E)^C(O)^C(O)^A(E)^A(E)^A(O)^C(O)^mC(E)^U(E)^C(O)^G(O)^G(E)^C(O)^U(O)^U(E)^A(E)^C(O)^C(O)^U(E)^G(E)^A(O)^A(O)^A(E)^U(E)</t>
    <phoneticPr fontId="1"/>
  </si>
  <si>
    <t>07-00-JM 重複のため削除</t>
    <rPh sb="9" eb="11">
      <t>チョウフク</t>
    </rPh>
    <rPh sb="14" eb="16">
      <t>サクジョ</t>
    </rPh>
    <phoneticPr fontId="1"/>
  </si>
  <si>
    <t>07-00-JN 重複のため削除</t>
    <phoneticPr fontId="1"/>
  </si>
  <si>
    <t>&gt;07-00-JM</t>
    <phoneticPr fontId="1"/>
  </si>
  <si>
    <t>&gt;07-00-JN</t>
    <phoneticPr fontId="1"/>
  </si>
  <si>
    <t>PS327_SO_w2OMe/gDNA</t>
    <phoneticPr fontId="1"/>
  </si>
  <si>
    <t>G(O)^G(O)^U(O)^AAGTATTGGAAGTG^U(O)^G(O)^C(O)</t>
  </si>
  <si>
    <t>PS300_SO_allDNA(mC)</t>
    <phoneticPr fontId="1"/>
  </si>
  <si>
    <t>PS300_SO_allDNA(dU)</t>
    <phoneticPr fontId="1"/>
  </si>
  <si>
    <t>PS300_SO_w2OMe/gDNA(dU)</t>
    <phoneticPr fontId="1"/>
  </si>
  <si>
    <t>PS300_SO_3'(-10)/gDNA(dU)</t>
    <phoneticPr fontId="1"/>
  </si>
  <si>
    <t>PS300_SO_5'(-10)/gDNA(dU)</t>
    <phoneticPr fontId="1"/>
  </si>
  <si>
    <t>PS300_SO_3'(+10)/gDNA(dU)</t>
    <phoneticPr fontId="1"/>
  </si>
  <si>
    <t>PS300_SO_5'(+10)/gDNA(dU)</t>
    <phoneticPr fontId="1"/>
  </si>
  <si>
    <t>PS300_SO_w2OMe/gDNA(dU)-I</t>
    <phoneticPr fontId="1"/>
  </si>
  <si>
    <t>PS300_SO_w2OMe/gDNA</t>
    <phoneticPr fontId="1"/>
  </si>
  <si>
    <t>06-00-I0</t>
    <phoneticPr fontId="1"/>
  </si>
  <si>
    <t>G(O)^U(O)^A(O)^GAACTCGCCTGTGGT^U(O)^U(O)^U(O)</t>
  </si>
  <si>
    <t>487b_SO</t>
  </si>
  <si>
    <t>ATCGTACAGGGTCAT</t>
  </si>
  <si>
    <t>06-00-MD</t>
  </si>
  <si>
    <t>ATGACCCTGTACGAT</t>
  </si>
  <si>
    <t>06-00-ME</t>
  </si>
  <si>
    <t>CGGATCCGTCTGAGC</t>
  </si>
  <si>
    <t>06-00-MF</t>
  </si>
  <si>
    <t>127_ASO</t>
  </si>
  <si>
    <t>GCTCAGACGGATCCG</t>
  </si>
  <si>
    <t>06-00-MC</t>
    <phoneticPr fontId="1"/>
  </si>
  <si>
    <t>A(O)^U(O)^C(O)^guacagggu^C(O)^A(O)^U(O)</t>
    <phoneticPr fontId="1"/>
  </si>
  <si>
    <t>A(L)^T^G(L)^A^C^mC(L)^mC(L)^T^G^T(L)^A^mC(L)^G^A(L)^T(L)</t>
    <phoneticPr fontId="1"/>
  </si>
  <si>
    <t>C(O)^G(O)^G(O)^auccgucug^A(O)^G(O)^C(O)</t>
    <phoneticPr fontId="1"/>
  </si>
  <si>
    <t>G(L)^C^T(L)^C^A^G(L)^A(L)^C^G^G(L)^A^T(L)^C^mC(L)^G(L)</t>
    <phoneticPr fontId="1"/>
  </si>
  <si>
    <t>487b_ASO</t>
    <phoneticPr fontId="1"/>
  </si>
  <si>
    <t>127_SO</t>
    <phoneticPr fontId="1"/>
  </si>
  <si>
    <t>127_ASO</t>
    <phoneticPr fontId="1"/>
  </si>
  <si>
    <t>06-00-MC</t>
  </si>
  <si>
    <t>487b_ASO</t>
  </si>
  <si>
    <t>127_SO</t>
  </si>
  <si>
    <t>06-00-MG</t>
  </si>
  <si>
    <t>Casimersen_SO</t>
  </si>
  <si>
    <t>CAGGAACTCCAGGATGGCATTG</t>
  </si>
  <si>
    <t>06-00-MG</t>
    <phoneticPr fontId="1"/>
  </si>
  <si>
    <t>Casimersen_SO</t>
    <phoneticPr fontId="1"/>
  </si>
  <si>
    <t>C(O)^A(O)^G(O)^gaactccaggatggca^T(O)^T(O)^G(O)</t>
  </si>
  <si>
    <t>GCACACTTCCAATACTTACC</t>
  </si>
  <si>
    <t>GGTAAGTATTGGAAGTGTGC</t>
  </si>
  <si>
    <t>削除</t>
  </si>
  <si>
    <t>Malat1-hmSO(395251)_allDNA</t>
    <phoneticPr fontId="1"/>
  </si>
  <si>
    <t>Malat1-hmSO(395251)_5'(-10)/allRNA/PO</t>
    <phoneticPr fontId="1"/>
  </si>
  <si>
    <t>Malat1-hmSO(395251)_5'(+10)/gDNA</t>
    <phoneticPr fontId="1"/>
  </si>
  <si>
    <t>06-00-MH</t>
  </si>
  <si>
    <t>Cd40-SO 467 MOE</t>
  </si>
  <si>
    <t>GCCCAGTCGGCTTCTTCTCC</t>
  </si>
  <si>
    <t>Cd40-SO 467 MOE</t>
    <phoneticPr fontId="1"/>
  </si>
  <si>
    <t>G(O)^C(O)^C(O)^C(O)^A(O)^gucggcuucu^U(O)^C(O)^U(O)^C(O)^C(O)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</si>
</sst>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/mm/dd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1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9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4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>
      <alignment vertical="center"/>
    </xf>
    <xf numFmtId="14" fontId="2" fillId="2" borderId="2" xfId="0" applyNumberFormat="1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3" xfId="0" applyFont="1" applyBorder="1">
      <alignment vertical="center"/>
    </xf>
    <xf numFmtId="0" fontId="4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0" borderId="0" xfId="0" applyAlignment="1"/>
    <xf numFmtId="0" fontId="5" fillId="0" borderId="4" xfId="0" applyFont="1" applyBorder="1" applyAlignment="1"/>
    <xf numFmtId="0" fontId="5" fillId="0" borderId="0" xfId="0" applyFont="1">
      <alignment vertical="center"/>
    </xf>
    <xf numFmtId="0" fontId="5" fillId="0" borderId="0" xfId="0" applyFont="1" applyAlignment="1"/>
    <xf numFmtId="0" fontId="0" fillId="0" borderId="5" xfId="0" applyBorder="1" applyAlignment="1"/>
  </cellXfs>
  <cellStyles count="51">
    <cellStyle name="パーセント 2" xfId="3" xr:uid="{14EAE517-0472-4438-9820-1C2A7B0AC84D}"/>
    <cellStyle name="ハイパーリンク 2" xfId="1" xr:uid="{791679C7-3CFF-4F6F-A7F6-C26D798701A8}"/>
    <cellStyle name="ハイパーリンク 2 2" xfId="4" xr:uid="{8B3B1DE3-CDA8-4358-8822-26DE7CE24BAF}"/>
    <cellStyle name="桁区切り 2" xfId="5" xr:uid="{608A9C08-37D3-49B8-B41B-03091364FB7A}"/>
    <cellStyle name="桁区切り 2 2" xfId="6" xr:uid="{090F8B36-3540-415D-9CA0-E3E70FC50248}"/>
    <cellStyle name="桁区切り 2 2 2" xfId="7" xr:uid="{EC5A86A7-BB5E-4747-802B-8F09F7BB6508}"/>
    <cellStyle name="桁区切り 2 2 2 2" xfId="8" xr:uid="{5D7F7F67-1182-4F58-AF3C-243C2E3F4FDD}"/>
    <cellStyle name="桁区切り 2 2 3" xfId="9" xr:uid="{B02CAF27-6308-47F3-AE2F-C343B06AEA40}"/>
    <cellStyle name="桁区切り 2 3" xfId="10" xr:uid="{005015B6-8D37-4E82-B839-5484F0CB2501}"/>
    <cellStyle name="桁区切り 3" xfId="11" xr:uid="{B56D0892-7B64-423C-97BD-3D6E4ADDDA3D}"/>
    <cellStyle name="桁区切り 3 2" xfId="12" xr:uid="{A4ED7481-C5EE-4700-B250-B9D2EF335FF1}"/>
    <cellStyle name="桁区切り 3 2 2" xfId="13" xr:uid="{B8FAA452-B49E-4D20-969A-1AD261396033}"/>
    <cellStyle name="桁区切り 3 3" xfId="14" xr:uid="{C224AD82-39EC-4B61-94A0-B79D71917DCB}"/>
    <cellStyle name="桁区切り 4" xfId="15" xr:uid="{FFA1D1DE-90EF-49F7-A282-CC4357DABC77}"/>
    <cellStyle name="桁区切り 5" xfId="16" xr:uid="{C0F279C4-B910-4226-A36E-ADC99D07B72C}"/>
    <cellStyle name="通貨 2" xfId="17" xr:uid="{2E5E101E-4408-48A4-8829-37A58B3DA2F0}"/>
    <cellStyle name="通貨 2 2" xfId="49" xr:uid="{6DEB67CA-A8E5-4360-9DA0-18309FBA80A4}"/>
    <cellStyle name="通貨 3" xfId="18" xr:uid="{83793C22-E8D7-4368-8BE9-170A5D64A3E0}"/>
    <cellStyle name="通貨 3 2" xfId="50" xr:uid="{9EC149E9-A3F6-4677-A5F1-3825073A22CF}"/>
    <cellStyle name="標準" xfId="0" builtinId="0"/>
    <cellStyle name="標準 10" xfId="19" xr:uid="{A12FF5F2-6C82-42B6-B94C-786E09E34432}"/>
    <cellStyle name="標準 11" xfId="20" xr:uid="{7CEF2F07-2298-46B3-9A12-D6EBA4BAB278}"/>
    <cellStyle name="標準 12" xfId="21" xr:uid="{91F3FCE7-97AE-4B39-8D25-46B86BAECD28}"/>
    <cellStyle name="標準 13" xfId="22" xr:uid="{11F59BEF-E4EC-47B8-BEC3-5A4D7BBCAF74}"/>
    <cellStyle name="標準 14" xfId="23" xr:uid="{AB55D548-39E0-4158-A2B7-AAB7B259598B}"/>
    <cellStyle name="標準 15" xfId="24" xr:uid="{4A196DD7-3C47-4C7B-A28F-4AE8B95AFB3B}"/>
    <cellStyle name="標準 16" xfId="2" xr:uid="{7E227EAC-9485-489C-A5FC-5F2E3219C341}"/>
    <cellStyle name="標準 2" xfId="25" xr:uid="{422A1278-77DF-45FA-8DCC-3A0315800D53}"/>
    <cellStyle name="標準 2 2" xfId="26" xr:uid="{3C495536-D534-4C59-9D44-F2ED328B3109}"/>
    <cellStyle name="標準 2 2 2" xfId="27" xr:uid="{E77B1B25-A925-4F7D-94F2-76B2AE8A2EA8}"/>
    <cellStyle name="標準 2 3" xfId="28" xr:uid="{55BF69D9-4A60-4123-B0C1-896B515F8199}"/>
    <cellStyle name="標準 2 4" xfId="29" xr:uid="{E55041A5-1766-462E-810A-0A3981092F8F}"/>
    <cellStyle name="標準 2_Book2" xfId="30" xr:uid="{9BF84AB4-0B47-4042-9983-14D0BEC06C88}"/>
    <cellStyle name="標準 3" xfId="31" xr:uid="{D667A05A-792F-44B3-8914-A7ABCEFA46C6}"/>
    <cellStyle name="標準 3 2" xfId="32" xr:uid="{BEC24067-6320-406E-9317-9B1628712673}"/>
    <cellStyle name="標準 3 2 2" xfId="33" xr:uid="{645BE0A8-ED9F-44B4-9E20-54262B1A44BB}"/>
    <cellStyle name="標準 3 2 3" xfId="34" xr:uid="{5C3E556F-8E7C-47A2-BAB3-8CB77F388EEA}"/>
    <cellStyle name="標準 3 2_DATA BASE" xfId="35" xr:uid="{5A9E85B2-BDD5-4C1F-A1D5-26F23FB3854F}"/>
    <cellStyle name="標準 3 3" xfId="36" xr:uid="{19B943D5-95E4-4D44-B44A-A768217680DD}"/>
    <cellStyle name="標準 3_RNA(RIBOMIC)" xfId="37" xr:uid="{78958B87-9791-44F6-99B3-3404D4D212A7}"/>
    <cellStyle name="標準 4" xfId="38" xr:uid="{2FF8CE82-466D-49C6-8842-B926F7A99DB6}"/>
    <cellStyle name="標準 4 2" xfId="39" xr:uid="{39C05448-6D48-472C-BCA7-FAC361A3CE78}"/>
    <cellStyle name="標準 4_DATA BASE" xfId="40" xr:uid="{8300F500-4D9B-4E6A-88CD-BFA1E35BE3E2}"/>
    <cellStyle name="標準 5" xfId="41" xr:uid="{D61BA9EC-5506-49AD-BBA8-3759DE021F17}"/>
    <cellStyle name="標準 5 2" xfId="42" xr:uid="{9B56559D-D881-4505-85CB-25E7575D127E}"/>
    <cellStyle name="標準 5_DATA BASE" xfId="43" xr:uid="{3BA3D8E3-FDB7-4F5B-94E5-D24569684D8E}"/>
    <cellStyle name="標準 6" xfId="44" xr:uid="{25F11705-D48D-46F9-8FB5-5C9E6D364CD7}"/>
    <cellStyle name="標準 7" xfId="45" xr:uid="{99E4B3D1-1867-4393-B897-94F3E8961918}"/>
    <cellStyle name="標準 8" xfId="46" xr:uid="{63B44CB7-227D-4E51-B798-2E813BA8750D}"/>
    <cellStyle name="標準 8 2" xfId="47" xr:uid="{D07339CD-14B2-40AF-96B1-BEFD7BC5E811}"/>
    <cellStyle name="標準 9" xfId="48" xr:uid="{1C9275D5-250D-46E9-A9D5-B753B169F13F}"/>
  </cellStyles>
  <dxfs count="36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9" formatCode="yyyy/m/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176" formatCode="yyyy/mm/dd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DA898AC8-7DC2-4DB2-ABF6-9C29E3597012}" autoFormatId="20" applyNumberFormats="0" applyBorderFormats="0" applyFontFormats="0" applyPatternFormats="0" applyAlignmentFormats="0" applyWidthHeightFormats="0">
  <queryTableRefresh nextId="15">
    <queryTableFields count="11">
      <queryTableField id="11" name="ID" tableColumnId="1"/>
      <queryTableField id="2" name="num" tableColumnId="2"/>
      <queryTableField id="3" name="配列名" tableColumnId="3"/>
      <queryTableField id="4" name="Baseline" tableColumnId="4"/>
      <queryTableField id="5" name="length" tableColumnId="5"/>
      <queryTableField id="6" name="Folder" tableColumnId="6"/>
      <queryTableField id="7" name="確認済" tableColumnId="7"/>
      <queryTableField id="8" name="根拠情報" tableColumnId="8"/>
      <queryTableField id="13" name="記入者" tableColumnId="11"/>
      <queryTableField id="9" name="確認者" tableColumnId="9"/>
      <queryTableField id="10" name="入力日" tableColumnId="10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D106F-4206-486E-8258-E06ECDF4404F}" name="DB07_baselinesequence" displayName="DB07_baselinesequence" ref="A1:L902" totalsRowShown="0" headerRowDxfId="33" dataDxfId="32">
  <autoFilter ref="A1:L902" xr:uid="{FC7D106F-4206-486E-8258-E06ECDF4404F}"/>
  <tableColumns count="12">
    <tableColumn id="1" xr3:uid="{5F86BD8A-1EC4-46C5-B554-80957991FFAD}" name="num" dataDxfId="31"/>
    <tableColumn id="2" xr3:uid="{6F73FF62-482E-485B-A3C4-BC0E29D125C7}" name="ID" dataDxfId="30">
      <calculatedColumnFormula>"07-"&amp;LEFT(RIGHTB(REPT(0,4)&amp;_xlfn.BASE(DB07_baselinesequence[[#This Row],[num]],36),4),2)&amp;"-"&amp;RIGHT(RIGHTB(REPT(0,4)&amp;_xlfn.BASE(DB07_baselinesequence[[#This Row],[num]],36),4),2)</calculatedColumnFormula>
    </tableColumn>
    <tableColumn id="9" xr3:uid="{7F66A5F9-1919-4373-ADE4-6EDD7C155BC2}" name="name" dataDxfId="29"/>
    <tableColumn id="6" xr3:uid="{93B87C9B-4336-404C-916C-16ECAAEA11C7}" name="note(sequence)" dataDxfId="28"/>
    <tableColumn id="4" xr3:uid="{166EA7EE-6045-4ADA-8715-B851F9D3F2A3}" name="note(modification)" dataDxfId="27"/>
    <tableColumn id="5" xr3:uid="{601A0F85-EB5F-44B8-8C47-91BD0DF54E17}" name="basesequence-ID" dataDxfId="26"/>
    <tableColumn id="7" xr3:uid="{426FF3BD-CFF4-41D6-9319-15C446A7377F}" name="basesequence" dataDxfId="25">
      <calculatedColumnFormula>_xlfn.XLOOKUP(DB07_baselinesequence[[#This Row],[basesequence-ID]],DB06_baseline[ID],DB06_baseline[Baseline],"",0)</calculatedColumnFormula>
    </tableColumn>
    <tableColumn id="8" xr3:uid="{476AF467-49B7-4753-9A93-0DABFD42134C}" name="basesequence登録状況" dataDxfId="24">
      <calculatedColumnFormula>_xlfn.XLOOKUP(DB07_baselinesequence[[#This Row],[basesequence-ID]],DB06_baseline[ID],DB06_baseline[確認済],FALSE,0)</calculatedColumnFormula>
    </tableColumn>
    <tableColumn id="10" xr3:uid="{3F7FE17C-D94B-42D0-8DDE-2BEE5EB807CE}" name="basesequence情報" dataDxfId="23"/>
    <tableColumn id="3" xr3:uid="{3FB2E863-6362-438C-AADB-D52FA4438B29}" name="sequence_ns" dataDxfId="22"/>
    <tableColumn id="12" xr3:uid="{2930C218-29CD-460D-A2BA-D188DB62672D}" name="確認日" dataDxfId="21"/>
    <tableColumn id="11" xr3:uid="{24A28E15-B939-4E82-9A52-1D04B9ACA939}" name="確認者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ugar" displayName="table_sugar" ref="A1:A14" totalsRowShown="0" headerRowDxfId="19" dataDxfId="18">
  <autoFilter ref="A1:A14" xr:uid="{00000000-0009-0000-0100-000003000000}"/>
  <tableColumns count="1">
    <tableColumn id="1" xr3:uid="{00000000-0010-0000-0200-000001000000}" name="nam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linker" displayName="table_linker" ref="A16:A19" totalsRowShown="0" headerRowDxfId="16" dataDxfId="15">
  <autoFilter ref="A16:A19" xr:uid="{00000000-0009-0000-0100-000004000000}"/>
  <tableColumns count="1">
    <tableColumn id="1" xr3:uid="{00000000-0010-0000-0300-000001000000}" name="nam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type" displayName="table_type" ref="A21:A26" totalsRowShown="0" headerRowDxfId="13" dataDxfId="12">
  <autoFilter ref="A21:A26" xr:uid="{00000000-0009-0000-0100-000005000000}"/>
  <tableColumns count="1">
    <tableColumn id="1" xr3:uid="{00000000-0010-0000-0400-000001000000}" name="name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A0FD4A-E2B0-4193-8FBE-78C7AC3A25EC}" name="DB06_baseline" displayName="DB06_baseline" ref="A1:K809" tableType="queryTable" totalsRowShown="0" headerRowDxfId="35" dataDxfId="34">
  <autoFilter ref="A1:K809" xr:uid="{3BA0FD4A-E2B0-4193-8FBE-78C7AC3A25EC}"/>
  <tableColumns count="11">
    <tableColumn id="1" xr3:uid="{75D453D0-4202-4F21-831B-9788F3DF0AEC}" uniqueName="1" name="ID" queryTableFieldId="11" dataDxfId="10"/>
    <tableColumn id="2" xr3:uid="{47B2B51C-7477-42F5-95BB-EBD71EE5B502}" uniqueName="2" name="num" queryTableFieldId="2" dataDxfId="9"/>
    <tableColumn id="3" xr3:uid="{3E4726E0-7CA6-4C27-B106-0E0EF807EDAD}" uniqueName="3" name="配列名" queryTableFieldId="3" dataDxfId="8"/>
    <tableColumn id="4" xr3:uid="{720C4374-35CA-483C-B662-D334A2ACD587}" uniqueName="4" name="Baseline" queryTableFieldId="4" dataDxfId="7"/>
    <tableColumn id="5" xr3:uid="{751F8396-9DDC-473F-AEEA-0C32C0D29C65}" uniqueName="5" name="length" queryTableFieldId="5" dataDxfId="6"/>
    <tableColumn id="6" xr3:uid="{9FDAF2AA-E58F-4542-9D9D-E2096A7AD5D3}" uniqueName="6" name="Folder" queryTableFieldId="6" dataDxfId="5"/>
    <tableColumn id="7" xr3:uid="{F1E6FC53-40AF-4612-ADE4-0847782DA4E8}" uniqueName="7" name="確認済" queryTableFieldId="7" dataDxfId="4"/>
    <tableColumn id="8" xr3:uid="{EB1A9353-6C00-4ADB-97D5-2364E3EDAB68}" uniqueName="8" name="根拠情報" queryTableFieldId="8" dataDxfId="3"/>
    <tableColumn id="11" xr3:uid="{D6972F96-98F8-4C74-9732-B7AB02CBC98C}" uniqueName="11" name="記入者" queryTableFieldId="13" dataDxfId="2"/>
    <tableColumn id="9" xr3:uid="{426298F4-69AD-4036-92D7-543CD301FA5D}" uniqueName="9" name="確認者" queryTableFieldId="9" dataDxfId="1"/>
    <tableColumn id="10" xr3:uid="{E05EC100-F751-4B21-8393-8D42156C3BCA}" uniqueName="10" name="入力日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4A9C-409F-4231-9290-6A72E913F09D}">
  <dimension ref="A1:L902"/>
  <sheetViews>
    <sheetView topLeftCell="A876" zoomScale="70" zoomScaleNormal="70" workbookViewId="0">
      <selection activeCell="D905" sqref="D905"/>
    </sheetView>
  </sheetViews>
  <sheetFormatPr defaultColWidth="9" defaultRowHeight="17.399999999999999" x14ac:dyDescent="0.45"/>
  <cols>
    <col min="1" max="1" width="8" style="1" bestFit="1" customWidth="1"/>
    <col min="2" max="2" width="10" style="1" bestFit="1" customWidth="1"/>
    <col min="3" max="3" width="37.5" style="1" bestFit="1" customWidth="1"/>
    <col min="4" max="4" width="40.09765625" style="1" customWidth="1"/>
    <col min="5" max="5" width="53.09765625" style="1" customWidth="1"/>
    <col min="6" max="6" width="21.09765625" style="1" bestFit="1" customWidth="1"/>
    <col min="7" max="7" width="43" style="1" bestFit="1" customWidth="1"/>
    <col min="8" max="8" width="25.69921875" style="1" bestFit="1" customWidth="1"/>
    <col min="9" max="9" width="25.69921875" style="1" customWidth="1"/>
    <col min="10" max="10" width="122.69921875" style="1" bestFit="1" customWidth="1"/>
    <col min="11" max="11" width="13.59765625" style="1" customWidth="1"/>
    <col min="12" max="12" width="17.09765625" style="1" customWidth="1"/>
    <col min="13" max="16384" width="9" style="1"/>
  </cols>
  <sheetData>
    <row r="1" spans="1:12" x14ac:dyDescent="0.45">
      <c r="A1" s="1" t="s">
        <v>203</v>
      </c>
      <c r="B1" s="1" t="s">
        <v>168</v>
      </c>
      <c r="C1" s="1" t="s">
        <v>204</v>
      </c>
      <c r="D1" s="1" t="s">
        <v>297</v>
      </c>
      <c r="E1" s="1" t="s">
        <v>298</v>
      </c>
      <c r="F1" s="1" t="s">
        <v>307</v>
      </c>
      <c r="G1" s="1" t="s">
        <v>308</v>
      </c>
      <c r="H1" s="1" t="s">
        <v>354</v>
      </c>
      <c r="I1" s="1" t="s">
        <v>355</v>
      </c>
      <c r="J1" s="1" t="s">
        <v>205</v>
      </c>
      <c r="K1" s="1" t="s">
        <v>207</v>
      </c>
      <c r="L1" s="1" t="s">
        <v>206</v>
      </c>
    </row>
    <row r="2" spans="1:12" x14ac:dyDescent="0.45">
      <c r="A2" s="1">
        <v>1</v>
      </c>
      <c r="B2" s="1" t="str">
        <f>"07-"&amp;LEFT(RIGHTB(REPT(0,4)&amp;_xlfn.BASE(DB07_baselinesequence[[#This Row],[num]],36),4),2)&amp;"-"&amp;RIGHT(RIGHTB(REPT(0,4)&amp;_xlfn.BASE(DB07_baselinesequence[[#This Row],[num]],36),4),2)</f>
        <v>07-00-01</v>
      </c>
      <c r="C2" s="1" t="s">
        <v>35</v>
      </c>
      <c r="D2" s="1" t="s">
        <v>299</v>
      </c>
      <c r="E2" s="1" t="s">
        <v>309</v>
      </c>
      <c r="F2" s="1" t="s">
        <v>79</v>
      </c>
      <c r="G2" s="1" t="str">
        <f>_xlfn.XLOOKUP(DB07_baselinesequence[[#This Row],[basesequence-ID]],DB06_baseline[ID],DB06_baseline[Baseline],"",0)</f>
        <v>ACCGACCTTCACCATTT</v>
      </c>
      <c r="H2" s="1" t="b">
        <f>_xlfn.XLOOKUP(DB07_baselinesequence[[#This Row],[basesequence-ID]],DB06_baseline[ID],DB06_baseline[確認済],FALSE,0)</f>
        <v>1</v>
      </c>
      <c r="J2" s="1" t="s">
        <v>170</v>
      </c>
      <c r="K2" s="4">
        <v>44926</v>
      </c>
    </row>
    <row r="3" spans="1:12" x14ac:dyDescent="0.45">
      <c r="A3" s="1">
        <v>2</v>
      </c>
      <c r="B3" s="1" t="str">
        <f>"07-"&amp;LEFT(RIGHTB(REPT(0,4)&amp;_xlfn.BASE(DB07_baselinesequence[[#This Row],[num]],36),4),2)&amp;"-"&amp;RIGHT(RIGHTB(REPT(0,4)&amp;_xlfn.BASE(DB07_baselinesequence[[#This Row],[num]],36),4),2)</f>
        <v>07-00-02</v>
      </c>
      <c r="C3" s="1" t="s">
        <v>37</v>
      </c>
      <c r="D3" s="1" t="s">
        <v>299</v>
      </c>
      <c r="E3" s="1" t="s">
        <v>310</v>
      </c>
      <c r="F3" s="1" t="s">
        <v>80</v>
      </c>
      <c r="G3" s="1" t="str">
        <f>_xlfn.XLOOKUP(DB07_baselinesequence[[#This Row],[basesequence-ID]],DB06_baseline[ID],DB06_baseline[Baseline],"",0)</f>
        <v>AGCACCAGTGGATGCAGG</v>
      </c>
      <c r="H3" s="1" t="b">
        <f>_xlfn.XLOOKUP(DB07_baselinesequence[[#This Row],[basesequence-ID]],DB06_baseline[ID],DB06_baseline[確認済],FALSE,0)</f>
        <v>1</v>
      </c>
      <c r="J3" s="1" t="s">
        <v>220</v>
      </c>
      <c r="K3" s="4">
        <v>44926</v>
      </c>
    </row>
    <row r="4" spans="1:12" x14ac:dyDescent="0.45">
      <c r="A4" s="1">
        <v>3</v>
      </c>
      <c r="B4" s="1" t="str">
        <f>"07-"&amp;LEFT(RIGHTB(REPT(0,4)&amp;_xlfn.BASE(DB07_baselinesequence[[#This Row],[num]],36),4),2)&amp;"-"&amp;RIGHT(RIGHTB(REPT(0,4)&amp;_xlfn.BASE(DB07_baselinesequence[[#This Row],[num]],36),4),2)</f>
        <v>07-00-03</v>
      </c>
      <c r="C4" s="1" t="s">
        <v>43</v>
      </c>
      <c r="D4" s="1" t="s">
        <v>306</v>
      </c>
      <c r="E4" s="1" t="s">
        <v>300</v>
      </c>
      <c r="F4" s="1" t="s">
        <v>81</v>
      </c>
      <c r="G4" s="1" t="str">
        <f>_xlfn.XLOOKUP(DB07_baselinesequence[[#This Row],[basesequence-ID]],DB06_baseline[ID],DB06_baseline[Baseline],"",0)</f>
        <v>CGGTGGTGCAGATGAA</v>
      </c>
      <c r="H4" s="1" t="b">
        <f>_xlfn.XLOOKUP(DB07_baselinesequence[[#This Row],[basesequence-ID]],DB06_baseline[ID],DB06_baseline[確認済],FALSE,0)</f>
        <v>1</v>
      </c>
      <c r="J4" s="1" t="s">
        <v>221</v>
      </c>
      <c r="K4" s="4">
        <v>44926</v>
      </c>
    </row>
    <row r="5" spans="1:12" x14ac:dyDescent="0.45">
      <c r="A5" s="1">
        <v>4</v>
      </c>
      <c r="B5" s="1" t="str">
        <f>"07-"&amp;LEFT(RIGHTB(REPT(0,4)&amp;_xlfn.BASE(DB07_baselinesequence[[#This Row],[num]],36),4),2)&amp;"-"&amp;RIGHT(RIGHTB(REPT(0,4)&amp;_xlfn.BASE(DB07_baselinesequence[[#This Row],[num]],36),4),2)</f>
        <v>07-00-04</v>
      </c>
      <c r="C5" s="1" t="s">
        <v>109</v>
      </c>
      <c r="D5" s="1" t="s">
        <v>306</v>
      </c>
      <c r="E5" s="1" t="s">
        <v>301</v>
      </c>
      <c r="F5" s="1" t="s">
        <v>421</v>
      </c>
      <c r="G5" s="1" t="str">
        <f>_xlfn.XLOOKUP(DB07_baselinesequence[[#This Row],[basesequence-ID]],DB06_baseline[ID],DB06_baseline[Baseline],"",0)</f>
        <v>TTCATCTGCACCACCG</v>
      </c>
      <c r="H5" s="1">
        <f>_xlfn.XLOOKUP(DB07_baselinesequence[[#This Row],[basesequence-ID]],DB06_baseline[ID],DB06_baseline[確認済],FALSE,0)</f>
        <v>0</v>
      </c>
      <c r="J5" s="1" t="s">
        <v>222</v>
      </c>
      <c r="K5" s="4">
        <v>44926</v>
      </c>
    </row>
    <row r="6" spans="1:12" x14ac:dyDescent="0.45">
      <c r="A6" s="1">
        <v>5</v>
      </c>
      <c r="B6" s="1" t="str">
        <f>"07-"&amp;LEFT(RIGHTB(REPT(0,4)&amp;_xlfn.BASE(DB07_baselinesequence[[#This Row],[num]],36),4),2)&amp;"-"&amp;RIGHT(RIGHTB(REPT(0,4)&amp;_xlfn.BASE(DB07_baselinesequence[[#This Row],[num]],36),4),2)</f>
        <v>07-00-05</v>
      </c>
      <c r="C6" s="1" t="s">
        <v>458</v>
      </c>
      <c r="D6" s="1" t="s">
        <v>305</v>
      </c>
      <c r="E6" s="1" t="s">
        <v>300</v>
      </c>
      <c r="F6" s="1" t="s">
        <v>82</v>
      </c>
      <c r="G6" s="1" t="str">
        <f>_xlfn.XLOOKUP(DB07_baselinesequence[[#This Row],[basesequence-ID]],DB06_baseline[ID],DB06_baseline[Baseline],"",0)</f>
        <v>GCATTCTAATAGCAGC</v>
      </c>
      <c r="H6" s="1" t="b">
        <f>_xlfn.XLOOKUP(DB07_baselinesequence[[#This Row],[basesequence-ID]],DB06_baseline[ID],DB06_baseline[確認済],FALSE,0)</f>
        <v>1</v>
      </c>
      <c r="J6" s="1" t="s">
        <v>171</v>
      </c>
      <c r="K6" s="4">
        <v>44926</v>
      </c>
    </row>
    <row r="7" spans="1:12" x14ac:dyDescent="0.45">
      <c r="A7" s="1">
        <v>6</v>
      </c>
      <c r="B7" s="1" t="str">
        <f>"07-"&amp;LEFT(RIGHTB(REPT(0,4)&amp;_xlfn.BASE(DB07_baselinesequence[[#This Row],[num]],36),4),2)&amp;"-"&amp;RIGHT(RIGHTB(REPT(0,4)&amp;_xlfn.BASE(DB07_baselinesequence[[#This Row],[num]],36),4),2)</f>
        <v>07-00-06</v>
      </c>
      <c r="C7" s="1" t="s">
        <v>110</v>
      </c>
      <c r="D7" s="1" t="s">
        <v>303</v>
      </c>
      <c r="E7" s="1" t="s">
        <v>301</v>
      </c>
      <c r="F7" s="1" t="s">
        <v>423</v>
      </c>
      <c r="G7" s="1" t="str">
        <f>_xlfn.XLOOKUP(DB07_baselinesequence[[#This Row],[basesequence-ID]],DB06_baseline[ID],DB06_baseline[Baseline],"",0)</f>
        <v>GCTGCTATTAGAATGC</v>
      </c>
      <c r="H7" s="1">
        <f>_xlfn.XLOOKUP(DB07_baselinesequence[[#This Row],[basesequence-ID]],DB06_baseline[ID],DB06_baseline[確認済],FALSE,0)</f>
        <v>0</v>
      </c>
      <c r="J7" s="1" t="s">
        <v>172</v>
      </c>
      <c r="K7" s="4">
        <v>44926</v>
      </c>
    </row>
    <row r="8" spans="1:12" x14ac:dyDescent="0.45">
      <c r="A8" s="1">
        <v>7</v>
      </c>
      <c r="B8" s="1" t="str">
        <f>"07-"&amp;LEFT(RIGHTB(REPT(0,4)&amp;_xlfn.BASE(DB07_baselinesequence[[#This Row],[num]],36),4),2)&amp;"-"&amp;RIGHT(RIGHTB(REPT(0,4)&amp;_xlfn.BASE(DB07_baselinesequence[[#This Row],[num]],36),4),2)</f>
        <v>07-00-07</v>
      </c>
      <c r="C8" s="1" t="s">
        <v>2</v>
      </c>
      <c r="D8" s="1" t="s">
        <v>302</v>
      </c>
      <c r="E8" s="1" t="s">
        <v>300</v>
      </c>
      <c r="F8" s="1" t="s">
        <v>83</v>
      </c>
      <c r="G8" s="1" t="str">
        <f>_xlfn.XLOOKUP(DB07_baselinesequence[[#This Row],[basesequence-ID]],DB06_baseline[ID],DB06_baseline[Baseline],"",0)</f>
        <v>CTAGTTCACTGAATGC</v>
      </c>
      <c r="H8" s="1" t="b">
        <f>_xlfn.XLOOKUP(DB07_baselinesequence[[#This Row],[basesequence-ID]],DB06_baseline[ID],DB06_baseline[確認済],FALSE,0)</f>
        <v>1</v>
      </c>
      <c r="J8" s="1" t="s">
        <v>173</v>
      </c>
      <c r="K8" s="4">
        <v>44926</v>
      </c>
    </row>
    <row r="9" spans="1:12" x14ac:dyDescent="0.45">
      <c r="A9" s="1">
        <v>8</v>
      </c>
      <c r="B9" s="1" t="str">
        <f>"07-"&amp;LEFT(RIGHTB(REPT(0,4)&amp;_xlfn.BASE(DB07_baselinesequence[[#This Row],[num]],36),4),2)&amp;"-"&amp;RIGHT(RIGHTB(REPT(0,4)&amp;_xlfn.BASE(DB07_baselinesequence[[#This Row],[num]],36),4),2)</f>
        <v>07-00-08</v>
      </c>
      <c r="C9" s="1" t="s">
        <v>8</v>
      </c>
      <c r="D9" s="1" t="s">
        <v>304</v>
      </c>
      <c r="E9" s="1" t="s">
        <v>301</v>
      </c>
      <c r="F9" s="1" t="s">
        <v>425</v>
      </c>
      <c r="G9" s="1" t="str">
        <f>_xlfn.XLOOKUP(DB07_baselinesequence[[#This Row],[basesequence-ID]],DB06_baseline[ID],DB06_baseline[Baseline],"",0)</f>
        <v>GCATTCAGTGAACTAG</v>
      </c>
      <c r="H9" s="1">
        <f>_xlfn.XLOOKUP(DB07_baselinesequence[[#This Row],[basesequence-ID]],DB06_baseline[ID],DB06_baseline[確認済],FALSE,0)</f>
        <v>0</v>
      </c>
      <c r="J9" s="1" t="s">
        <v>174</v>
      </c>
      <c r="K9" s="4">
        <v>44926</v>
      </c>
    </row>
    <row r="10" spans="1:12" x14ac:dyDescent="0.45">
      <c r="A10" s="1">
        <v>9</v>
      </c>
      <c r="B10" s="1" t="str">
        <f>"07-"&amp;LEFT(RIGHTB(REPT(0,4)&amp;_xlfn.BASE(DB07_baselinesequence[[#This Row],[num]],36),4),2)&amp;"-"&amp;RIGHT(RIGHTB(REPT(0,4)&amp;_xlfn.BASE(DB07_baselinesequence[[#This Row],[num]],36),4),2)</f>
        <v>07-00-09</v>
      </c>
      <c r="C10" s="1" t="s">
        <v>49</v>
      </c>
      <c r="F10" s="1" t="s">
        <v>84</v>
      </c>
      <c r="G10" s="1" t="str">
        <f>_xlfn.XLOOKUP(DB07_baselinesequence[[#This Row],[basesequence-ID]],DB06_baseline[ID],DB06_baseline[Baseline],"",0)</f>
        <v>GAGCAATGCACGTGGGC</v>
      </c>
      <c r="H10" s="1" t="b">
        <f>_xlfn.XLOOKUP(DB07_baselinesequence[[#This Row],[basesequence-ID]],DB06_baseline[ID],DB06_baseline[確認済],FALSE,0)</f>
        <v>1</v>
      </c>
      <c r="J10" s="1" t="s">
        <v>175</v>
      </c>
      <c r="K10" s="4">
        <v>44926</v>
      </c>
    </row>
    <row r="11" spans="1:12" x14ac:dyDescent="0.45">
      <c r="A11" s="1">
        <v>10</v>
      </c>
      <c r="B11" s="1" t="str">
        <f>"07-"&amp;LEFT(RIGHTB(REPT(0,4)&amp;_xlfn.BASE(DB07_baselinesequence[[#This Row],[num]],36),4),2)&amp;"-"&amp;RIGHT(RIGHTB(REPT(0,4)&amp;_xlfn.BASE(DB07_baselinesequence[[#This Row],[num]],36),4),2)</f>
        <v>07-00-0A</v>
      </c>
      <c r="C11" s="1" t="s">
        <v>111</v>
      </c>
      <c r="F11" s="1" t="s">
        <v>426</v>
      </c>
      <c r="G11" s="1" t="str">
        <f>_xlfn.XLOOKUP(DB07_baselinesequence[[#This Row],[basesequence-ID]],DB06_baseline[ID],DB06_baseline[Baseline],"",0)</f>
        <v>GCCCACGTGCATTGCTC</v>
      </c>
      <c r="H11" s="1">
        <f>_xlfn.XLOOKUP(DB07_baselinesequence[[#This Row],[basesequence-ID]],DB06_baseline[ID],DB06_baseline[確認済],FALSE,0)</f>
        <v>0</v>
      </c>
      <c r="J11" s="1" t="s">
        <v>176</v>
      </c>
      <c r="K11" s="4">
        <v>44926</v>
      </c>
    </row>
    <row r="12" spans="1:12" x14ac:dyDescent="0.45">
      <c r="A12" s="1">
        <v>11</v>
      </c>
      <c r="B12" s="1" t="str">
        <f>"07-"&amp;LEFT(RIGHTB(REPT(0,4)&amp;_xlfn.BASE(DB07_baselinesequence[[#This Row],[num]],36),4),2)&amp;"-"&amp;RIGHT(RIGHTB(REPT(0,4)&amp;_xlfn.BASE(DB07_baselinesequence[[#This Row],[num]],36),4),2)</f>
        <v>07-00-0B</v>
      </c>
      <c r="C12" s="1" t="s">
        <v>51</v>
      </c>
      <c r="F12" s="1" t="s">
        <v>85</v>
      </c>
      <c r="G12" s="1" t="str">
        <f>_xlfn.XLOOKUP(DB07_baselinesequence[[#This Row],[basesequence-ID]],DB06_baseline[ID],DB06_baseline[Baseline],"",0)</f>
        <v>ACCTTAAATCCTTCTC</v>
      </c>
      <c r="H12" s="1" t="b">
        <f>_xlfn.XLOOKUP(DB07_baselinesequence[[#This Row],[basesequence-ID]],DB06_baseline[ID],DB06_baseline[確認済],FALSE,0)</f>
        <v>1</v>
      </c>
      <c r="J12" s="1" t="s">
        <v>177</v>
      </c>
      <c r="K12" s="4">
        <v>44926</v>
      </c>
    </row>
    <row r="13" spans="1:12" x14ac:dyDescent="0.45">
      <c r="A13" s="1">
        <v>12</v>
      </c>
      <c r="B13" s="1" t="str">
        <f>"07-"&amp;LEFT(RIGHTB(REPT(0,4)&amp;_xlfn.BASE(DB07_baselinesequence[[#This Row],[num]],36),4),2)&amp;"-"&amp;RIGHT(RIGHTB(REPT(0,4)&amp;_xlfn.BASE(DB07_baselinesequence[[#This Row],[num]],36),4),2)</f>
        <v>07-00-0C</v>
      </c>
      <c r="C13" s="1" t="s">
        <v>112</v>
      </c>
      <c r="F13" s="1" t="s">
        <v>428</v>
      </c>
      <c r="G13" s="1" t="str">
        <f>_xlfn.XLOOKUP(DB07_baselinesequence[[#This Row],[basesequence-ID]],DB06_baseline[ID],DB06_baseline[Baseline],"",0)</f>
        <v>GAGAAGGATTTAAGGT</v>
      </c>
      <c r="H13" s="1">
        <f>_xlfn.XLOOKUP(DB07_baselinesequence[[#This Row],[basesequence-ID]],DB06_baseline[ID],DB06_baseline[確認済],FALSE,0)</f>
        <v>0</v>
      </c>
      <c r="J13" s="1" t="s">
        <v>178</v>
      </c>
      <c r="K13" s="4">
        <v>44926</v>
      </c>
    </row>
    <row r="14" spans="1:12" x14ac:dyDescent="0.45">
      <c r="A14" s="1">
        <v>13</v>
      </c>
      <c r="B14" s="1" t="str">
        <f>"07-"&amp;LEFT(RIGHTB(REPT(0,4)&amp;_xlfn.BASE(DB07_baselinesequence[[#This Row],[num]],36),4),2)&amp;"-"&amp;RIGHT(RIGHTB(REPT(0,4)&amp;_xlfn.BASE(DB07_baselinesequence[[#This Row],[num]],36),4),2)</f>
        <v>07-00-0D</v>
      </c>
      <c r="C14" s="1" t="s">
        <v>113</v>
      </c>
      <c r="D14" s="1" t="s">
        <v>345</v>
      </c>
      <c r="E14" s="1" t="s">
        <v>311</v>
      </c>
      <c r="F14" s="1" t="s">
        <v>86</v>
      </c>
      <c r="G14" s="1" t="str">
        <f>_xlfn.XLOOKUP(DB07_baselinesequence[[#This Row],[basesequence-ID]],DB06_baseline[ID],DB06_baseline[Baseline],"",0)</f>
        <v>TCTCCTGCACCCTGG</v>
      </c>
      <c r="H14" s="1" t="b">
        <f>_xlfn.XLOOKUP(DB07_baselinesequence[[#This Row],[basesequence-ID]],DB06_baseline[ID],DB06_baseline[確認済],FALSE,0)</f>
        <v>1</v>
      </c>
      <c r="J14" s="1" t="s">
        <v>290</v>
      </c>
      <c r="K14" s="4">
        <v>44926</v>
      </c>
    </row>
    <row r="15" spans="1:12" x14ac:dyDescent="0.45">
      <c r="A15" s="1">
        <v>14</v>
      </c>
      <c r="B15" s="1" t="str">
        <f>"07-"&amp;LEFT(RIGHTB(REPT(0,4)&amp;_xlfn.BASE(DB07_baselinesequence[[#This Row],[num]],36),4),2)&amp;"-"&amp;RIGHT(RIGHTB(REPT(0,4)&amp;_xlfn.BASE(DB07_baselinesequence[[#This Row],[num]],36),4),2)</f>
        <v>07-00-0E</v>
      </c>
      <c r="C15" s="1" t="s">
        <v>62</v>
      </c>
      <c r="D15" s="1" t="s">
        <v>344</v>
      </c>
      <c r="E15" s="1" t="s">
        <v>312</v>
      </c>
      <c r="F15" s="1" t="s">
        <v>86</v>
      </c>
      <c r="G15" s="1" t="str">
        <f>_xlfn.XLOOKUP(DB07_baselinesequence[[#This Row],[basesequence-ID]],DB06_baseline[ID],DB06_baseline[Baseline],"",0)</f>
        <v>TCTCCTGCACCCTGG</v>
      </c>
      <c r="H15" s="1" t="b">
        <f>_xlfn.XLOOKUP(DB07_baselinesequence[[#This Row],[basesequence-ID]],DB06_baseline[ID],DB06_baseline[確認済],FALSE,0)</f>
        <v>1</v>
      </c>
      <c r="J15" s="1" t="s">
        <v>291</v>
      </c>
      <c r="K15" s="4">
        <v>44926</v>
      </c>
    </row>
    <row r="16" spans="1:12" x14ac:dyDescent="0.45">
      <c r="A16" s="1">
        <v>15</v>
      </c>
      <c r="B16" s="1" t="str">
        <f>"07-"&amp;LEFT(RIGHTB(REPT(0,4)&amp;_xlfn.BASE(DB07_baselinesequence[[#This Row],[num]],36),4),2)&amp;"-"&amp;RIGHT(RIGHTB(REPT(0,4)&amp;_xlfn.BASE(DB07_baselinesequence[[#This Row],[num]],36),4),2)</f>
        <v>07-00-0F</v>
      </c>
      <c r="C16" s="1" t="s">
        <v>114</v>
      </c>
      <c r="D16" s="1" t="s">
        <v>346</v>
      </c>
      <c r="E16" s="1" t="s">
        <v>316</v>
      </c>
      <c r="F16" s="1" t="s">
        <v>430</v>
      </c>
      <c r="G16" s="1" t="str">
        <f>_xlfn.XLOOKUP(DB07_baselinesequence[[#This Row],[basesequence-ID]],DB06_baseline[ID],DB06_baseline[Baseline],"",0)</f>
        <v>CCAGGGTGCAGGAGA</v>
      </c>
      <c r="H16" s="1">
        <f>_xlfn.XLOOKUP(DB07_baselinesequence[[#This Row],[basesequence-ID]],DB06_baseline[ID],DB06_baseline[確認済],FALSE,0)</f>
        <v>0</v>
      </c>
      <c r="J16" s="1" t="s">
        <v>223</v>
      </c>
      <c r="K16" s="4">
        <v>44926</v>
      </c>
    </row>
    <row r="17" spans="1:11" x14ac:dyDescent="0.45">
      <c r="A17" s="1">
        <v>16</v>
      </c>
      <c r="B17" s="1" t="str">
        <f>"07-"&amp;LEFT(RIGHTB(REPT(0,4)&amp;_xlfn.BASE(DB07_baselinesequence[[#This Row],[num]],36),4),2)&amp;"-"&amp;RIGHT(RIGHTB(REPT(0,4)&amp;_xlfn.BASE(DB07_baselinesequence[[#This Row],[num]],36),4),2)</f>
        <v>07-00-0G</v>
      </c>
      <c r="C17" s="1" t="s">
        <v>115</v>
      </c>
      <c r="D17" s="1" t="s">
        <v>344</v>
      </c>
      <c r="E17" s="1" t="s">
        <v>313</v>
      </c>
      <c r="F17" s="1" t="s">
        <v>87</v>
      </c>
      <c r="G17" s="1" t="str">
        <f>_xlfn.XLOOKUP(DB07_baselinesequence[[#This Row],[basesequence-ID]],DB06_baseline[ID],DB06_baseline[Baseline],"",0)</f>
        <v>GATGCCTCCCAGTT</v>
      </c>
      <c r="H17" s="1" t="b">
        <f>_xlfn.XLOOKUP(DB07_baselinesequence[[#This Row],[basesequence-ID]],DB06_baseline[ID],DB06_baseline[確認済],FALSE,0)</f>
        <v>1</v>
      </c>
      <c r="J17" s="1" t="s">
        <v>180</v>
      </c>
      <c r="K17" s="4">
        <v>44926</v>
      </c>
    </row>
    <row r="18" spans="1:11" x14ac:dyDescent="0.45">
      <c r="A18" s="1">
        <v>17</v>
      </c>
      <c r="B18" s="1" t="str">
        <f>"07-"&amp;LEFT(RIGHTB(REPT(0,4)&amp;_xlfn.BASE(DB07_baselinesequence[[#This Row],[num]],36),4),2)&amp;"-"&amp;RIGHT(RIGHTB(REPT(0,4)&amp;_xlfn.BASE(DB07_baselinesequence[[#This Row],[num]],36),4),2)</f>
        <v>07-00-0H</v>
      </c>
      <c r="C18" s="1" t="s">
        <v>116</v>
      </c>
      <c r="D18" s="1" t="s">
        <v>345</v>
      </c>
      <c r="E18" s="1" t="s">
        <v>314</v>
      </c>
      <c r="F18" s="1" t="s">
        <v>87</v>
      </c>
      <c r="G18" s="1" t="str">
        <f>_xlfn.XLOOKUP(DB07_baselinesequence[[#This Row],[basesequence-ID]],DB06_baseline[ID],DB06_baseline[Baseline],"",0)</f>
        <v>GATGCCTCCCAGTT</v>
      </c>
      <c r="H18" s="1" t="b">
        <f>_xlfn.XLOOKUP(DB07_baselinesequence[[#This Row],[basesequence-ID]],DB06_baseline[ID],DB06_baseline[確認済],FALSE,0)</f>
        <v>1</v>
      </c>
      <c r="J18" s="1" t="s">
        <v>179</v>
      </c>
      <c r="K18" s="4">
        <v>44926</v>
      </c>
    </row>
    <row r="19" spans="1:11" x14ac:dyDescent="0.45">
      <c r="A19" s="1">
        <v>18</v>
      </c>
      <c r="B19" s="1" t="str">
        <f>"07-"&amp;LEFT(RIGHTB(REPT(0,4)&amp;_xlfn.BASE(DB07_baselinesequence[[#This Row],[num]],36),4),2)&amp;"-"&amp;RIGHT(RIGHTB(REPT(0,4)&amp;_xlfn.BASE(DB07_baselinesequence[[#This Row],[num]],36),4),2)</f>
        <v>07-00-0I</v>
      </c>
      <c r="C19" s="1" t="s">
        <v>117</v>
      </c>
      <c r="D19" s="1" t="s">
        <v>346</v>
      </c>
      <c r="E19" s="1" t="s">
        <v>315</v>
      </c>
      <c r="F19" s="1" t="s">
        <v>432</v>
      </c>
      <c r="G19" s="1" t="str">
        <f>_xlfn.XLOOKUP(DB07_baselinesequence[[#This Row],[basesequence-ID]],DB06_baseline[ID],DB06_baseline[Baseline],"",0)</f>
        <v>AACTGGGAGGCATC</v>
      </c>
      <c r="H19" s="1">
        <f>_xlfn.XLOOKUP(DB07_baselinesequence[[#This Row],[basesequence-ID]],DB06_baseline[ID],DB06_baseline[確認済],FALSE,0)</f>
        <v>0</v>
      </c>
      <c r="J19" s="1" t="s">
        <v>181</v>
      </c>
      <c r="K19" s="4">
        <v>44926</v>
      </c>
    </row>
    <row r="20" spans="1:11" x14ac:dyDescent="0.45">
      <c r="A20" s="1">
        <v>19</v>
      </c>
      <c r="B20" s="1" t="str">
        <f>"07-"&amp;LEFT(RIGHTB(REPT(0,4)&amp;_xlfn.BASE(DB07_baselinesequence[[#This Row],[num]],36),4),2)&amp;"-"&amp;RIGHT(RIGHTB(REPT(0,4)&amp;_xlfn.BASE(DB07_baselinesequence[[#This Row],[num]],36),4),2)</f>
        <v>07-00-0J</v>
      </c>
      <c r="C20" s="1" t="s">
        <v>64</v>
      </c>
      <c r="D20" s="1" t="s">
        <v>317</v>
      </c>
      <c r="E20" s="1" t="s">
        <v>300</v>
      </c>
      <c r="F20" s="1" t="s">
        <v>88</v>
      </c>
      <c r="G20" s="1" t="str">
        <f>_xlfn.XLOOKUP(DB07_baselinesequence[[#This Row],[basesequence-ID]],DB06_baseline[ID],DB06_baseline[Baseline],"",0)</f>
        <v>CTAATTAGACCCGGTG</v>
      </c>
      <c r="H20" s="1" t="b">
        <f>_xlfn.XLOOKUP(DB07_baselinesequence[[#This Row],[basesequence-ID]],DB06_baseline[ID],DB06_baseline[確認済],FALSE,0)</f>
        <v>1</v>
      </c>
      <c r="J20" s="1" t="s">
        <v>182</v>
      </c>
      <c r="K20" s="4">
        <v>44926</v>
      </c>
    </row>
    <row r="21" spans="1:11" x14ac:dyDescent="0.45">
      <c r="A21" s="1">
        <v>20</v>
      </c>
      <c r="B21" s="1" t="str">
        <f>"07-"&amp;LEFT(RIGHTB(REPT(0,4)&amp;_xlfn.BASE(DB07_baselinesequence[[#This Row],[num]],36),4),2)&amp;"-"&amp;RIGHT(RIGHTB(REPT(0,4)&amp;_xlfn.BASE(DB07_baselinesequence[[#This Row],[num]],36),4),2)</f>
        <v>07-00-0K</v>
      </c>
      <c r="C21" s="1" t="s">
        <v>118</v>
      </c>
      <c r="D21" s="1" t="s">
        <v>318</v>
      </c>
      <c r="E21" s="1" t="s">
        <v>301</v>
      </c>
      <c r="F21" s="1" t="s">
        <v>434</v>
      </c>
      <c r="G21" s="1" t="str">
        <f>_xlfn.XLOOKUP(DB07_baselinesequence[[#This Row],[basesequence-ID]],DB06_baseline[ID],DB06_baseline[Baseline],"",0)</f>
        <v>CACCGGGTCTAATTAG</v>
      </c>
      <c r="H21" s="1">
        <f>_xlfn.XLOOKUP(DB07_baselinesequence[[#This Row],[basesequence-ID]],DB06_baseline[ID],DB06_baseline[確認済],FALSE,0)</f>
        <v>0</v>
      </c>
      <c r="J21" s="1" t="s">
        <v>183</v>
      </c>
      <c r="K21" s="4">
        <v>44926</v>
      </c>
    </row>
    <row r="22" spans="1:11" x14ac:dyDescent="0.45">
      <c r="A22" s="1">
        <v>21</v>
      </c>
      <c r="B22" s="1" t="str">
        <f>"07-"&amp;LEFT(RIGHTB(REPT(0,4)&amp;_xlfn.BASE(DB07_baselinesequence[[#This Row],[num]],36),4),2)&amp;"-"&amp;RIGHT(RIGHTB(REPT(0,4)&amp;_xlfn.BASE(DB07_baselinesequence[[#This Row],[num]],36),4),2)</f>
        <v>07-00-0L</v>
      </c>
      <c r="C22" s="1" t="s">
        <v>32</v>
      </c>
      <c r="D22" s="1" t="s">
        <v>319</v>
      </c>
      <c r="E22" s="1" t="s">
        <v>321</v>
      </c>
      <c r="F22" s="1" t="s">
        <v>89</v>
      </c>
      <c r="G22" s="1" t="str">
        <f>_xlfn.XLOOKUP(DB07_baselinesequence[[#This Row],[basesequence-ID]],DB06_baseline[ID],DB06_baseline[Baseline],"",0)</f>
        <v>GTATTGCTGAGGA</v>
      </c>
      <c r="H22" s="1" t="b">
        <f>_xlfn.XLOOKUP(DB07_baselinesequence[[#This Row],[basesequence-ID]],DB06_baseline[ID],DB06_baseline[確認済],FALSE,0)</f>
        <v>1</v>
      </c>
      <c r="J22" s="1" t="s">
        <v>224</v>
      </c>
      <c r="K22" s="4">
        <v>44926</v>
      </c>
    </row>
    <row r="23" spans="1:11" x14ac:dyDescent="0.45">
      <c r="A23" s="1">
        <v>22</v>
      </c>
      <c r="B23" s="1" t="str">
        <f>"07-"&amp;LEFT(RIGHTB(REPT(0,4)&amp;_xlfn.BASE(DB07_baselinesequence[[#This Row],[num]],36),4),2)&amp;"-"&amp;RIGHT(RIGHTB(REPT(0,4)&amp;_xlfn.BASE(DB07_baselinesequence[[#This Row],[num]],36),4),2)</f>
        <v>07-00-0M</v>
      </c>
      <c r="C23" s="1" t="s">
        <v>119</v>
      </c>
      <c r="D23" s="1" t="s">
        <v>320</v>
      </c>
      <c r="E23" s="1" t="s">
        <v>322</v>
      </c>
      <c r="F23" s="1" t="s">
        <v>89</v>
      </c>
      <c r="G23" s="1" t="str">
        <f>_xlfn.XLOOKUP(DB07_baselinesequence[[#This Row],[basesequence-ID]],DB06_baseline[ID],DB06_baseline[Baseline],"",0)</f>
        <v>GTATTGCTGAGGA</v>
      </c>
      <c r="H23" s="1" t="b">
        <f>_xlfn.XLOOKUP(DB07_baselinesequence[[#This Row],[basesequence-ID]],DB06_baseline[ID],DB06_baseline[確認済],FALSE,0)</f>
        <v>1</v>
      </c>
      <c r="J23" s="1" t="s">
        <v>225</v>
      </c>
      <c r="K23" s="4">
        <v>44926</v>
      </c>
    </row>
    <row r="24" spans="1:11" x14ac:dyDescent="0.45">
      <c r="A24" s="1">
        <v>31</v>
      </c>
      <c r="B24" s="1" t="str">
        <f>"07-"&amp;LEFT(RIGHTB(REPT(0,4)&amp;_xlfn.BASE(DB07_baselinesequence[[#This Row],[num]],36),4),2)&amp;"-"&amp;RIGHT(RIGHTB(REPT(0,4)&amp;_xlfn.BASE(DB07_baselinesequence[[#This Row],[num]],36),4),2)</f>
        <v>07-00-0V</v>
      </c>
      <c r="C24" s="1" t="s">
        <v>398</v>
      </c>
      <c r="D24" s="1" t="s">
        <v>323</v>
      </c>
      <c r="E24" s="1" t="s">
        <v>324</v>
      </c>
      <c r="F24" s="1" t="s">
        <v>92</v>
      </c>
      <c r="G24" s="1" t="str">
        <f>_xlfn.XLOOKUP(DB07_baselinesequence[[#This Row],[basesequence-ID]],DB06_baseline[ID],DB06_baseline[Baseline],"",0)</f>
        <v>TCCTATCTTCTCTAACAGCTT</v>
      </c>
      <c r="H24" s="1" t="b">
        <f>_xlfn.XLOOKUP(DB07_baselinesequence[[#This Row],[basesequence-ID]],DB06_baseline[ID],DB06_baseline[確認済],FALSE,0)</f>
        <v>1</v>
      </c>
      <c r="J24" s="1" t="s">
        <v>292</v>
      </c>
      <c r="K24" s="4">
        <v>44926</v>
      </c>
    </row>
    <row r="25" spans="1:11" x14ac:dyDescent="0.45">
      <c r="A25" s="1">
        <v>32</v>
      </c>
      <c r="B25" s="1" t="str">
        <f>"07-"&amp;LEFT(RIGHTB(REPT(0,4)&amp;_xlfn.BASE(DB07_baselinesequence[[#This Row],[num]],36),4),2)&amp;"-"&amp;RIGHT(RIGHTB(REPT(0,4)&amp;_xlfn.BASE(DB07_baselinesequence[[#This Row],[num]],36),4),2)</f>
        <v>07-00-0W</v>
      </c>
      <c r="C25" s="1" t="s">
        <v>397</v>
      </c>
      <c r="D25" s="1" t="s">
        <v>323</v>
      </c>
      <c r="E25" s="1" t="s">
        <v>324</v>
      </c>
      <c r="F25" s="1" t="s">
        <v>93</v>
      </c>
      <c r="G25" s="1" t="str">
        <f>_xlfn.XLOOKUP(DB07_baselinesequence[[#This Row],[basesequence-ID]],DB06_baseline[ID],DB06_baseline[Baseline],"",0)</f>
        <v>GCTGTTAGAGAAGATAGGATT</v>
      </c>
      <c r="H25" s="1" t="b">
        <f>_xlfn.XLOOKUP(DB07_baselinesequence[[#This Row],[basesequence-ID]],DB06_baseline[ID],DB06_baseline[確認済],FALSE,0)</f>
        <v>1</v>
      </c>
      <c r="J25" s="1" t="s">
        <v>208</v>
      </c>
      <c r="K25" s="4">
        <v>44926</v>
      </c>
    </row>
    <row r="26" spans="1:11" x14ac:dyDescent="0.45">
      <c r="A26" s="1">
        <v>33</v>
      </c>
      <c r="B26" s="1" t="str">
        <f>"07-"&amp;LEFT(RIGHTB(REPT(0,4)&amp;_xlfn.BASE(DB07_baselinesequence[[#This Row],[num]],36),4),2)&amp;"-"&amp;RIGHT(RIGHTB(REPT(0,4)&amp;_xlfn.BASE(DB07_baselinesequence[[#This Row],[num]],36),4),2)</f>
        <v>07-00-0X</v>
      </c>
      <c r="C26" s="1" t="s">
        <v>399</v>
      </c>
      <c r="D26" s="1" t="s">
        <v>323</v>
      </c>
      <c r="E26" s="1" t="s">
        <v>324</v>
      </c>
      <c r="F26" s="1" t="s">
        <v>94</v>
      </c>
      <c r="G26" s="1" t="str">
        <f>_xlfn.XLOOKUP(DB07_baselinesequence[[#This Row],[basesequence-ID]],DB06_baseline[ID],DB06_baseline[Baseline],"",0)</f>
        <v>TGTGGATAAAGCTTGGTAGTT</v>
      </c>
      <c r="H26" s="1" t="b">
        <f>_xlfn.XLOOKUP(DB07_baselinesequence[[#This Row],[basesequence-ID]],DB06_baseline[ID],DB06_baseline[確認済],FALSE,0)</f>
        <v>1</v>
      </c>
      <c r="J26" s="1" t="s">
        <v>293</v>
      </c>
      <c r="K26" s="4">
        <v>44926</v>
      </c>
    </row>
    <row r="27" spans="1:11" x14ac:dyDescent="0.45">
      <c r="A27" s="1">
        <v>34</v>
      </c>
      <c r="B27" s="1" t="str">
        <f>"07-"&amp;LEFT(RIGHTB(REPT(0,4)&amp;_xlfn.BASE(DB07_baselinesequence[[#This Row],[num]],36),4),2)&amp;"-"&amp;RIGHT(RIGHTB(REPT(0,4)&amp;_xlfn.BASE(DB07_baselinesequence[[#This Row],[num]],36),4),2)</f>
        <v>07-00-0Y</v>
      </c>
      <c r="C27" s="1" t="s">
        <v>400</v>
      </c>
      <c r="D27" s="1" t="s">
        <v>323</v>
      </c>
      <c r="E27" s="1" t="s">
        <v>324</v>
      </c>
      <c r="F27" s="1" t="s">
        <v>95</v>
      </c>
      <c r="G27" s="1" t="str">
        <f>_xlfn.XLOOKUP(DB07_baselinesequence[[#This Row],[basesequence-ID]],DB06_baseline[ID],DB06_baseline[Baseline],"",0)</f>
        <v>CTACCAAGCTTTATCCACATT</v>
      </c>
      <c r="H27" s="1" t="b">
        <f>_xlfn.XLOOKUP(DB07_baselinesequence[[#This Row],[basesequence-ID]],DB06_baseline[ID],DB06_baseline[確認済],FALSE,0)</f>
        <v>1</v>
      </c>
      <c r="J27" s="1" t="s">
        <v>209</v>
      </c>
      <c r="K27" s="4">
        <v>44926</v>
      </c>
    </row>
    <row r="28" spans="1:11" x14ac:dyDescent="0.45">
      <c r="A28" s="1">
        <v>35</v>
      </c>
      <c r="B28" s="1" t="str">
        <f>"07-"&amp;LEFT(RIGHTB(REPT(0,4)&amp;_xlfn.BASE(DB07_baselinesequence[[#This Row],[num]],36),4),2)&amp;"-"&amp;RIGHT(RIGHTB(REPT(0,4)&amp;_xlfn.BASE(DB07_baselinesequence[[#This Row],[num]],36),4),2)</f>
        <v>07-00-0Z</v>
      </c>
      <c r="C28" s="1" t="s">
        <v>18</v>
      </c>
      <c r="D28" s="1" t="s">
        <v>325</v>
      </c>
      <c r="E28" s="1" t="s">
        <v>321</v>
      </c>
      <c r="F28" s="1" t="s">
        <v>96</v>
      </c>
      <c r="G28" s="1" t="str">
        <f>_xlfn.XLOOKUP(DB07_baselinesequence[[#This Row],[basesequence-ID]],DB06_baseline[ID],DB06_baseline[Baseline],"",0)</f>
        <v>GCATTGGTATTCA</v>
      </c>
      <c r="H28" s="1" t="b">
        <f>_xlfn.XLOOKUP(DB07_baselinesequence[[#This Row],[basesequence-ID]],DB06_baseline[ID],DB06_baseline[確認済],FALSE,0)</f>
        <v>1</v>
      </c>
      <c r="J28" s="1" t="s">
        <v>226</v>
      </c>
      <c r="K28" s="4">
        <v>44926</v>
      </c>
    </row>
    <row r="29" spans="1:11" x14ac:dyDescent="0.45">
      <c r="A29" s="1">
        <v>36</v>
      </c>
      <c r="B29" s="1" t="str">
        <f>"07-"&amp;LEFT(RIGHTB(REPT(0,4)&amp;_xlfn.BASE(DB07_baselinesequence[[#This Row],[num]],36),4),2)&amp;"-"&amp;RIGHT(RIGHTB(REPT(0,4)&amp;_xlfn.BASE(DB07_baselinesequence[[#This Row],[num]],36),4),2)</f>
        <v>07-00-10</v>
      </c>
      <c r="C29" s="1" t="s">
        <v>120</v>
      </c>
      <c r="D29" s="1" t="s">
        <v>343</v>
      </c>
      <c r="E29" s="1" t="s">
        <v>326</v>
      </c>
      <c r="F29" s="1" t="s">
        <v>436</v>
      </c>
      <c r="G29" s="1" t="str">
        <f>_xlfn.XLOOKUP(DB07_baselinesequence[[#This Row],[basesequence-ID]],DB06_baseline[ID],DB06_baseline[Baseline],"",0)</f>
        <v>TGAATACCAATGC</v>
      </c>
      <c r="H29" s="1">
        <f>_xlfn.XLOOKUP(DB07_baselinesequence[[#This Row],[basesequence-ID]],DB06_baseline[ID],DB06_baseline[確認済],FALSE,0)</f>
        <v>0</v>
      </c>
      <c r="J29" s="1" t="s">
        <v>227</v>
      </c>
      <c r="K29" s="4">
        <v>44926</v>
      </c>
    </row>
    <row r="30" spans="1:11" x14ac:dyDescent="0.45">
      <c r="A30" s="1">
        <v>37</v>
      </c>
      <c r="B30" s="1" t="str">
        <f>"07-"&amp;LEFT(RIGHTB(REPT(0,4)&amp;_xlfn.BASE(DB07_baselinesequence[[#This Row],[num]],36),4),2)&amp;"-"&amp;RIGHT(RIGHTB(REPT(0,4)&amp;_xlfn.BASE(DB07_baselinesequence[[#This Row],[num]],36),4),2)</f>
        <v>07-00-11</v>
      </c>
      <c r="C30" s="1" t="s">
        <v>247</v>
      </c>
      <c r="D30" s="1" t="s">
        <v>327</v>
      </c>
      <c r="E30" s="1" t="s">
        <v>328</v>
      </c>
      <c r="F30" s="1" t="s">
        <v>436</v>
      </c>
      <c r="G30" s="1" t="str">
        <f>_xlfn.XLOOKUP(DB07_baselinesequence[[#This Row],[basesequence-ID]],DB06_baseline[ID],DB06_baseline[Baseline],"",0)</f>
        <v>TGAATACCAATGC</v>
      </c>
      <c r="H30" s="1">
        <f>_xlfn.XLOOKUP(DB07_baselinesequence[[#This Row],[basesequence-ID]],DB06_baseline[ID],DB06_baseline[確認済],FALSE,0)</f>
        <v>0</v>
      </c>
      <c r="J30" s="1" t="s">
        <v>232</v>
      </c>
      <c r="K30" s="4">
        <v>44926</v>
      </c>
    </row>
    <row r="31" spans="1:11" x14ac:dyDescent="0.45">
      <c r="A31" s="1">
        <v>38</v>
      </c>
      <c r="B31" s="1" t="str">
        <f>"07-"&amp;LEFT(RIGHTB(REPT(0,4)&amp;_xlfn.BASE(DB07_baselinesequence[[#This Row],[num]],36),4),2)&amp;"-"&amp;RIGHT(RIGHTB(REPT(0,4)&amp;_xlfn.BASE(DB07_baselinesequence[[#This Row],[num]],36),4),2)</f>
        <v>07-00-12</v>
      </c>
      <c r="C31" s="1" t="s">
        <v>248</v>
      </c>
      <c r="D31" s="1" t="s">
        <v>327</v>
      </c>
      <c r="E31" s="1" t="s">
        <v>330</v>
      </c>
      <c r="F31" s="1" t="s">
        <v>436</v>
      </c>
      <c r="G31" s="1" t="str">
        <f>_xlfn.XLOOKUP(DB07_baselinesequence[[#This Row],[basesequence-ID]],DB06_baseline[ID],DB06_baseline[Baseline],"",0)</f>
        <v>TGAATACCAATGC</v>
      </c>
      <c r="H31" s="1">
        <f>_xlfn.XLOOKUP(DB07_baselinesequence[[#This Row],[basesequence-ID]],DB06_baseline[ID],DB06_baseline[確認済],FALSE,0)</f>
        <v>0</v>
      </c>
      <c r="J31" s="1" t="s">
        <v>233</v>
      </c>
      <c r="K31" s="4">
        <v>44926</v>
      </c>
    </row>
    <row r="32" spans="1:11" x14ac:dyDescent="0.45">
      <c r="A32" s="1">
        <v>39</v>
      </c>
      <c r="B32" s="1" t="str">
        <f>"07-"&amp;LEFT(RIGHTB(REPT(0,4)&amp;_xlfn.BASE(DB07_baselinesequence[[#This Row],[num]],36),4),2)&amp;"-"&amp;RIGHT(RIGHTB(REPT(0,4)&amp;_xlfn.BASE(DB07_baselinesequence[[#This Row],[num]],36),4),2)</f>
        <v>07-00-13</v>
      </c>
      <c r="C32" s="1" t="s">
        <v>249</v>
      </c>
      <c r="D32" s="1" t="s">
        <v>327</v>
      </c>
      <c r="E32" s="1" t="s">
        <v>329</v>
      </c>
      <c r="F32" s="1" t="s">
        <v>436</v>
      </c>
      <c r="G32" s="1" t="str">
        <f>_xlfn.XLOOKUP(DB07_baselinesequence[[#This Row],[basesequence-ID]],DB06_baseline[ID],DB06_baseline[Baseline],"",0)</f>
        <v>TGAATACCAATGC</v>
      </c>
      <c r="H32" s="1">
        <f>_xlfn.XLOOKUP(DB07_baselinesequence[[#This Row],[basesequence-ID]],DB06_baseline[ID],DB06_baseline[確認済],FALSE,0)</f>
        <v>0</v>
      </c>
      <c r="J32" s="1" t="s">
        <v>234</v>
      </c>
      <c r="K32" s="4">
        <v>44926</v>
      </c>
    </row>
    <row r="33" spans="1:11" x14ac:dyDescent="0.45">
      <c r="A33" s="1">
        <v>40</v>
      </c>
      <c r="B33" s="1" t="str">
        <f>"07-"&amp;LEFT(RIGHTB(REPT(0,4)&amp;_xlfn.BASE(DB07_baselinesequence[[#This Row],[num]],36),4),2)&amp;"-"&amp;RIGHT(RIGHTB(REPT(0,4)&amp;_xlfn.BASE(DB07_baselinesequence[[#This Row],[num]],36),4),2)</f>
        <v>07-00-14</v>
      </c>
      <c r="C33" s="1" t="s">
        <v>184</v>
      </c>
      <c r="D33" s="1" t="s">
        <v>331</v>
      </c>
      <c r="E33" s="1" t="s">
        <v>332</v>
      </c>
      <c r="F33" s="1" t="s">
        <v>425</v>
      </c>
      <c r="G33" s="1" t="str">
        <f>_xlfn.XLOOKUP(DB07_baselinesequence[[#This Row],[basesequence-ID]],DB06_baseline[ID],DB06_baseline[Baseline],"",0)</f>
        <v>GCATTCAGTGAACTAG</v>
      </c>
      <c r="H33" s="1">
        <f>_xlfn.XLOOKUP(DB07_baselinesequence[[#This Row],[basesequence-ID]],DB06_baseline[ID],DB06_baseline[確認済],FALSE,0)</f>
        <v>0</v>
      </c>
      <c r="J33" s="1" t="s">
        <v>185</v>
      </c>
      <c r="K33" s="4">
        <v>44926</v>
      </c>
    </row>
    <row r="34" spans="1:11" x14ac:dyDescent="0.45">
      <c r="A34" s="1">
        <v>41</v>
      </c>
      <c r="B34" s="1" t="str">
        <f>"07-"&amp;LEFT(RIGHTB(REPT(0,4)&amp;_xlfn.BASE(DB07_baselinesequence[[#This Row],[num]],36),4),2)&amp;"-"&amp;RIGHT(RIGHTB(REPT(0,4)&amp;_xlfn.BASE(DB07_baselinesequence[[#This Row],[num]],36),4),2)</f>
        <v>07-00-15</v>
      </c>
      <c r="C34" s="1" t="s">
        <v>121</v>
      </c>
      <c r="D34" s="1" t="s">
        <v>331</v>
      </c>
      <c r="E34" s="1" t="s">
        <v>333</v>
      </c>
      <c r="F34" s="1" t="s">
        <v>425</v>
      </c>
      <c r="G34" s="1" t="str">
        <f>_xlfn.XLOOKUP(DB07_baselinesequence[[#This Row],[basesequence-ID]],DB06_baseline[ID],DB06_baseline[Baseline],"",0)</f>
        <v>GCATTCAGTGAACTAG</v>
      </c>
      <c r="H34" s="1">
        <f>_xlfn.XLOOKUP(DB07_baselinesequence[[#This Row],[basesequence-ID]],DB06_baseline[ID],DB06_baseline[確認済],FALSE,0)</f>
        <v>0</v>
      </c>
      <c r="J34" s="1" t="s">
        <v>186</v>
      </c>
      <c r="K34" s="4">
        <v>44926</v>
      </c>
    </row>
    <row r="35" spans="1:11" x14ac:dyDescent="0.45">
      <c r="A35" s="1">
        <v>42</v>
      </c>
      <c r="B35" s="1" t="str">
        <f>"07-"&amp;LEFT(RIGHTB(REPT(0,4)&amp;_xlfn.BASE(DB07_baselinesequence[[#This Row],[num]],36),4),2)&amp;"-"&amp;RIGHT(RIGHTB(REPT(0,4)&amp;_xlfn.BASE(DB07_baselinesequence[[#This Row],[num]],36),4),2)</f>
        <v>07-00-16</v>
      </c>
      <c r="C35" s="1" t="s">
        <v>122</v>
      </c>
      <c r="D35" s="1" t="s">
        <v>331</v>
      </c>
      <c r="E35" s="1" t="s">
        <v>334</v>
      </c>
      <c r="F35" s="1" t="s">
        <v>425</v>
      </c>
      <c r="G35" s="1" t="str">
        <f>_xlfn.XLOOKUP(DB07_baselinesequence[[#This Row],[basesequence-ID]],DB06_baseline[ID],DB06_baseline[Baseline],"",0)</f>
        <v>GCATTCAGTGAACTAG</v>
      </c>
      <c r="H35" s="1">
        <f>_xlfn.XLOOKUP(DB07_baselinesequence[[#This Row],[basesequence-ID]],DB06_baseline[ID],DB06_baseline[確認済],FALSE,0)</f>
        <v>0</v>
      </c>
      <c r="J35" s="1" t="s">
        <v>187</v>
      </c>
      <c r="K35" s="4">
        <v>44926</v>
      </c>
    </row>
    <row r="36" spans="1:11" x14ac:dyDescent="0.45">
      <c r="A36" s="1">
        <v>43</v>
      </c>
      <c r="B36" s="1" t="str">
        <f>"07-"&amp;LEFT(RIGHTB(REPT(0,4)&amp;_xlfn.BASE(DB07_baselinesequence[[#This Row],[num]],36),4),2)&amp;"-"&amp;RIGHT(RIGHTB(REPT(0,4)&amp;_xlfn.BASE(DB07_baselinesequence[[#This Row],[num]],36),4),2)</f>
        <v>07-00-17</v>
      </c>
      <c r="C36" s="1" t="s">
        <v>123</v>
      </c>
      <c r="D36" s="1" t="s">
        <v>331</v>
      </c>
      <c r="E36" s="1" t="s">
        <v>335</v>
      </c>
      <c r="F36" s="1" t="s">
        <v>425</v>
      </c>
      <c r="G36" s="1" t="str">
        <f>_xlfn.XLOOKUP(DB07_baselinesequence[[#This Row],[basesequence-ID]],DB06_baseline[ID],DB06_baseline[Baseline],"",0)</f>
        <v>GCATTCAGTGAACTAG</v>
      </c>
      <c r="H36" s="1">
        <f>_xlfn.XLOOKUP(DB07_baselinesequence[[#This Row],[basesequence-ID]],DB06_baseline[ID],DB06_baseline[確認済],FALSE,0)</f>
        <v>0</v>
      </c>
      <c r="J36" s="1" t="s">
        <v>188</v>
      </c>
      <c r="K36" s="4">
        <v>44926</v>
      </c>
    </row>
    <row r="37" spans="1:11" x14ac:dyDescent="0.45">
      <c r="A37" s="1">
        <v>44</v>
      </c>
      <c r="B37" s="1" t="str">
        <f>"07-"&amp;LEFT(RIGHTB(REPT(0,4)&amp;_xlfn.BASE(DB07_baselinesequence[[#This Row],[num]],36),4),2)&amp;"-"&amp;RIGHT(RIGHTB(REPT(0,4)&amp;_xlfn.BASE(DB07_baselinesequence[[#This Row],[num]],36),4),2)</f>
        <v>07-00-18</v>
      </c>
      <c r="C37" s="1" t="s">
        <v>124</v>
      </c>
      <c r="D37" s="1" t="s">
        <v>331</v>
      </c>
      <c r="E37" s="1" t="s">
        <v>336</v>
      </c>
      <c r="F37" s="1" t="s">
        <v>425</v>
      </c>
      <c r="G37" s="1" t="str">
        <f>_xlfn.XLOOKUP(DB07_baselinesequence[[#This Row],[basesequence-ID]],DB06_baseline[ID],DB06_baseline[Baseline],"",0)</f>
        <v>GCATTCAGTGAACTAG</v>
      </c>
      <c r="H37" s="1">
        <f>_xlfn.XLOOKUP(DB07_baselinesequence[[#This Row],[basesequence-ID]],DB06_baseline[ID],DB06_baseline[確認済],FALSE,0)</f>
        <v>0</v>
      </c>
      <c r="J37" s="1" t="s">
        <v>189</v>
      </c>
      <c r="K37" s="4">
        <v>44926</v>
      </c>
    </row>
    <row r="38" spans="1:11" x14ac:dyDescent="0.45">
      <c r="A38" s="1">
        <v>45</v>
      </c>
      <c r="B38" s="1" t="str">
        <f>"07-"&amp;LEFT(RIGHTB(REPT(0,4)&amp;_xlfn.BASE(DB07_baselinesequence[[#This Row],[num]],36),4),2)&amp;"-"&amp;RIGHT(RIGHTB(REPT(0,4)&amp;_xlfn.BASE(DB07_baselinesequence[[#This Row],[num]],36),4),2)</f>
        <v>07-00-19</v>
      </c>
      <c r="C38" s="1" t="s">
        <v>125</v>
      </c>
      <c r="D38" s="1" t="s">
        <v>331</v>
      </c>
      <c r="E38" s="1" t="s">
        <v>337</v>
      </c>
      <c r="F38" s="1" t="s">
        <v>425</v>
      </c>
      <c r="G38" s="1" t="str">
        <f>_xlfn.XLOOKUP(DB07_baselinesequence[[#This Row],[basesequence-ID]],DB06_baseline[ID],DB06_baseline[Baseline],"",0)</f>
        <v>GCATTCAGTGAACTAG</v>
      </c>
      <c r="H38" s="1">
        <f>_xlfn.XLOOKUP(DB07_baselinesequence[[#This Row],[basesequence-ID]],DB06_baseline[ID],DB06_baseline[確認済],FALSE,0)</f>
        <v>0</v>
      </c>
      <c r="J38" s="1" t="s">
        <v>190</v>
      </c>
      <c r="K38" s="4">
        <v>44926</v>
      </c>
    </row>
    <row r="39" spans="1:11" x14ac:dyDescent="0.45">
      <c r="A39" s="1">
        <v>46</v>
      </c>
      <c r="B39" s="1" t="str">
        <f>"07-"&amp;LEFT(RIGHTB(REPT(0,4)&amp;_xlfn.BASE(DB07_baselinesequence[[#This Row],[num]],36),4),2)&amp;"-"&amp;RIGHT(RIGHTB(REPT(0,4)&amp;_xlfn.BASE(DB07_baselinesequence[[#This Row],[num]],36),4),2)</f>
        <v>07-00-1A</v>
      </c>
      <c r="C39" s="1" t="s">
        <v>126</v>
      </c>
      <c r="D39" s="1" t="s">
        <v>331</v>
      </c>
      <c r="E39" s="1" t="s">
        <v>339</v>
      </c>
      <c r="F39" s="1" t="s">
        <v>425</v>
      </c>
      <c r="G39" s="1" t="str">
        <f>_xlfn.XLOOKUP(DB07_baselinesequence[[#This Row],[basesequence-ID]],DB06_baseline[ID],DB06_baseline[Baseline],"",0)</f>
        <v>GCATTCAGTGAACTAG</v>
      </c>
      <c r="H39" s="1">
        <f>_xlfn.XLOOKUP(DB07_baselinesequence[[#This Row],[basesequence-ID]],DB06_baseline[ID],DB06_baseline[確認済],FALSE,0)</f>
        <v>0</v>
      </c>
      <c r="J39" s="1" t="s">
        <v>191</v>
      </c>
      <c r="K39" s="4">
        <v>44926</v>
      </c>
    </row>
    <row r="40" spans="1:11" x14ac:dyDescent="0.45">
      <c r="A40" s="1">
        <v>47</v>
      </c>
      <c r="B40" s="1" t="str">
        <f>"07-"&amp;LEFT(RIGHTB(REPT(0,4)&amp;_xlfn.BASE(DB07_baselinesequence[[#This Row],[num]],36),4),2)&amp;"-"&amp;RIGHT(RIGHTB(REPT(0,4)&amp;_xlfn.BASE(DB07_baselinesequence[[#This Row],[num]],36),4),2)</f>
        <v>07-00-1B</v>
      </c>
      <c r="C40" s="1" t="s">
        <v>127</v>
      </c>
      <c r="D40" s="1" t="s">
        <v>331</v>
      </c>
      <c r="E40" s="1" t="s">
        <v>338</v>
      </c>
      <c r="F40" s="1" t="s">
        <v>425</v>
      </c>
      <c r="G40" s="1" t="str">
        <f>_xlfn.XLOOKUP(DB07_baselinesequence[[#This Row],[basesequence-ID]],DB06_baseline[ID],DB06_baseline[Baseline],"",0)</f>
        <v>GCATTCAGTGAACTAG</v>
      </c>
      <c r="H40" s="1">
        <f>_xlfn.XLOOKUP(DB07_baselinesequence[[#This Row],[basesequence-ID]],DB06_baseline[ID],DB06_baseline[確認済],FALSE,0)</f>
        <v>0</v>
      </c>
      <c r="J40" s="1" t="s">
        <v>192</v>
      </c>
      <c r="K40" s="4">
        <v>44926</v>
      </c>
    </row>
    <row r="41" spans="1:11" x14ac:dyDescent="0.45">
      <c r="A41" s="1">
        <v>50</v>
      </c>
      <c r="B41" s="1" t="str">
        <f>"07-"&amp;LEFT(RIGHTB(REPT(0,4)&amp;_xlfn.BASE(DB07_baselinesequence[[#This Row],[num]],36),4),2)&amp;"-"&amp;RIGHT(RIGHTB(REPT(0,4)&amp;_xlfn.BASE(DB07_baselinesequence[[#This Row],[num]],36),4),2)</f>
        <v>07-00-1E</v>
      </c>
      <c r="C41" s="1" t="s">
        <v>58</v>
      </c>
      <c r="D41" s="1" t="s">
        <v>341</v>
      </c>
      <c r="E41" s="1" t="s">
        <v>340</v>
      </c>
      <c r="F41" s="1" t="s">
        <v>98</v>
      </c>
      <c r="G41" s="1" t="str">
        <f>_xlfn.XLOOKUP(DB07_baselinesequence[[#This Row],[basesequence-ID]],DB06_baseline[ID],DB06_baseline[Baseline],"",0)</f>
        <v>GCGGATACTACAGCTT</v>
      </c>
      <c r="H41" s="1" t="b">
        <f>_xlfn.XLOOKUP(DB07_baselinesequence[[#This Row],[basesequence-ID]],DB06_baseline[ID],DB06_baseline[確認済],FALSE,0)</f>
        <v>1</v>
      </c>
      <c r="J41" s="1" t="s">
        <v>193</v>
      </c>
      <c r="K41" s="4">
        <v>44926</v>
      </c>
    </row>
    <row r="42" spans="1:11" x14ac:dyDescent="0.45">
      <c r="A42" s="1">
        <v>51</v>
      </c>
      <c r="B42" s="1" t="str">
        <f>"07-"&amp;LEFT(RIGHTB(REPT(0,4)&amp;_xlfn.BASE(DB07_baselinesequence[[#This Row],[num]],36),4),2)&amp;"-"&amp;RIGHT(RIGHTB(REPT(0,4)&amp;_xlfn.BASE(DB07_baselinesequence[[#This Row],[num]],36),4),2)</f>
        <v>07-00-1F</v>
      </c>
      <c r="C42" s="1" t="s">
        <v>128</v>
      </c>
      <c r="D42" s="1" t="s">
        <v>342</v>
      </c>
      <c r="E42" s="1" t="s">
        <v>379</v>
      </c>
      <c r="F42" s="1" t="s">
        <v>438</v>
      </c>
      <c r="G42" s="1" t="str">
        <f>_xlfn.XLOOKUP(DB07_baselinesequence[[#This Row],[basesequence-ID]],DB06_baseline[ID],DB06_baseline[Baseline],"",0)</f>
        <v>AAGCTGTAGTATCCGC</v>
      </c>
      <c r="H42" s="1">
        <f>_xlfn.XLOOKUP(DB07_baselinesequence[[#This Row],[basesequence-ID]],DB06_baseline[ID],DB06_baseline[確認済],FALSE,0)</f>
        <v>0</v>
      </c>
      <c r="J42" s="1" t="s">
        <v>194</v>
      </c>
      <c r="K42" s="4">
        <v>44926</v>
      </c>
    </row>
    <row r="43" spans="1:11" x14ac:dyDescent="0.45">
      <c r="A43" s="1">
        <v>52</v>
      </c>
      <c r="B43" s="1" t="str">
        <f>"07-"&amp;LEFT(RIGHTB(REPT(0,4)&amp;_xlfn.BASE(DB07_baselinesequence[[#This Row],[num]],36),4),2)&amp;"-"&amp;RIGHT(RIGHTB(REPT(0,4)&amp;_xlfn.BASE(DB07_baselinesequence[[#This Row],[num]],36),4),2)</f>
        <v>07-00-1G</v>
      </c>
      <c r="C43" s="1" t="s">
        <v>401</v>
      </c>
      <c r="D43" s="1" t="s">
        <v>347</v>
      </c>
      <c r="F43" s="1" t="s">
        <v>99</v>
      </c>
      <c r="G43" s="1" t="str">
        <f>_xlfn.XLOOKUP(DB07_baselinesequence[[#This Row],[basesequence-ID]],DB06_baseline[ID],DB06_baseline[Baseline],"",0)</f>
        <v>GGCATTGCTCTCAATGACAAT</v>
      </c>
      <c r="H43" s="1" t="b">
        <f>_xlfn.XLOOKUP(DB07_baselinesequence[[#This Row],[basesequence-ID]],DB06_baseline[ID],DB06_baseline[確認済],FALSE,0)</f>
        <v>1</v>
      </c>
      <c r="J43" s="1" t="s">
        <v>294</v>
      </c>
      <c r="K43" s="4">
        <v>44926</v>
      </c>
    </row>
    <row r="44" spans="1:11" x14ac:dyDescent="0.45">
      <c r="A44" s="1">
        <v>53</v>
      </c>
      <c r="B44" s="1" t="str">
        <f>"07-"&amp;LEFT(RIGHTB(REPT(0,4)&amp;_xlfn.BASE(DB07_baselinesequence[[#This Row],[num]],36),4),2)&amp;"-"&amp;RIGHT(RIGHTB(REPT(0,4)&amp;_xlfn.BASE(DB07_baselinesequence[[#This Row],[num]],36),4),2)</f>
        <v>07-00-1H</v>
      </c>
      <c r="C44" s="1" t="s">
        <v>402</v>
      </c>
      <c r="D44" s="1" t="s">
        <v>347</v>
      </c>
      <c r="F44" s="1" t="s">
        <v>100</v>
      </c>
      <c r="G44" s="1" t="str">
        <f>_xlfn.XLOOKUP(DB07_baselinesequence[[#This Row],[basesequence-ID]],DB06_baseline[ID],DB06_baseline[Baseline],"",0)</f>
        <v>ATTGTCATTGAGAGCAATGCCAG</v>
      </c>
      <c r="H44" s="1" t="b">
        <f>_xlfn.XLOOKUP(DB07_baselinesequence[[#This Row],[basesequence-ID]],DB06_baseline[ID],DB06_baseline[確認済],FALSE,0)</f>
        <v>1</v>
      </c>
      <c r="J44" s="1" t="s">
        <v>295</v>
      </c>
      <c r="K44" s="4">
        <v>44926</v>
      </c>
    </row>
    <row r="45" spans="1:11" x14ac:dyDescent="0.45">
      <c r="A45" s="1">
        <v>54</v>
      </c>
      <c r="B45" s="1" t="str">
        <f>"07-"&amp;LEFT(RIGHTB(REPT(0,4)&amp;_xlfn.BASE(DB07_baselinesequence[[#This Row],[num]],36),4),2)&amp;"-"&amp;RIGHT(RIGHTB(REPT(0,4)&amp;_xlfn.BASE(DB07_baselinesequence[[#This Row],[num]],36),4),2)</f>
        <v>07-00-1I</v>
      </c>
      <c r="C45" s="1" t="s">
        <v>129</v>
      </c>
      <c r="D45" s="1" t="s">
        <v>349</v>
      </c>
      <c r="E45" s="1" t="s">
        <v>313</v>
      </c>
      <c r="F45" s="1" t="s">
        <v>101</v>
      </c>
      <c r="G45" s="1" t="str">
        <f>_xlfn.XLOOKUP(DB07_baselinesequence[[#This Row],[basesequence-ID]],DB06_baseline[ID],DB06_baseline[Baseline],"",0)</f>
        <v>GTTATGCCACCCTA</v>
      </c>
      <c r="H45" s="1" t="b">
        <f>_xlfn.XLOOKUP(DB07_baselinesequence[[#This Row],[basesequence-ID]],DB06_baseline[ID],DB06_baseline[確認済],FALSE,0)</f>
        <v>1</v>
      </c>
      <c r="J45" s="1" t="s">
        <v>228</v>
      </c>
      <c r="K45" s="4">
        <v>44926</v>
      </c>
    </row>
    <row r="46" spans="1:11" x14ac:dyDescent="0.45">
      <c r="A46" s="1">
        <v>55</v>
      </c>
      <c r="B46" s="1" t="str">
        <f>"07-"&amp;LEFT(RIGHTB(REPT(0,4)&amp;_xlfn.BASE(DB07_baselinesequence[[#This Row],[num]],36),4),2)&amp;"-"&amp;RIGHT(RIGHTB(REPT(0,4)&amp;_xlfn.BASE(DB07_baselinesequence[[#This Row],[num]],36),4),2)</f>
        <v>07-00-1J</v>
      </c>
      <c r="C46" s="1" t="s">
        <v>130</v>
      </c>
      <c r="D46" s="1" t="s">
        <v>351</v>
      </c>
      <c r="E46" s="1" t="s">
        <v>314</v>
      </c>
      <c r="F46" s="1" t="s">
        <v>101</v>
      </c>
      <c r="G46" s="1" t="str">
        <f>_xlfn.XLOOKUP(DB07_baselinesequence[[#This Row],[basesequence-ID]],DB06_baseline[ID],DB06_baseline[Baseline],"",0)</f>
        <v>GTTATGCCACCCTA</v>
      </c>
      <c r="H46" s="1" t="b">
        <f>_xlfn.XLOOKUP(DB07_baselinesequence[[#This Row],[basesequence-ID]],DB06_baseline[ID],DB06_baseline[確認済],FALSE,0)</f>
        <v>1</v>
      </c>
      <c r="J46" s="1" t="s">
        <v>229</v>
      </c>
      <c r="K46" s="4">
        <v>44926</v>
      </c>
    </row>
    <row r="47" spans="1:11" x14ac:dyDescent="0.45">
      <c r="A47" s="1">
        <v>56</v>
      </c>
      <c r="B47" s="1" t="str">
        <f>"07-"&amp;LEFT(RIGHTB(REPT(0,4)&amp;_xlfn.BASE(DB07_baselinesequence[[#This Row],[num]],36),4),2)&amp;"-"&amp;RIGHT(RIGHTB(REPT(0,4)&amp;_xlfn.BASE(DB07_baselinesequence[[#This Row],[num]],36),4),2)</f>
        <v>07-00-1K</v>
      </c>
      <c r="C47" s="1" t="s">
        <v>131</v>
      </c>
      <c r="D47" s="1" t="s">
        <v>350</v>
      </c>
      <c r="E47" s="1" t="s">
        <v>352</v>
      </c>
      <c r="F47" s="1" t="s">
        <v>101</v>
      </c>
      <c r="G47" s="1" t="str">
        <f>_xlfn.XLOOKUP(DB07_baselinesequence[[#This Row],[basesequence-ID]],DB06_baseline[ID],DB06_baseline[Baseline],"",0)</f>
        <v>GTTATGCCACCCTA</v>
      </c>
      <c r="H47" s="1" t="b">
        <f>_xlfn.XLOOKUP(DB07_baselinesequence[[#This Row],[basesequence-ID]],DB06_baseline[ID],DB06_baseline[確認済],FALSE,0)</f>
        <v>1</v>
      </c>
      <c r="J47" s="1" t="s">
        <v>230</v>
      </c>
      <c r="K47" s="4">
        <v>44926</v>
      </c>
    </row>
    <row r="48" spans="1:11" x14ac:dyDescent="0.45">
      <c r="A48" s="1">
        <v>57</v>
      </c>
      <c r="B48" s="1" t="str">
        <f>"07-"&amp;LEFT(RIGHTB(REPT(0,4)&amp;_xlfn.BASE(DB07_baselinesequence[[#This Row],[num]],36),4),2)&amp;"-"&amp;RIGHT(RIGHTB(REPT(0,4)&amp;_xlfn.BASE(DB07_baselinesequence[[#This Row],[num]],36),4),2)</f>
        <v>07-00-1L</v>
      </c>
      <c r="C48" s="1" t="s">
        <v>132</v>
      </c>
      <c r="D48" s="1" t="s">
        <v>348</v>
      </c>
      <c r="E48" s="1" t="s">
        <v>353</v>
      </c>
      <c r="F48" s="1" t="s">
        <v>440</v>
      </c>
      <c r="G48" s="1" t="str">
        <f>_xlfn.XLOOKUP(DB07_baselinesequence[[#This Row],[basesequence-ID]],DB06_baseline[ID],DB06_baseline[Baseline],"",0)</f>
        <v>TAGGGTGGCATAAC</v>
      </c>
      <c r="H48" s="1">
        <f>_xlfn.XLOOKUP(DB07_baselinesequence[[#This Row],[basesequence-ID]],DB06_baseline[ID],DB06_baseline[確認済],FALSE,0)</f>
        <v>0</v>
      </c>
      <c r="J48" s="1" t="s">
        <v>231</v>
      </c>
      <c r="K48" s="4">
        <v>44926</v>
      </c>
    </row>
    <row r="49" spans="1:12" x14ac:dyDescent="0.45">
      <c r="A49" s="1">
        <v>58</v>
      </c>
      <c r="B49" s="1" t="str">
        <f>"07-"&amp;LEFT(RIGHTB(REPT(0,4)&amp;_xlfn.BASE(DB07_baselinesequence[[#This Row],[num]],36),4),2)&amp;"-"&amp;RIGHT(RIGHTB(REPT(0,4)&amp;_xlfn.BASE(DB07_baselinesequence[[#This Row],[num]],36),4),2)</f>
        <v>07-00-1M</v>
      </c>
      <c r="C49" s="1" t="s">
        <v>15</v>
      </c>
      <c r="D49" s="1" t="s">
        <v>358</v>
      </c>
      <c r="E49" s="1" t="s">
        <v>356</v>
      </c>
      <c r="F49" s="1" t="s">
        <v>102</v>
      </c>
      <c r="G49" s="1" t="str">
        <f>_xlfn.XLOOKUP(DB07_baselinesequence[[#This Row],[basesequence-ID]],DB06_baseline[ID],DB06_baseline[Baseline],"",0)</f>
        <v>TCATGGCTGCAGCT</v>
      </c>
      <c r="H49" s="1" t="b">
        <f>_xlfn.XLOOKUP(DB07_baselinesequence[[#This Row],[basesequence-ID]],DB06_baseline[ID],DB06_baseline[確認済],FALSE,0)</f>
        <v>1</v>
      </c>
      <c r="J49" s="1" t="s">
        <v>195</v>
      </c>
      <c r="K49" s="4">
        <v>44926</v>
      </c>
    </row>
    <row r="50" spans="1:12" x14ac:dyDescent="0.45">
      <c r="A50" s="1">
        <v>59</v>
      </c>
      <c r="B50" s="1" t="str">
        <f>"07-"&amp;LEFT(RIGHTB(REPT(0,4)&amp;_xlfn.BASE(DB07_baselinesequence[[#This Row],[num]],36),4),2)&amp;"-"&amp;RIGHT(RIGHTB(REPT(0,4)&amp;_xlfn.BASE(DB07_baselinesequence[[#This Row],[num]],36),4),2)</f>
        <v>07-00-1N</v>
      </c>
      <c r="C50" s="1" t="s">
        <v>133</v>
      </c>
      <c r="D50" s="1" t="s">
        <v>359</v>
      </c>
      <c r="E50" s="1" t="s">
        <v>357</v>
      </c>
      <c r="F50" s="1" t="s">
        <v>442</v>
      </c>
      <c r="G50" s="1" t="str">
        <f>_xlfn.XLOOKUP(DB07_baselinesequence[[#This Row],[basesequence-ID]],DB06_baseline[ID],DB06_baseline[Baseline],"",0)</f>
        <v>AGCTGCAGCCATGA</v>
      </c>
      <c r="H50" s="1">
        <f>_xlfn.XLOOKUP(DB07_baselinesequence[[#This Row],[basesequence-ID]],DB06_baseline[ID],DB06_baseline[確認済],FALSE,0)</f>
        <v>0</v>
      </c>
      <c r="J50" s="1" t="s">
        <v>196</v>
      </c>
      <c r="K50" s="4">
        <v>44926</v>
      </c>
    </row>
    <row r="51" spans="1:12" x14ac:dyDescent="0.45">
      <c r="A51" s="1">
        <v>60</v>
      </c>
      <c r="B51" s="1" t="str">
        <f>"07-"&amp;LEFT(RIGHTB(REPT(0,4)&amp;_xlfn.BASE(DB07_baselinesequence[[#This Row],[num]],36),4),2)&amp;"-"&amp;RIGHT(RIGHTB(REPT(0,4)&amp;_xlfn.BASE(DB07_baselinesequence[[#This Row],[num]],36),4),2)</f>
        <v>07-00-1O</v>
      </c>
      <c r="C51" s="1" t="s">
        <v>197</v>
      </c>
      <c r="D51" s="1" t="s">
        <v>362</v>
      </c>
      <c r="E51" s="1" t="s">
        <v>361</v>
      </c>
      <c r="F51" s="1" t="s">
        <v>164</v>
      </c>
      <c r="G51" s="1" t="str">
        <f>_xlfn.XLOOKUP(DB07_baselinesequence[[#This Row],[basesequence-ID]],DB06_baseline[ID],DB06_baseline[Baseline],"",0)</f>
        <v>TCTACAGAAGCAAGGTGT</v>
      </c>
      <c r="H51" s="1" t="b">
        <f>_xlfn.XLOOKUP(DB07_baselinesequence[[#This Row],[basesequence-ID]],DB06_baseline[ID],DB06_baseline[確認済],FALSE,0)</f>
        <v>0</v>
      </c>
      <c r="J51" s="1" t="s">
        <v>198</v>
      </c>
      <c r="K51" s="4">
        <v>44926</v>
      </c>
    </row>
    <row r="52" spans="1:12" x14ac:dyDescent="0.45">
      <c r="A52" s="1">
        <v>61</v>
      </c>
      <c r="B52" s="1" t="str">
        <f>"07-"&amp;LEFT(RIGHTB(REPT(0,4)&amp;_xlfn.BASE(DB07_baselinesequence[[#This Row],[num]],36),4),2)&amp;"-"&amp;RIGHT(RIGHTB(REPT(0,4)&amp;_xlfn.BASE(DB07_baselinesequence[[#This Row],[num]],36),4),2)</f>
        <v>07-00-1P</v>
      </c>
      <c r="C52" s="1" t="s">
        <v>134</v>
      </c>
      <c r="D52" s="1" t="s">
        <v>363</v>
      </c>
      <c r="E52" s="1" t="s">
        <v>361</v>
      </c>
      <c r="F52" s="1" t="s">
        <v>166</v>
      </c>
      <c r="G52" s="1" t="str">
        <f>_xlfn.XLOOKUP(DB07_baselinesequence[[#This Row],[basesequence-ID]],DB06_baseline[ID],DB06_baseline[Baseline],"",0)</f>
        <v>GGCCAAACCAGGACATAT</v>
      </c>
      <c r="H52" s="1" t="b">
        <f>_xlfn.XLOOKUP(DB07_baselinesequence[[#This Row],[basesequence-ID]],DB06_baseline[ID],DB06_baseline[確認済],FALSE,0)</f>
        <v>0</v>
      </c>
      <c r="J52" s="1" t="s">
        <v>199</v>
      </c>
      <c r="K52" s="4">
        <v>44926</v>
      </c>
    </row>
    <row r="53" spans="1:12" x14ac:dyDescent="0.45">
      <c r="A53" s="1">
        <v>65</v>
      </c>
      <c r="B53" s="1" t="str">
        <f>"07-"&amp;LEFT(RIGHTB(REPT(0,4)&amp;_xlfn.BASE(DB07_baselinesequence[[#This Row],[num]],36),4),2)&amp;"-"&amp;RIGHT(RIGHTB(REPT(0,4)&amp;_xlfn.BASE(DB07_baselinesequence[[#This Row],[num]],36),4),2)</f>
        <v>07-00-1T</v>
      </c>
      <c r="C53" s="1" t="s">
        <v>200</v>
      </c>
      <c r="D53" s="1" t="s">
        <v>386</v>
      </c>
      <c r="E53" s="1" t="s">
        <v>388</v>
      </c>
      <c r="F53" s="1" t="s">
        <v>104</v>
      </c>
      <c r="G53" s="1" t="str">
        <f>_xlfn.XLOOKUP(DB07_baselinesequence[[#This Row],[basesequence-ID]],DB06_baseline[ID],DB06_baseline[Baseline],"",0)</f>
        <v>TTGATTTAATGGTTGC</v>
      </c>
      <c r="H53" s="1" t="b">
        <f>_xlfn.XLOOKUP(DB07_baselinesequence[[#This Row],[basesequence-ID]],DB06_baseline[ID],DB06_baseline[確認済],FALSE,0)</f>
        <v>1</v>
      </c>
      <c r="J53" s="1" t="s">
        <v>296</v>
      </c>
      <c r="K53" s="4">
        <v>44963</v>
      </c>
    </row>
    <row r="54" spans="1:12" x14ac:dyDescent="0.45">
      <c r="A54" s="1">
        <v>66</v>
      </c>
      <c r="B54" s="1" t="str">
        <f>"07-"&amp;LEFT(RIGHTB(REPT(0,4)&amp;_xlfn.BASE(DB07_baselinesequence[[#This Row],[num]],36),4),2)&amp;"-"&amp;RIGHT(RIGHTB(REPT(0,4)&amp;_xlfn.BASE(DB07_baselinesequence[[#This Row],[num]],36),4),2)</f>
        <v>07-00-1U</v>
      </c>
      <c r="C54" s="1" t="s">
        <v>135</v>
      </c>
      <c r="D54" s="1" t="s">
        <v>387</v>
      </c>
      <c r="E54" s="1" t="s">
        <v>301</v>
      </c>
      <c r="F54" s="1" t="s">
        <v>444</v>
      </c>
      <c r="G54" s="1" t="str">
        <f>_xlfn.XLOOKUP(DB07_baselinesequence[[#This Row],[basesequence-ID]],DB06_baseline[ID],DB06_baseline[Baseline],"",0)</f>
        <v>GCAACCATTAAATCAA</v>
      </c>
      <c r="H54" s="1">
        <f>_xlfn.XLOOKUP(DB07_baselinesequence[[#This Row],[basesequence-ID]],DB06_baseline[ID],DB06_baseline[確認済],FALSE,0)</f>
        <v>0</v>
      </c>
      <c r="J54" s="1" t="s">
        <v>202</v>
      </c>
      <c r="K54" s="4">
        <v>44963</v>
      </c>
    </row>
    <row r="55" spans="1:12" x14ac:dyDescent="0.45">
      <c r="A55" s="1">
        <v>67</v>
      </c>
      <c r="B55" s="1" t="str">
        <f>"07-"&amp;LEFT(RIGHTB(REPT(0,4)&amp;_xlfn.BASE(DB07_baselinesequence[[#This Row],[num]],36),4),2)&amp;"-"&amp;RIGHT(RIGHTB(REPT(0,4)&amp;_xlfn.BASE(DB07_baselinesequence[[#This Row],[num]],36),4),2)</f>
        <v>07-00-1V</v>
      </c>
      <c r="C55" s="1" t="s">
        <v>136</v>
      </c>
      <c r="D55" s="1" t="s">
        <v>387</v>
      </c>
      <c r="E55" s="1" t="s">
        <v>389</v>
      </c>
      <c r="F55" s="1" t="s">
        <v>444</v>
      </c>
      <c r="G55" s="1" t="str">
        <f>_xlfn.XLOOKUP(DB07_baselinesequence[[#This Row],[basesequence-ID]],DB06_baseline[ID],DB06_baseline[Baseline],"",0)</f>
        <v>GCAACCATTAAATCAA</v>
      </c>
      <c r="H55" s="1">
        <f>_xlfn.XLOOKUP(DB07_baselinesequence[[#This Row],[basesequence-ID]],DB06_baseline[ID],DB06_baseline[確認済],FALSE,0)</f>
        <v>0</v>
      </c>
      <c r="J55" s="1" t="s">
        <v>201</v>
      </c>
      <c r="K55" s="4">
        <v>44963</v>
      </c>
    </row>
    <row r="56" spans="1:12" x14ac:dyDescent="0.45">
      <c r="A56" s="1">
        <v>68</v>
      </c>
      <c r="B56" s="1" t="str">
        <f>"07-"&amp;LEFT(RIGHTB(REPT(0,4)&amp;_xlfn.BASE(DB07_baselinesequence[[#This Row],[num]],36),4),2)&amp;"-"&amp;RIGHT(RIGHTB(REPT(0,4)&amp;_xlfn.BASE(DB07_baselinesequence[[#This Row],[num]],36),4),2)</f>
        <v>07-00-1W</v>
      </c>
      <c r="C56" s="1" t="s">
        <v>215</v>
      </c>
      <c r="D56" s="1" t="s">
        <v>390</v>
      </c>
      <c r="F56" s="1" t="s">
        <v>210</v>
      </c>
      <c r="G56" s="1" t="str">
        <f>_xlfn.XLOOKUP(DB07_baselinesequence[[#This Row],[basesequence-ID]],DB06_baseline[ID],DB06_baseline[Baseline],"",0)</f>
        <v>TTTTTTTTTTTTTTTT</v>
      </c>
      <c r="H56" s="1" t="b">
        <f>_xlfn.XLOOKUP(DB07_baselinesequence[[#This Row],[basesequence-ID]],DB06_baseline[ID],DB06_baseline[確認済],FALSE,0)</f>
        <v>1</v>
      </c>
      <c r="J56" s="1" t="s">
        <v>216</v>
      </c>
      <c r="K56" s="4">
        <v>44965</v>
      </c>
      <c r="L56" s="3" t="s">
        <v>219</v>
      </c>
    </row>
    <row r="57" spans="1:12" x14ac:dyDescent="0.45">
      <c r="A57" s="1">
        <v>69</v>
      </c>
      <c r="B57" s="1" t="str">
        <f>"07-"&amp;LEFT(RIGHTB(REPT(0,4)&amp;_xlfn.BASE(DB07_baselinesequence[[#This Row],[num]],36),4),2)&amp;"-"&amp;RIGHT(RIGHTB(REPT(0,4)&amp;_xlfn.BASE(DB07_baselinesequence[[#This Row],[num]],36),4),2)</f>
        <v>07-00-1X</v>
      </c>
      <c r="C57" s="1" t="s">
        <v>217</v>
      </c>
      <c r="D57" s="1" t="s">
        <v>391</v>
      </c>
      <c r="F57" s="1" t="s">
        <v>210</v>
      </c>
      <c r="G57" s="1" t="str">
        <f>_xlfn.XLOOKUP(DB07_baselinesequence[[#This Row],[basesequence-ID]],DB06_baseline[ID],DB06_baseline[Baseline],"",0)</f>
        <v>TTTTTTTTTTTTTTTT</v>
      </c>
      <c r="H57" s="1" t="b">
        <f>_xlfn.XLOOKUP(DB07_baselinesequence[[#This Row],[basesequence-ID]],DB06_baseline[ID],DB06_baseline[確認済],FALSE,0)</f>
        <v>1</v>
      </c>
      <c r="J57" s="1" t="s">
        <v>218</v>
      </c>
      <c r="K57" s="4">
        <v>44965</v>
      </c>
      <c r="L57" s="3" t="s">
        <v>219</v>
      </c>
    </row>
    <row r="58" spans="1:12" x14ac:dyDescent="0.45">
      <c r="A58" s="1">
        <v>70</v>
      </c>
      <c r="B58" s="1" t="str">
        <f>"07-"&amp;LEFT(RIGHTB(REPT(0,4)&amp;_xlfn.BASE(DB07_baselinesequence[[#This Row],[num]],36),4),2)&amp;"-"&amp;RIGHT(RIGHTB(REPT(0,4)&amp;_xlfn.BASE(DB07_baselinesequence[[#This Row],[num]],36),4),2)</f>
        <v>07-00-1Y</v>
      </c>
      <c r="C58" s="1" t="s">
        <v>238</v>
      </c>
      <c r="E58" s="1" t="s">
        <v>380</v>
      </c>
      <c r="F58" s="1" t="s">
        <v>235</v>
      </c>
      <c r="G58" s="1" t="str">
        <f>_xlfn.XLOOKUP(DB07_baselinesequence[[#This Row],[basesequence-ID]],DB06_baseline[ID],DB06_baseline[Baseline],"",0)</f>
        <v>CTCCCAGCGTGCGCCA</v>
      </c>
      <c r="H58" s="1">
        <f>_xlfn.XLOOKUP(DB07_baselinesequence[[#This Row],[basesequence-ID]],DB06_baseline[ID],DB06_baseline[確認済],FALSE,0)</f>
        <v>0</v>
      </c>
      <c r="J58" s="1" t="s">
        <v>239</v>
      </c>
      <c r="K58" s="4"/>
      <c r="L58" s="3"/>
    </row>
    <row r="59" spans="1:12" x14ac:dyDescent="0.45">
      <c r="A59" s="1">
        <v>71</v>
      </c>
      <c r="B59" s="1" t="str">
        <f>"07-"&amp;LEFT(RIGHTB(REPT(0,4)&amp;_xlfn.BASE(DB07_baselinesequence[[#This Row],[num]],36),4),2)&amp;"-"&amp;RIGHT(RIGHTB(REPT(0,4)&amp;_xlfn.BASE(DB07_baselinesequence[[#This Row],[num]],36),4),2)</f>
        <v>07-00-1Z</v>
      </c>
      <c r="C59" s="1" t="s">
        <v>240</v>
      </c>
      <c r="E59" s="1" t="s">
        <v>379</v>
      </c>
      <c r="F59" s="1" t="s">
        <v>447</v>
      </c>
      <c r="G59" s="1" t="str">
        <f>_xlfn.XLOOKUP(DB07_baselinesequence[[#This Row],[basesequence-ID]],DB06_baseline[ID],DB06_baseline[Baseline],"",0)</f>
        <v>TGGCGCACGCTGGGAG</v>
      </c>
      <c r="H59" s="1">
        <f>_xlfn.XLOOKUP(DB07_baselinesequence[[#This Row],[basesequence-ID]],DB06_baseline[ID],DB06_baseline[確認済],FALSE,0)</f>
        <v>0</v>
      </c>
      <c r="J59" s="1" t="s">
        <v>241</v>
      </c>
      <c r="K59" s="4"/>
      <c r="L59" s="3"/>
    </row>
    <row r="60" spans="1:12" x14ac:dyDescent="0.45">
      <c r="A60" s="1">
        <v>72</v>
      </c>
      <c r="B60" s="1" t="str">
        <f>"07-"&amp;LEFT(RIGHTB(REPT(0,4)&amp;_xlfn.BASE(DB07_baselinesequence[[#This Row],[num]],36),4),2)&amp;"-"&amp;RIGHT(RIGHTB(REPT(0,4)&amp;_xlfn.BASE(DB07_baselinesequence[[#This Row],[num]],36),4),2)</f>
        <v>07-00-20</v>
      </c>
      <c r="C60" s="1" t="s">
        <v>250</v>
      </c>
      <c r="D60" s="1" t="s">
        <v>385</v>
      </c>
      <c r="E60" s="1" t="s">
        <v>381</v>
      </c>
      <c r="F60" s="1" t="s">
        <v>242</v>
      </c>
      <c r="G60" s="1" t="str">
        <f>_xlfn.XLOOKUP(DB07_baselinesequence[[#This Row],[basesequence-ID]],DB06_baseline[ID],DB06_baseline[Baseline],"",0)</f>
        <v>CTGCTAGCCTCTGGATTTGA</v>
      </c>
      <c r="H60" s="1">
        <f>_xlfn.XLOOKUP(DB07_baselinesequence[[#This Row],[basesequence-ID]],DB06_baseline[ID],DB06_baseline[確認済],FALSE,0)</f>
        <v>0</v>
      </c>
      <c r="J60" s="1" t="s">
        <v>245</v>
      </c>
      <c r="K60" s="4"/>
      <c r="L60" s="3"/>
    </row>
    <row r="61" spans="1:12" x14ac:dyDescent="0.45">
      <c r="A61" s="1">
        <v>73</v>
      </c>
      <c r="B61" s="1" t="str">
        <f>"07-"&amp;LEFT(RIGHTB(REPT(0,4)&amp;_xlfn.BASE(DB07_baselinesequence[[#This Row],[num]],36),4),2)&amp;"-"&amp;RIGHT(RIGHTB(REPT(0,4)&amp;_xlfn.BASE(DB07_baselinesequence[[#This Row],[num]],36),4),2)</f>
        <v>07-00-21</v>
      </c>
      <c r="C61" s="1" t="s">
        <v>251</v>
      </c>
      <c r="D61" s="1" t="s">
        <v>384</v>
      </c>
      <c r="E61" s="1" t="s">
        <v>382</v>
      </c>
      <c r="F61" s="1" t="s">
        <v>449</v>
      </c>
      <c r="G61" s="1" t="str">
        <f>_xlfn.XLOOKUP(DB07_baselinesequence[[#This Row],[basesequence-ID]],DB06_baseline[ID],DB06_baseline[Baseline],"",0)</f>
        <v>TCAAATCCAGAGGCTAGCAG</v>
      </c>
      <c r="H61" s="1">
        <f>_xlfn.XLOOKUP(DB07_baselinesequence[[#This Row],[basesequence-ID]],DB06_baseline[ID],DB06_baseline[確認済],FALSE,0)</f>
        <v>0</v>
      </c>
      <c r="J61" s="1" t="s">
        <v>246</v>
      </c>
      <c r="K61" s="4"/>
      <c r="L61" s="3"/>
    </row>
    <row r="62" spans="1:12" x14ac:dyDescent="0.45">
      <c r="A62" s="1">
        <v>74</v>
      </c>
      <c r="B62" s="1" t="str">
        <f>"07-"&amp;LEFT(RIGHTB(REPT(0,4)&amp;_xlfn.BASE(DB07_baselinesequence[[#This Row],[num]],36),4),2)&amp;"-"&amp;RIGHT(RIGHTB(REPT(0,4)&amp;_xlfn.BASE(DB07_baselinesequence[[#This Row],[num]],36),4),2)</f>
        <v>07-00-22</v>
      </c>
      <c r="C62" s="1" t="s">
        <v>252</v>
      </c>
      <c r="D62" s="1" t="s">
        <v>384</v>
      </c>
      <c r="E62" s="1" t="s">
        <v>383</v>
      </c>
      <c r="F62" s="1" t="s">
        <v>449</v>
      </c>
      <c r="G62" s="1" t="str">
        <f>_xlfn.XLOOKUP(DB07_baselinesequence[[#This Row],[basesequence-ID]],DB06_baseline[ID],DB06_baseline[Baseline],"",0)</f>
        <v>TCAAATCCAGAGGCTAGCAG</v>
      </c>
      <c r="H62" s="1">
        <f>_xlfn.XLOOKUP(DB07_baselinesequence[[#This Row],[basesequence-ID]],DB06_baseline[ID],DB06_baseline[確認済],FALSE,0)</f>
        <v>0</v>
      </c>
      <c r="J62" s="1" t="s">
        <v>253</v>
      </c>
      <c r="K62" s="4"/>
      <c r="L62" s="3"/>
    </row>
    <row r="63" spans="1:12" x14ac:dyDescent="0.45">
      <c r="A63" s="1">
        <v>75</v>
      </c>
      <c r="B63" s="1" t="str">
        <f>"07-"&amp;LEFT(RIGHTB(REPT(0,4)&amp;_xlfn.BASE(DB07_baselinesequence[[#This Row],[num]],36),4),2)&amp;"-"&amp;RIGHT(RIGHTB(REPT(0,4)&amp;_xlfn.BASE(DB07_baselinesequence[[#This Row],[num]],36),4),2)</f>
        <v>07-00-23</v>
      </c>
      <c r="C63" s="1" t="s">
        <v>254</v>
      </c>
      <c r="D63" s="1" t="s">
        <v>364</v>
      </c>
      <c r="E63" s="1" t="s">
        <v>360</v>
      </c>
      <c r="F63" s="1" t="s">
        <v>164</v>
      </c>
      <c r="G63" s="1" t="str">
        <f>_xlfn.XLOOKUP(DB07_baselinesequence[[#This Row],[basesequence-ID]],DB06_baseline[ID],DB06_baseline[Baseline],"",0)</f>
        <v>TCTACAGAAGCAAGGTGT</v>
      </c>
      <c r="H63" s="1" t="b">
        <f>_xlfn.XLOOKUP(DB07_baselinesequence[[#This Row],[basesequence-ID]],DB06_baseline[ID],DB06_baseline[確認済],FALSE,0)</f>
        <v>0</v>
      </c>
      <c r="J63" s="1" t="s">
        <v>255</v>
      </c>
      <c r="K63" s="4"/>
      <c r="L63" s="3"/>
    </row>
    <row r="64" spans="1:12" x14ac:dyDescent="0.45">
      <c r="A64" s="1">
        <v>76</v>
      </c>
      <c r="B64" s="1" t="str">
        <f>"07-"&amp;LEFT(RIGHTB(REPT(0,4)&amp;_xlfn.BASE(DB07_baselinesequence[[#This Row],[num]],36),4),2)&amp;"-"&amp;RIGHT(RIGHTB(REPT(0,4)&amp;_xlfn.BASE(DB07_baselinesequence[[#This Row],[num]],36),4),2)</f>
        <v>07-00-24</v>
      </c>
      <c r="C64" s="1" t="s">
        <v>256</v>
      </c>
      <c r="D64" s="1" t="s">
        <v>365</v>
      </c>
      <c r="E64" s="1" t="s">
        <v>360</v>
      </c>
      <c r="F64" s="1" t="s">
        <v>166</v>
      </c>
      <c r="G64" s="1" t="str">
        <f>_xlfn.XLOOKUP(DB07_baselinesequence[[#This Row],[basesequence-ID]],DB06_baseline[ID],DB06_baseline[Baseline],"",0)</f>
        <v>GGCCAAACCAGGACATAT</v>
      </c>
      <c r="H64" s="1" t="b">
        <f>_xlfn.XLOOKUP(DB07_baselinesequence[[#This Row],[basesequence-ID]],DB06_baseline[ID],DB06_baseline[確認済],FALSE,0)</f>
        <v>0</v>
      </c>
      <c r="J64" s="1" t="s">
        <v>257</v>
      </c>
      <c r="K64" s="4"/>
      <c r="L64" s="3"/>
    </row>
    <row r="65" spans="1:12" x14ac:dyDescent="0.45">
      <c r="A65" s="1">
        <v>77</v>
      </c>
      <c r="B65" s="1" t="str">
        <f>"07-"&amp;LEFT(RIGHTB(REPT(0,4)&amp;_xlfn.BASE(DB07_baselinesequence[[#This Row],[num]],36),4),2)&amp;"-"&amp;RIGHT(RIGHTB(REPT(0,4)&amp;_xlfn.BASE(DB07_baselinesequence[[#This Row],[num]],36),4),2)</f>
        <v>07-00-25</v>
      </c>
      <c r="C65" s="1" t="s">
        <v>258</v>
      </c>
      <c r="D65" s="1" t="s">
        <v>366</v>
      </c>
      <c r="E65" s="1" t="s">
        <v>368</v>
      </c>
      <c r="F65" s="1" t="s">
        <v>452</v>
      </c>
      <c r="G65" s="1" t="str">
        <f>_xlfn.XLOOKUP(DB07_baselinesequence[[#This Row],[basesequence-ID]],DB06_baseline[ID],DB06_baseline[Baseline],"",0)</f>
        <v>ACACCTTGCTTCTGTAGA</v>
      </c>
      <c r="H65" s="1">
        <f>_xlfn.XLOOKUP(DB07_baselinesequence[[#This Row],[basesequence-ID]],DB06_baseline[ID],DB06_baseline[確認済],FALSE,0)</f>
        <v>0</v>
      </c>
      <c r="J65" s="1" t="s">
        <v>259</v>
      </c>
      <c r="K65" s="4"/>
      <c r="L65" s="3"/>
    </row>
    <row r="66" spans="1:12" x14ac:dyDescent="0.45">
      <c r="A66" s="1">
        <v>78</v>
      </c>
      <c r="B66" s="1" t="str">
        <f>"07-"&amp;LEFT(RIGHTB(REPT(0,4)&amp;_xlfn.BASE(DB07_baselinesequence[[#This Row],[num]],36),4),2)&amp;"-"&amp;RIGHT(RIGHTB(REPT(0,4)&amp;_xlfn.BASE(DB07_baselinesequence[[#This Row],[num]],36),4),2)</f>
        <v>07-00-26</v>
      </c>
      <c r="C66" s="1" t="s">
        <v>260</v>
      </c>
      <c r="D66" s="1" t="s">
        <v>367</v>
      </c>
      <c r="E66" s="1" t="s">
        <v>368</v>
      </c>
      <c r="F66" s="1" t="s">
        <v>454</v>
      </c>
      <c r="G66" s="1" t="str">
        <f>_xlfn.XLOOKUP(DB07_baselinesequence[[#This Row],[basesequence-ID]],DB06_baseline[ID],DB06_baseline[Baseline],"",0)</f>
        <v>ATATGTCCTGGTTTGGCC</v>
      </c>
      <c r="H66" s="1">
        <f>_xlfn.XLOOKUP(DB07_baselinesequence[[#This Row],[basesequence-ID]],DB06_baseline[ID],DB06_baseline[確認済],FALSE,0)</f>
        <v>0</v>
      </c>
      <c r="J66" s="1" t="s">
        <v>261</v>
      </c>
      <c r="K66" s="4"/>
      <c r="L66" s="3"/>
    </row>
    <row r="67" spans="1:12" x14ac:dyDescent="0.45">
      <c r="A67" s="1">
        <v>79</v>
      </c>
      <c r="B67" s="1" t="str">
        <f>"07-"&amp;LEFT(RIGHTB(REPT(0,4)&amp;_xlfn.BASE(DB07_baselinesequence[[#This Row],[num]],36),4),2)&amp;"-"&amp;RIGHT(RIGHTB(REPT(0,4)&amp;_xlfn.BASE(DB07_baselinesequence[[#This Row],[num]],36),4),2)</f>
        <v>07-00-27</v>
      </c>
      <c r="C67" s="1" t="s">
        <v>392</v>
      </c>
      <c r="D67" s="1" t="s">
        <v>369</v>
      </c>
      <c r="E67" s="1" t="s">
        <v>372</v>
      </c>
      <c r="F67" s="1" t="s">
        <v>262</v>
      </c>
      <c r="G67" s="1" t="str">
        <f>_xlfn.XLOOKUP(DB07_baselinesequence[[#This Row],[basesequence-ID]],DB06_baseline[ID],DB06_baseline[Baseline],"",0)</f>
        <v>TTGCCGGTGGTGCAGATAAA</v>
      </c>
      <c r="H67" s="1">
        <f>_xlfn.XLOOKUP(DB07_baselinesequence[[#This Row],[basesequence-ID]],DB06_baseline[ID],DB06_baseline[確認済],FALSE,0)</f>
        <v>0</v>
      </c>
      <c r="J67" s="1" t="s">
        <v>274</v>
      </c>
      <c r="K67" s="4">
        <v>45198</v>
      </c>
      <c r="L67" s="3" t="s">
        <v>377</v>
      </c>
    </row>
    <row r="68" spans="1:12" x14ac:dyDescent="0.45">
      <c r="A68" s="1">
        <v>80</v>
      </c>
      <c r="B68" s="1" t="str">
        <f>"07-"&amp;LEFT(RIGHTB(REPT(0,4)&amp;_xlfn.BASE(DB07_baselinesequence[[#This Row],[num]],36),4),2)&amp;"-"&amp;RIGHT(RIGHTB(REPT(0,4)&amp;_xlfn.BASE(DB07_baselinesequence[[#This Row],[num]],36),4),2)</f>
        <v>07-00-28</v>
      </c>
      <c r="C68" s="1" t="s">
        <v>393</v>
      </c>
      <c r="D68" s="1" t="s">
        <v>370</v>
      </c>
      <c r="E68" s="1" t="s">
        <v>373</v>
      </c>
      <c r="F68" s="1" t="s">
        <v>262</v>
      </c>
      <c r="G68" s="1" t="str">
        <f>_xlfn.XLOOKUP(DB07_baselinesequence[[#This Row],[basesequence-ID]],DB06_baseline[ID],DB06_baseline[Baseline],"",0)</f>
        <v>TTGCCGGTGGTGCAGATAAA</v>
      </c>
      <c r="H68" s="1">
        <f>_xlfn.XLOOKUP(DB07_baselinesequence[[#This Row],[basesequence-ID]],DB06_baseline[ID],DB06_baseline[確認済],FALSE,0)</f>
        <v>0</v>
      </c>
      <c r="J68" s="1" t="s">
        <v>275</v>
      </c>
      <c r="K68" s="4">
        <v>45198</v>
      </c>
      <c r="L68" s="3" t="s">
        <v>377</v>
      </c>
    </row>
    <row r="69" spans="1:12" x14ac:dyDescent="0.45">
      <c r="A69" s="1">
        <v>81</v>
      </c>
      <c r="B69" s="1" t="str">
        <f>"07-"&amp;LEFT(RIGHTB(REPT(0,4)&amp;_xlfn.BASE(DB07_baselinesequence[[#This Row],[num]],36),4),2)&amp;"-"&amp;RIGHT(RIGHTB(REPT(0,4)&amp;_xlfn.BASE(DB07_baselinesequence[[#This Row],[num]],36),4),2)</f>
        <v>07-00-29</v>
      </c>
      <c r="C69" s="1" t="s">
        <v>394</v>
      </c>
      <c r="D69" s="1" t="s">
        <v>371</v>
      </c>
      <c r="E69" s="1" t="s">
        <v>300</v>
      </c>
      <c r="F69" s="1" t="s">
        <v>265</v>
      </c>
      <c r="G69" s="1" t="str">
        <f>_xlfn.XLOOKUP(DB07_baselinesequence[[#This Row],[basesequence-ID]],DB06_baseline[ID],DB06_baseline[Baseline],"",0)</f>
        <v>GCCGGTGGTGCAGATA</v>
      </c>
      <c r="H69" s="1">
        <f>_xlfn.XLOOKUP(DB07_baselinesequence[[#This Row],[basesequence-ID]],DB06_baseline[ID],DB06_baseline[確認済],FALSE,0)</f>
        <v>0</v>
      </c>
      <c r="J69" s="1" t="s">
        <v>276</v>
      </c>
      <c r="K69" s="4">
        <v>45198</v>
      </c>
      <c r="L69" s="3" t="s">
        <v>377</v>
      </c>
    </row>
    <row r="70" spans="1:12" x14ac:dyDescent="0.45">
      <c r="A70" s="1">
        <v>82</v>
      </c>
      <c r="B70" s="1" t="str">
        <f>"07-"&amp;LEFT(RIGHTB(REPT(0,4)&amp;_xlfn.BASE(DB07_baselinesequence[[#This Row],[num]],36),4),2)&amp;"-"&amp;RIGHT(RIGHTB(REPT(0,4)&amp;_xlfn.BASE(DB07_baselinesequence[[#This Row],[num]],36),4),2)</f>
        <v>07-00-2A</v>
      </c>
      <c r="C70" s="1" t="s">
        <v>395</v>
      </c>
      <c r="D70" s="1" t="s">
        <v>371</v>
      </c>
      <c r="E70" s="1" t="s">
        <v>300</v>
      </c>
      <c r="F70" s="1" t="s">
        <v>268</v>
      </c>
      <c r="G70" s="1" t="str">
        <f>_xlfn.XLOOKUP(DB07_baselinesequence[[#This Row],[basesequence-ID]],DB06_baseline[ID],DB06_baseline[Baseline],"",0)</f>
        <v>CCGGTGGTGCAGATAA</v>
      </c>
      <c r="H70" s="1">
        <f>_xlfn.XLOOKUP(DB07_baselinesequence[[#This Row],[basesequence-ID]],DB06_baseline[ID],DB06_baseline[確認済],FALSE,0)</f>
        <v>0</v>
      </c>
      <c r="J70" s="1" t="s">
        <v>277</v>
      </c>
      <c r="K70" s="4">
        <v>45198</v>
      </c>
      <c r="L70" s="3" t="s">
        <v>377</v>
      </c>
    </row>
    <row r="71" spans="1:12" x14ac:dyDescent="0.45">
      <c r="A71" s="1">
        <v>83</v>
      </c>
      <c r="B71" s="1" t="str">
        <f>"07-"&amp;LEFT(RIGHTB(REPT(0,4)&amp;_xlfn.BASE(DB07_baselinesequence[[#This Row],[num]],36),4),2)&amp;"-"&amp;RIGHT(RIGHTB(REPT(0,4)&amp;_xlfn.BASE(DB07_baselinesequence[[#This Row],[num]],36),4),2)</f>
        <v>07-00-2B</v>
      </c>
      <c r="C71" s="1" t="s">
        <v>396</v>
      </c>
      <c r="D71" s="1" t="s">
        <v>371</v>
      </c>
      <c r="E71" s="1" t="s">
        <v>300</v>
      </c>
      <c r="F71" s="1" t="s">
        <v>271</v>
      </c>
      <c r="G71" s="1" t="str">
        <f>_xlfn.XLOOKUP(DB07_baselinesequence[[#This Row],[basesequence-ID]],DB06_baseline[ID],DB06_baseline[Baseline],"",0)</f>
        <v>CGGTGGTGCAGATAAA</v>
      </c>
      <c r="H71" s="1">
        <f>_xlfn.XLOOKUP(DB07_baselinesequence[[#This Row],[basesequence-ID]],DB06_baseline[ID],DB06_baseline[確認済],FALSE,0)</f>
        <v>0</v>
      </c>
      <c r="J71" s="1" t="s">
        <v>278</v>
      </c>
      <c r="K71" s="4">
        <v>45198</v>
      </c>
      <c r="L71" s="3" t="s">
        <v>377</v>
      </c>
    </row>
    <row r="72" spans="1:12" x14ac:dyDescent="0.45">
      <c r="A72" s="1">
        <v>84</v>
      </c>
      <c r="B72" s="1" t="str">
        <f>"07-"&amp;LEFT(RIGHTB(REPT(0,4)&amp;_xlfn.BASE(DB07_baselinesequence[[#This Row],[num]],36),4),2)&amp;"-"&amp;RIGHT(RIGHTB(REPT(0,4)&amp;_xlfn.BASE(DB07_baselinesequence[[#This Row],[num]],36),4),2)</f>
        <v>07-00-2C</v>
      </c>
      <c r="C72" s="1" t="s">
        <v>3811</v>
      </c>
      <c r="D72" s="1" t="s">
        <v>376</v>
      </c>
      <c r="E72" s="1" t="s">
        <v>373</v>
      </c>
      <c r="F72" s="1" t="s">
        <v>281</v>
      </c>
      <c r="G72" s="1" t="str">
        <f>_xlfn.XLOOKUP(DB07_baselinesequence[[#This Row],[basesequence-ID]],DB06_baseline[ID],DB06_baseline[Baseline],"",0)</f>
        <v>CCAGGCTGGTTATGACTCAG</v>
      </c>
      <c r="H72" s="1">
        <f>_xlfn.XLOOKUP(DB07_baselinesequence[[#This Row],[basesequence-ID]],DB06_baseline[ID],DB06_baseline[確認済],FALSE,0)</f>
        <v>0</v>
      </c>
      <c r="J72" s="1" t="s">
        <v>288</v>
      </c>
      <c r="K72" s="4">
        <v>45198</v>
      </c>
      <c r="L72" s="3" t="s">
        <v>378</v>
      </c>
    </row>
    <row r="73" spans="1:12" x14ac:dyDescent="0.45">
      <c r="A73" s="1">
        <v>85</v>
      </c>
      <c r="B73" s="1" t="str">
        <f>"07-"&amp;LEFT(RIGHTB(REPT(0,4)&amp;_xlfn.BASE(DB07_baselinesequence[[#This Row],[num]],36),4),2)&amp;"-"&amp;RIGHT(RIGHTB(REPT(0,4)&amp;_xlfn.BASE(DB07_baselinesequence[[#This Row],[num]],36),4),2)</f>
        <v>07-00-2D</v>
      </c>
      <c r="C73" s="1" t="s">
        <v>3812</v>
      </c>
      <c r="D73" s="1" t="s">
        <v>375</v>
      </c>
      <c r="E73" s="1" t="s">
        <v>374</v>
      </c>
      <c r="F73" s="1" t="s">
        <v>456</v>
      </c>
      <c r="G73" s="1" t="str">
        <f>_xlfn.XLOOKUP(DB07_baselinesequence[[#This Row],[basesequence-ID]],DB06_baseline[ID],DB06_baseline[Baseline],"",0)</f>
        <v>CTGAGTCATAACCAGCCTGG</v>
      </c>
      <c r="H73" s="1">
        <f>_xlfn.XLOOKUP(DB07_baselinesequence[[#This Row],[basesequence-ID]],DB06_baseline[ID],DB06_baseline[確認済],FALSE,0)</f>
        <v>0</v>
      </c>
      <c r="J73" s="1" t="s">
        <v>289</v>
      </c>
      <c r="K73" s="4">
        <v>45198</v>
      </c>
      <c r="L73" s="3" t="s">
        <v>378</v>
      </c>
    </row>
    <row r="74" spans="1:12" x14ac:dyDescent="0.45">
      <c r="A74" s="1">
        <v>86</v>
      </c>
      <c r="B74" s="1" t="str">
        <f>"07-"&amp;LEFT(RIGHTB(REPT(0,4)&amp;_xlfn.BASE(DB07_baselinesequence[[#This Row],[num]],36),4),2)&amp;"-"&amp;RIGHT(RIGHTB(REPT(0,4)&amp;_xlfn.BASE(DB07_baselinesequence[[#This Row],[num]],36),4),2)</f>
        <v>07-00-2E</v>
      </c>
      <c r="C74" s="1" t="s">
        <v>409</v>
      </c>
      <c r="D74" s="1" t="s">
        <v>404</v>
      </c>
      <c r="E74" s="1" t="s">
        <v>410</v>
      </c>
      <c r="F74" s="1" t="s">
        <v>403</v>
      </c>
      <c r="G74" s="1" t="str">
        <f>_xlfn.XLOOKUP(DB07_baselinesequence[[#This Row],[basesequence-ID]],DB06_baseline[ID],DB06_baseline[Baseline],"",0)</f>
        <v>TTAGCTAATACTAACATT</v>
      </c>
      <c r="H74" s="1">
        <f>_xlfn.XLOOKUP(DB07_baselinesequence[[#This Row],[basesequence-ID]],DB06_baseline[ID],DB06_baseline[確認済],FALSE,0)</f>
        <v>0</v>
      </c>
      <c r="J74" s="1" t="s">
        <v>412</v>
      </c>
      <c r="K74" s="4"/>
      <c r="L74" s="3"/>
    </row>
    <row r="75" spans="1:12" x14ac:dyDescent="0.45">
      <c r="A75" s="1">
        <v>87</v>
      </c>
      <c r="B75" s="1" t="str">
        <f>"07-"&amp;LEFT(RIGHTB(REPT(0,4)&amp;_xlfn.BASE(DB07_baselinesequence[[#This Row],[num]],36),4),2)&amp;"-"&amp;RIGHT(RIGHTB(REPT(0,4)&amp;_xlfn.BASE(DB07_baselinesequence[[#This Row],[num]],36),4),2)</f>
        <v>07-00-2F</v>
      </c>
      <c r="C75" s="1" t="s">
        <v>408</v>
      </c>
      <c r="D75" s="1" t="s">
        <v>407</v>
      </c>
      <c r="E75" s="1" t="s">
        <v>410</v>
      </c>
      <c r="F75" s="1" t="s">
        <v>406</v>
      </c>
      <c r="G75" s="1" t="str">
        <f>_xlfn.XLOOKUP(DB07_baselinesequence[[#This Row],[basesequence-ID]],DB06_baseline[ID],DB06_baseline[Baseline],"",0)</f>
        <v>GTTAGTATTAGCTAATGTA</v>
      </c>
      <c r="H75" s="1">
        <f>_xlfn.XLOOKUP(DB07_baselinesequence[[#This Row],[basesequence-ID]],DB06_baseline[ID],DB06_baseline[確認済],FALSE,0)</f>
        <v>0</v>
      </c>
      <c r="J75" s="1" t="s">
        <v>411</v>
      </c>
      <c r="K75" s="4"/>
      <c r="L75" s="3"/>
    </row>
    <row r="76" spans="1:12" x14ac:dyDescent="0.45">
      <c r="A76" s="1">
        <v>88</v>
      </c>
      <c r="B76" s="1" t="str">
        <f>"07-"&amp;LEFT(RIGHTB(REPT(0,4)&amp;_xlfn.BASE(DB07_baselinesequence[[#This Row],[num]],36),4),2)&amp;"-"&amp;RIGHT(RIGHTB(REPT(0,4)&amp;_xlfn.BASE(DB07_baselinesequence[[#This Row],[num]],36),4),2)</f>
        <v>07-00-2G</v>
      </c>
      <c r="C76" s="1" t="s">
        <v>520</v>
      </c>
      <c r="E76" s="1" t="s">
        <v>310</v>
      </c>
      <c r="F76" s="1" t="s">
        <v>413</v>
      </c>
      <c r="G76" s="1" t="str">
        <f>_xlfn.XLOOKUP(DB07_baselinesequence[[#This Row],[basesequence-ID]],DB06_baseline[ID],DB06_baseline[Baseline],"",0)</f>
        <v>TCTCCCAGCGTGCGCCAT</v>
      </c>
      <c r="H76" s="1">
        <f>_xlfn.XLOOKUP(DB07_baselinesequence[[#This Row],[basesequence-ID]],DB06_baseline[ID],DB06_baseline[確認済],FALSE,0)</f>
        <v>0</v>
      </c>
      <c r="J76" s="1" t="s">
        <v>417</v>
      </c>
      <c r="K76" s="4">
        <v>45239</v>
      </c>
      <c r="L76" s="3" t="s">
        <v>419</v>
      </c>
    </row>
    <row r="77" spans="1:12" x14ac:dyDescent="0.45">
      <c r="A77" s="1">
        <v>89</v>
      </c>
      <c r="B77" s="1" t="str">
        <f>"07-"&amp;LEFT(RIGHTB(REPT(0,4)&amp;_xlfn.BASE(DB07_baselinesequence[[#This Row],[num]],36),4),2)&amp;"-"&amp;RIGHT(RIGHTB(REPT(0,4)&amp;_xlfn.BASE(DB07_baselinesequence[[#This Row],[num]],36),4),2)</f>
        <v>07-00-2H</v>
      </c>
      <c r="C77" s="1" t="s">
        <v>521</v>
      </c>
      <c r="E77" s="1" t="s">
        <v>416</v>
      </c>
      <c r="F77" s="1" t="s">
        <v>413</v>
      </c>
      <c r="G77" s="1" t="str">
        <f>_xlfn.XLOOKUP(DB07_baselinesequence[[#This Row],[basesequence-ID]],DB06_baseline[ID],DB06_baseline[Baseline],"",0)</f>
        <v>TCTCCCAGCGTGCGCCAT</v>
      </c>
      <c r="H77" s="1">
        <f>_xlfn.XLOOKUP(DB07_baselinesequence[[#This Row],[basesequence-ID]],DB06_baseline[ID],DB06_baseline[確認済],FALSE,0)</f>
        <v>0</v>
      </c>
      <c r="J77" s="1" t="s">
        <v>418</v>
      </c>
      <c r="K77" s="4">
        <v>45239</v>
      </c>
      <c r="L77" s="3" t="s">
        <v>419</v>
      </c>
    </row>
    <row r="78" spans="1:12" x14ac:dyDescent="0.45">
      <c r="A78" s="1">
        <v>90</v>
      </c>
      <c r="B78" s="1" t="str">
        <f>"07-"&amp;LEFT(RIGHTB(REPT(0,4)&amp;_xlfn.BASE(DB07_baselinesequence[[#This Row],[num]],36),4),2)&amp;"-"&amp;RIGHT(RIGHTB(REPT(0,4)&amp;_xlfn.BASE(DB07_baselinesequence[[#This Row],[num]],36),4),2)</f>
        <v>07-00-2I</v>
      </c>
      <c r="C78" s="1" t="s">
        <v>473</v>
      </c>
      <c r="E78" s="1" t="s">
        <v>459</v>
      </c>
      <c r="F78" s="1" t="s">
        <v>425</v>
      </c>
      <c r="G78" s="1" t="str">
        <f>_xlfn.XLOOKUP(DB07_baselinesequence[[#This Row],[basesequence-ID]],DB06_baseline[ID],DB06_baseline[Baseline],"",0)</f>
        <v>GCATTCAGTGAACTAG</v>
      </c>
      <c r="H78" s="1">
        <f>_xlfn.XLOOKUP(DB07_baselinesequence[[#This Row],[basesequence-ID]],DB06_baseline[ID],DB06_baseline[確認済],FALSE,0)</f>
        <v>0</v>
      </c>
      <c r="J78" s="1" t="s">
        <v>470</v>
      </c>
      <c r="K78" s="4"/>
      <c r="L78" s="3"/>
    </row>
    <row r="79" spans="1:12" x14ac:dyDescent="0.45">
      <c r="A79" s="1">
        <v>91</v>
      </c>
      <c r="B79" s="1" t="str">
        <f>"07-"&amp;LEFT(RIGHTB(REPT(0,4)&amp;_xlfn.BASE(DB07_baselinesequence[[#This Row],[num]],36),4),2)&amp;"-"&amp;RIGHT(RIGHTB(REPT(0,4)&amp;_xlfn.BASE(DB07_baselinesequence[[#This Row],[num]],36),4),2)</f>
        <v>07-00-2J</v>
      </c>
      <c r="C79" s="1" t="s">
        <v>474</v>
      </c>
      <c r="E79" s="1" t="s">
        <v>460</v>
      </c>
      <c r="F79" s="1" t="s">
        <v>425</v>
      </c>
      <c r="G79" s="1" t="str">
        <f>_xlfn.XLOOKUP(DB07_baselinesequence[[#This Row],[basesequence-ID]],DB06_baseline[ID],DB06_baseline[Baseline],"",0)</f>
        <v>GCATTCAGTGAACTAG</v>
      </c>
      <c r="H79" s="1">
        <f>_xlfn.XLOOKUP(DB07_baselinesequence[[#This Row],[basesequence-ID]],DB06_baseline[ID],DB06_baseline[確認済],FALSE,0)</f>
        <v>0</v>
      </c>
      <c r="J79" s="1" t="s">
        <v>472</v>
      </c>
      <c r="K79" s="4"/>
      <c r="L79" s="3"/>
    </row>
    <row r="80" spans="1:12" x14ac:dyDescent="0.45">
      <c r="A80" s="1">
        <v>92</v>
      </c>
      <c r="B80" s="1" t="str">
        <f>"07-"&amp;LEFT(RIGHTB(REPT(0,4)&amp;_xlfn.BASE(DB07_baselinesequence[[#This Row],[num]],36),4),2)&amp;"-"&amp;RIGHT(RIGHTB(REPT(0,4)&amp;_xlfn.BASE(DB07_baselinesequence[[#This Row],[num]],36),4),2)</f>
        <v>07-00-2K</v>
      </c>
      <c r="C80" s="1" t="s">
        <v>475</v>
      </c>
      <c r="E80" s="1" t="s">
        <v>461</v>
      </c>
      <c r="F80" s="1" t="s">
        <v>425</v>
      </c>
      <c r="G80" s="1" t="str">
        <f>_xlfn.XLOOKUP(DB07_baselinesequence[[#This Row],[basesequence-ID]],DB06_baseline[ID],DB06_baseline[Baseline],"",0)</f>
        <v>GCATTCAGTGAACTAG</v>
      </c>
      <c r="H80" s="1">
        <f>_xlfn.XLOOKUP(DB07_baselinesequence[[#This Row],[basesequence-ID]],DB06_baseline[ID],DB06_baseline[確認済],FALSE,0)</f>
        <v>0</v>
      </c>
      <c r="J80" s="1" t="s">
        <v>471</v>
      </c>
      <c r="K80" s="4"/>
      <c r="L80" s="3"/>
    </row>
    <row r="81" spans="1:12" x14ac:dyDescent="0.45">
      <c r="A81" s="1">
        <v>93</v>
      </c>
      <c r="B81" s="1" t="str">
        <f>"07-"&amp;LEFT(RIGHTB(REPT(0,4)&amp;_xlfn.BASE(DB07_baselinesequence[[#This Row],[num]],36),4),2)&amp;"-"&amp;RIGHT(RIGHTB(REPT(0,4)&amp;_xlfn.BASE(DB07_baselinesequence[[#This Row],[num]],36),4),2)</f>
        <v>07-00-2L</v>
      </c>
      <c r="C81" s="1" t="s">
        <v>463</v>
      </c>
      <c r="F81" s="1" t="s">
        <v>462</v>
      </c>
      <c r="G81" s="1" t="str">
        <f>_xlfn.XLOOKUP(DB07_baselinesequence[[#This Row],[basesequence-ID]],DB06_baseline[ID],DB06_baseline[Baseline],"",0)</f>
        <v>CATCCCACCACATAGC</v>
      </c>
      <c r="H81" s="1">
        <f>_xlfn.XLOOKUP(DB07_baselinesequence[[#This Row],[basesequence-ID]],DB06_baseline[ID],DB06_baseline[確認済],FALSE,0)</f>
        <v>0</v>
      </c>
      <c r="J81" s="1" t="s">
        <v>469</v>
      </c>
      <c r="K81" s="4"/>
      <c r="L81" s="3"/>
    </row>
    <row r="82" spans="1:12" x14ac:dyDescent="0.45">
      <c r="A82" s="1">
        <v>94</v>
      </c>
      <c r="B82" s="1" t="str">
        <f>"07-"&amp;LEFT(RIGHTB(REPT(0,4)&amp;_xlfn.BASE(DB07_baselinesequence[[#This Row],[num]],36),4),2)&amp;"-"&amp;RIGHT(RIGHTB(REPT(0,4)&amp;_xlfn.BASE(DB07_baselinesequence[[#This Row],[num]],36),4),2)</f>
        <v>07-00-2M</v>
      </c>
      <c r="C82" s="1" t="s">
        <v>466</v>
      </c>
      <c r="F82" s="1" t="s">
        <v>465</v>
      </c>
      <c r="G82" s="1" t="str">
        <f>_xlfn.XLOOKUP(DB07_baselinesequence[[#This Row],[basesequence-ID]],DB06_baseline[ID],DB06_baseline[Baseline],"",0)</f>
        <v>GCTATGTGGTGGGATG</v>
      </c>
      <c r="H82" s="1">
        <f>_xlfn.XLOOKUP(DB07_baselinesequence[[#This Row],[basesequence-ID]],DB06_baseline[ID],DB06_baseline[確認済],FALSE,0)</f>
        <v>0</v>
      </c>
      <c r="J82" s="1" t="s">
        <v>468</v>
      </c>
      <c r="K82" s="4"/>
      <c r="L82" s="3"/>
    </row>
    <row r="83" spans="1:12" x14ac:dyDescent="0.45">
      <c r="A83" s="1">
        <v>95</v>
      </c>
      <c r="B83" s="1" t="str">
        <f>"07-"&amp;LEFT(RIGHTB(REPT(0,4)&amp;_xlfn.BASE(DB07_baselinesequence[[#This Row],[num]],36),4),2)&amp;"-"&amp;RIGHT(RIGHTB(REPT(0,4)&amp;_xlfn.BASE(DB07_baselinesequence[[#This Row],[num]],36),4),2)</f>
        <v>07-00-2N</v>
      </c>
      <c r="C83" s="1" t="s">
        <v>476</v>
      </c>
      <c r="F83" s="1" t="s">
        <v>425</v>
      </c>
      <c r="G83" s="1" t="str">
        <f>_xlfn.XLOOKUP(DB07_baselinesequence[[#This Row],[basesequence-ID]],DB06_baseline[ID],DB06_baseline[Baseline],"",0)</f>
        <v>GCATTCAGTGAACTAG</v>
      </c>
      <c r="H83" s="1">
        <f>_xlfn.XLOOKUP(DB07_baselinesequence[[#This Row],[basesequence-ID]],DB06_baseline[ID],DB06_baseline[確認済],FALSE,0)</f>
        <v>0</v>
      </c>
      <c r="J83" s="1" t="s">
        <v>479</v>
      </c>
      <c r="K83" s="4"/>
      <c r="L83" s="3"/>
    </row>
    <row r="84" spans="1:12" x14ac:dyDescent="0.45">
      <c r="A84" s="1">
        <v>96</v>
      </c>
      <c r="B84" s="1" t="str">
        <f>"07-"&amp;LEFT(RIGHTB(REPT(0,4)&amp;_xlfn.BASE(DB07_baselinesequence[[#This Row],[num]],36),4),2)&amp;"-"&amp;RIGHT(RIGHTB(REPT(0,4)&amp;_xlfn.BASE(DB07_baselinesequence[[#This Row],[num]],36),4),2)</f>
        <v>07-00-2O</v>
      </c>
      <c r="C84" s="1" t="s">
        <v>477</v>
      </c>
      <c r="F84" s="1" t="s">
        <v>425</v>
      </c>
      <c r="G84" s="1" t="str">
        <f>_xlfn.XLOOKUP(DB07_baselinesequence[[#This Row],[basesequence-ID]],DB06_baseline[ID],DB06_baseline[Baseline],"",0)</f>
        <v>GCATTCAGTGAACTAG</v>
      </c>
      <c r="H84" s="1">
        <f>_xlfn.XLOOKUP(DB07_baselinesequence[[#This Row],[basesequence-ID]],DB06_baseline[ID],DB06_baseline[確認済],FALSE,0)</f>
        <v>0</v>
      </c>
      <c r="J84" s="1" t="s">
        <v>480</v>
      </c>
      <c r="K84" s="4"/>
      <c r="L84" s="3"/>
    </row>
    <row r="85" spans="1:12" x14ac:dyDescent="0.45">
      <c r="A85" s="1">
        <v>97</v>
      </c>
      <c r="B85" s="1" t="str">
        <f>"07-"&amp;LEFT(RIGHTB(REPT(0,4)&amp;_xlfn.BASE(DB07_baselinesequence[[#This Row],[num]],36),4),2)&amp;"-"&amp;RIGHT(RIGHTB(REPT(0,4)&amp;_xlfn.BASE(DB07_baselinesequence[[#This Row],[num]],36),4),2)</f>
        <v>07-00-2P</v>
      </c>
      <c r="C85" s="1" t="s">
        <v>478</v>
      </c>
      <c r="F85" s="1" t="s">
        <v>425</v>
      </c>
      <c r="G85" s="1" t="str">
        <f>_xlfn.XLOOKUP(DB07_baselinesequence[[#This Row],[basesequence-ID]],DB06_baseline[ID],DB06_baseline[Baseline],"",0)</f>
        <v>GCATTCAGTGAACTAG</v>
      </c>
      <c r="H85" s="1">
        <f>_xlfn.XLOOKUP(DB07_baselinesequence[[#This Row],[basesequence-ID]],DB06_baseline[ID],DB06_baseline[確認済],FALSE,0)</f>
        <v>0</v>
      </c>
      <c r="J85" s="1" t="s">
        <v>481</v>
      </c>
      <c r="K85" s="4"/>
      <c r="L85" s="3"/>
    </row>
    <row r="86" spans="1:12" x14ac:dyDescent="0.45">
      <c r="A86" s="1">
        <v>98</v>
      </c>
      <c r="B86" s="1" t="str">
        <f>"07-"&amp;LEFT(RIGHTB(REPT(0,4)&amp;_xlfn.BASE(DB07_baselinesequence[[#This Row],[num]],36),4),2)&amp;"-"&amp;RIGHT(RIGHTB(REPT(0,4)&amp;_xlfn.BASE(DB07_baselinesequence[[#This Row],[num]],36),4),2)</f>
        <v>07-00-2Q</v>
      </c>
      <c r="C86" s="1" t="s">
        <v>493</v>
      </c>
      <c r="F86" s="1" t="s">
        <v>482</v>
      </c>
      <c r="G86" s="1" t="str">
        <f>_xlfn.XLOOKUP(DB07_baselinesequence[[#This Row],[basesequence-ID]],DB06_baseline[ID],DB06_baseline[Baseline],"",0)</f>
        <v>TTTTTTTTTTTTTTTTTT</v>
      </c>
      <c r="H86" s="1">
        <f>_xlfn.XLOOKUP(DB07_baselinesequence[[#This Row],[basesequence-ID]],DB06_baseline[ID],DB06_baseline[確認済],FALSE,0)</f>
        <v>0</v>
      </c>
      <c r="J86" s="1" t="s">
        <v>489</v>
      </c>
      <c r="K86" s="4"/>
      <c r="L86" s="3"/>
    </row>
    <row r="87" spans="1:12" x14ac:dyDescent="0.45">
      <c r="A87" s="1">
        <v>99</v>
      </c>
      <c r="B87" s="1" t="str">
        <f>"07-"&amp;LEFT(RIGHTB(REPT(0,4)&amp;_xlfn.BASE(DB07_baselinesequence[[#This Row],[num]],36),4),2)&amp;"-"&amp;RIGHT(RIGHTB(REPT(0,4)&amp;_xlfn.BASE(DB07_baselinesequence[[#This Row],[num]],36),4),2)</f>
        <v>07-00-2R</v>
      </c>
      <c r="C87" s="1" t="s">
        <v>494</v>
      </c>
      <c r="F87" s="1" t="s">
        <v>482</v>
      </c>
      <c r="G87" s="1" t="str">
        <f>_xlfn.XLOOKUP(DB07_baselinesequence[[#This Row],[basesequence-ID]],DB06_baseline[ID],DB06_baseline[Baseline],"",0)</f>
        <v>TTTTTTTTTTTTTTTTTT</v>
      </c>
      <c r="H87" s="1">
        <f>_xlfn.XLOOKUP(DB07_baselinesequence[[#This Row],[basesequence-ID]],DB06_baseline[ID],DB06_baseline[確認済],FALSE,0)</f>
        <v>0</v>
      </c>
      <c r="J87" s="1" t="s">
        <v>488</v>
      </c>
      <c r="K87" s="4"/>
      <c r="L87" s="3"/>
    </row>
    <row r="88" spans="1:12" x14ac:dyDescent="0.45">
      <c r="A88" s="1">
        <v>100</v>
      </c>
      <c r="B88" s="1" t="str">
        <f>"07-"&amp;LEFT(RIGHTB(REPT(0,4)&amp;_xlfn.BASE(DB07_baselinesequence[[#This Row],[num]],36),4),2)&amp;"-"&amp;RIGHT(RIGHTB(REPT(0,4)&amp;_xlfn.BASE(DB07_baselinesequence[[#This Row],[num]],36),4),2)</f>
        <v>07-00-2S</v>
      </c>
      <c r="C88" s="1" t="s">
        <v>495</v>
      </c>
      <c r="F88" s="1" t="s">
        <v>485</v>
      </c>
      <c r="G88" s="1" t="str">
        <f>_xlfn.XLOOKUP(DB07_baselinesequence[[#This Row],[basesequence-ID]],DB06_baseline[ID],DB06_baseline[Baseline],"",0)</f>
        <v>AAAAAAAAAAAAAAAAAA</v>
      </c>
      <c r="H88" s="1">
        <f>_xlfn.XLOOKUP(DB07_baselinesequence[[#This Row],[basesequence-ID]],DB06_baseline[ID],DB06_baseline[確認済],FALSE,0)</f>
        <v>0</v>
      </c>
      <c r="J88" s="1" t="s">
        <v>490</v>
      </c>
      <c r="K88" s="4"/>
      <c r="L88" s="3"/>
    </row>
    <row r="89" spans="1:12" x14ac:dyDescent="0.45">
      <c r="A89" s="1">
        <v>101</v>
      </c>
      <c r="B89" s="1" t="str">
        <f>"07-"&amp;LEFT(RIGHTB(REPT(0,4)&amp;_xlfn.BASE(DB07_baselinesequence[[#This Row],[num]],36),4),2)&amp;"-"&amp;RIGHT(RIGHTB(REPT(0,4)&amp;_xlfn.BASE(DB07_baselinesequence[[#This Row],[num]],36),4),2)</f>
        <v>07-00-2T</v>
      </c>
      <c r="C89" s="1" t="s">
        <v>496</v>
      </c>
      <c r="F89" s="1" t="s">
        <v>452</v>
      </c>
      <c r="G89" s="1" t="str">
        <f>_xlfn.XLOOKUP(DB07_baselinesequence[[#This Row],[basesequence-ID]],DB06_baseline[ID],DB06_baseline[Baseline],"",0)</f>
        <v>ACACCTTGCTTCTGTAGA</v>
      </c>
      <c r="H89" s="1">
        <f>_xlfn.XLOOKUP(DB07_baselinesequence[[#This Row],[basesequence-ID]],DB06_baseline[ID],DB06_baseline[確認済],FALSE,0)</f>
        <v>0</v>
      </c>
      <c r="J89" s="1" t="s">
        <v>491</v>
      </c>
      <c r="K89" s="4"/>
      <c r="L89" s="3"/>
    </row>
    <row r="90" spans="1:12" x14ac:dyDescent="0.45">
      <c r="A90" s="1">
        <v>102</v>
      </c>
      <c r="B90" s="1" t="str">
        <f>"07-"&amp;LEFT(RIGHTB(REPT(0,4)&amp;_xlfn.BASE(DB07_baselinesequence[[#This Row],[num]],36),4),2)&amp;"-"&amp;RIGHT(RIGHTB(REPT(0,4)&amp;_xlfn.BASE(DB07_baselinesequence[[#This Row],[num]],36),4),2)</f>
        <v>07-00-2U</v>
      </c>
      <c r="C90" s="1" t="s">
        <v>497</v>
      </c>
      <c r="F90" s="1" t="s">
        <v>452</v>
      </c>
      <c r="G90" s="1" t="str">
        <f>_xlfn.XLOOKUP(DB07_baselinesequence[[#This Row],[basesequence-ID]],DB06_baseline[ID],DB06_baseline[Baseline],"",0)</f>
        <v>ACACCTTGCTTCTGTAGA</v>
      </c>
      <c r="H90" s="1">
        <f>_xlfn.XLOOKUP(DB07_baselinesequence[[#This Row],[basesequence-ID]],DB06_baseline[ID],DB06_baseline[確認済],FALSE,0)</f>
        <v>0</v>
      </c>
      <c r="J90" s="1" t="s">
        <v>492</v>
      </c>
      <c r="K90" s="4"/>
      <c r="L90" s="3"/>
    </row>
    <row r="91" spans="1:12" x14ac:dyDescent="0.45">
      <c r="A91" s="1">
        <v>103</v>
      </c>
      <c r="B91" s="1" t="str">
        <f>"07-"&amp;LEFT(RIGHTB(REPT(0,4)&amp;_xlfn.BASE(DB07_baselinesequence[[#This Row],[num]],36),4),2)&amp;"-"&amp;RIGHT(RIGHTB(REPT(0,4)&amp;_xlfn.BASE(DB07_baselinesequence[[#This Row],[num]],36),4),2)</f>
        <v>07-00-2V</v>
      </c>
      <c r="C91" s="1" t="s">
        <v>499</v>
      </c>
      <c r="F91" s="1" t="s">
        <v>498</v>
      </c>
      <c r="G91" s="1" t="str">
        <f>_xlfn.XLOOKUP(DB07_baselinesequence[[#This Row],[basesequence-ID]],DB06_baseline[ID],DB06_baseline[Baseline],"",0)</f>
        <v>ATGGCGCACGCTGGGAGA</v>
      </c>
      <c r="H91" s="1">
        <f>_xlfn.XLOOKUP(DB07_baselinesequence[[#This Row],[basesequence-ID]],DB06_baseline[ID],DB06_baseline[確認済],FALSE,0)</f>
        <v>0</v>
      </c>
      <c r="J91" s="1" t="s">
        <v>501</v>
      </c>
      <c r="K91" s="4"/>
      <c r="L91" s="3"/>
    </row>
    <row r="92" spans="1:12" x14ac:dyDescent="0.45">
      <c r="A92" s="1">
        <v>104</v>
      </c>
      <c r="B92" s="1" t="str">
        <f>"07-"&amp;LEFT(RIGHTB(REPT(0,4)&amp;_xlfn.BASE(DB07_baselinesequence[[#This Row],[num]],36),4),2)&amp;"-"&amp;RIGHT(RIGHTB(REPT(0,4)&amp;_xlfn.BASE(DB07_baselinesequence[[#This Row],[num]],36),4),2)</f>
        <v>07-00-2W</v>
      </c>
      <c r="C92" s="1" t="s">
        <v>503</v>
      </c>
      <c r="F92" s="1" t="s">
        <v>502</v>
      </c>
      <c r="G92" s="1" t="str">
        <f>_xlfn.XLOOKUP(DB07_baselinesequence[[#This Row],[basesequence-ID]],DB06_baseline[ID],DB06_baseline[Baseline],"",0)</f>
        <v>CAGATTTATTTAGCCA</v>
      </c>
      <c r="H92" s="1">
        <f>_xlfn.XLOOKUP(DB07_baselinesequence[[#This Row],[basesequence-ID]],DB06_baseline[ID],DB06_baseline[確認済],FALSE,0)</f>
        <v>0</v>
      </c>
      <c r="J92" s="1" t="s">
        <v>509</v>
      </c>
      <c r="K92" s="4"/>
      <c r="L92" s="3"/>
    </row>
    <row r="93" spans="1:12" x14ac:dyDescent="0.45">
      <c r="A93" s="1">
        <v>105</v>
      </c>
      <c r="B93" s="1" t="str">
        <f>"07-"&amp;LEFT(RIGHTB(REPT(0,4)&amp;_xlfn.BASE(DB07_baselinesequence[[#This Row],[num]],36),4),2)&amp;"-"&amp;RIGHT(RIGHTB(REPT(0,4)&amp;_xlfn.BASE(DB07_baselinesequence[[#This Row],[num]],36),4),2)</f>
        <v>07-00-2X</v>
      </c>
      <c r="C93" s="1" t="s">
        <v>507</v>
      </c>
      <c r="F93" s="1" t="s">
        <v>506</v>
      </c>
      <c r="G93" s="1" t="str">
        <f>_xlfn.XLOOKUP(DB07_baselinesequence[[#This Row],[basesequence-ID]],DB06_baseline[ID],DB06_baseline[Baseline],"",0)</f>
        <v>TGGCTAAATAAATCTG</v>
      </c>
      <c r="H93" s="1">
        <f>_xlfn.XLOOKUP(DB07_baselinesequence[[#This Row],[basesequence-ID]],DB06_baseline[ID],DB06_baseline[確認済],FALSE,0)</f>
        <v>0</v>
      </c>
      <c r="J93" s="1" t="s">
        <v>510</v>
      </c>
      <c r="K93" s="4"/>
      <c r="L93" s="3"/>
    </row>
    <row r="94" spans="1:12" x14ac:dyDescent="0.45">
      <c r="A94" s="1">
        <v>106</v>
      </c>
      <c r="B94" s="1" t="str">
        <f>"07-"&amp;LEFT(RIGHTB(REPT(0,4)&amp;_xlfn.BASE(DB07_baselinesequence[[#This Row],[num]],36),4),2)&amp;"-"&amp;RIGHT(RIGHTB(REPT(0,4)&amp;_xlfn.BASE(DB07_baselinesequence[[#This Row],[num]],36),4),2)</f>
        <v>07-00-2Y</v>
      </c>
      <c r="C94" s="1" t="s">
        <v>512</v>
      </c>
      <c r="F94" s="1" t="s">
        <v>511</v>
      </c>
      <c r="G94" s="1" t="str">
        <f>_xlfn.XLOOKUP(DB07_baselinesequence[[#This Row],[basesequence-ID]],DB06_baseline[ID],DB06_baseline[Baseline],"",0)</f>
        <v>TTGGAGAAGAAGCCGACTGG</v>
      </c>
      <c r="H94" s="1">
        <f>_xlfn.XLOOKUP(DB07_baselinesequence[[#This Row],[basesequence-ID]],DB06_baseline[ID],DB06_baseline[確認済],FALSE,0)</f>
        <v>0</v>
      </c>
      <c r="J94" s="1" t="s">
        <v>517</v>
      </c>
      <c r="K94" s="4"/>
      <c r="L94" s="3"/>
    </row>
    <row r="95" spans="1:12" x14ac:dyDescent="0.45">
      <c r="A95" s="1">
        <v>107</v>
      </c>
      <c r="B95" s="1" t="str">
        <f>"07-"&amp;LEFT(RIGHTB(REPT(0,4)&amp;_xlfn.BASE(DB07_baselinesequence[[#This Row],[num]],36),4),2)&amp;"-"&amp;RIGHT(RIGHTB(REPT(0,4)&amp;_xlfn.BASE(DB07_baselinesequence[[#This Row],[num]],36),4),2)</f>
        <v>07-00-2Z</v>
      </c>
      <c r="C95" s="1" t="s">
        <v>514</v>
      </c>
      <c r="F95" s="1" t="s">
        <v>513</v>
      </c>
      <c r="G95" s="1" t="str">
        <f>_xlfn.XLOOKUP(DB07_baselinesequence[[#This Row],[basesequence-ID]],DB06_baseline[ID],DB06_baseline[Baseline],"",0)</f>
        <v>CCAGTCGGCTTCTTCTCCAA</v>
      </c>
      <c r="H95" s="1">
        <f>_xlfn.XLOOKUP(DB07_baselinesequence[[#This Row],[basesequence-ID]],DB06_baseline[ID],DB06_baseline[確認済],FALSE,0)</f>
        <v>0</v>
      </c>
      <c r="J95" s="1" t="s">
        <v>518</v>
      </c>
      <c r="K95" s="4"/>
      <c r="L95" s="3"/>
    </row>
    <row r="96" spans="1:12" x14ac:dyDescent="0.45">
      <c r="A96" s="1">
        <v>108</v>
      </c>
      <c r="B96" s="1" t="str">
        <f>"07-"&amp;LEFT(RIGHTB(REPT(0,4)&amp;_xlfn.BASE(DB07_baselinesequence[[#This Row],[num]],36),4),2)&amp;"-"&amp;RIGHT(RIGHTB(REPT(0,4)&amp;_xlfn.BASE(DB07_baselinesequence[[#This Row],[num]],36),4),2)</f>
        <v>07-00-30</v>
      </c>
      <c r="C96" s="1" t="s">
        <v>522</v>
      </c>
      <c r="F96" s="1" t="s">
        <v>425</v>
      </c>
      <c r="G96" s="1" t="str">
        <f>_xlfn.XLOOKUP(DB07_baselinesequence[[#This Row],[basesequence-ID]],DB06_baseline[ID],DB06_baseline[Baseline],"",0)</f>
        <v>GCATTCAGTGAACTAG</v>
      </c>
      <c r="H96" s="1">
        <f>_xlfn.XLOOKUP(DB07_baselinesequence[[#This Row],[basesequence-ID]],DB06_baseline[ID],DB06_baseline[確認済],FALSE,0)</f>
        <v>0</v>
      </c>
      <c r="J96" s="1" t="s">
        <v>2030</v>
      </c>
      <c r="K96" s="4"/>
      <c r="L96" s="3"/>
    </row>
    <row r="97" spans="1:12" x14ac:dyDescent="0.45">
      <c r="A97" s="1">
        <v>109</v>
      </c>
      <c r="B97" s="1" t="str">
        <f>"07-"&amp;LEFT(RIGHTB(REPT(0,4)&amp;_xlfn.BASE(DB07_baselinesequence[[#This Row],[num]],36),4),2)&amp;"-"&amp;RIGHT(RIGHTB(REPT(0,4)&amp;_xlfn.BASE(DB07_baselinesequence[[#This Row],[num]],36),4),2)</f>
        <v>07-00-31</v>
      </c>
      <c r="C97" s="1" t="s">
        <v>523</v>
      </c>
      <c r="F97" s="1" t="s">
        <v>425</v>
      </c>
      <c r="G97" s="1" t="str">
        <f>_xlfn.XLOOKUP(DB07_baselinesequence[[#This Row],[basesequence-ID]],DB06_baseline[ID],DB06_baseline[Baseline],"",0)</f>
        <v>GCATTCAGTGAACTAG</v>
      </c>
      <c r="H97" s="1">
        <f>_xlfn.XLOOKUP(DB07_baselinesequence[[#This Row],[basesequence-ID]],DB06_baseline[ID],DB06_baseline[確認済],FALSE,0)</f>
        <v>0</v>
      </c>
      <c r="J97" s="1" t="s">
        <v>2029</v>
      </c>
      <c r="K97" s="4"/>
      <c r="L97" s="3"/>
    </row>
    <row r="98" spans="1:12" x14ac:dyDescent="0.45">
      <c r="A98" s="1">
        <v>110</v>
      </c>
      <c r="B98" s="1" t="str">
        <f>"07-"&amp;LEFT(RIGHTB(REPT(0,4)&amp;_xlfn.BASE(DB07_baselinesequence[[#This Row],[num]],36),4),2)&amp;"-"&amp;RIGHT(RIGHTB(REPT(0,4)&amp;_xlfn.BASE(DB07_baselinesequence[[#This Row],[num]],36),4),2)</f>
        <v>07-00-32</v>
      </c>
      <c r="C98" s="1" t="s">
        <v>524</v>
      </c>
      <c r="F98" s="1" t="s">
        <v>425</v>
      </c>
      <c r="G98" s="1" t="str">
        <f>_xlfn.XLOOKUP(DB07_baselinesequence[[#This Row],[basesequence-ID]],DB06_baseline[ID],DB06_baseline[Baseline],"",0)</f>
        <v>GCATTCAGTGAACTAG</v>
      </c>
      <c r="H98" s="1">
        <f>_xlfn.XLOOKUP(DB07_baselinesequence[[#This Row],[basesequence-ID]],DB06_baseline[ID],DB06_baseline[確認済],FALSE,0)</f>
        <v>0</v>
      </c>
      <c r="J98" s="1" t="s">
        <v>2002</v>
      </c>
      <c r="K98" s="4"/>
      <c r="L98" s="3"/>
    </row>
    <row r="99" spans="1:12" x14ac:dyDescent="0.45">
      <c r="A99" s="1">
        <v>111</v>
      </c>
      <c r="B99" s="1" t="str">
        <f>"07-"&amp;LEFT(RIGHTB(REPT(0,4)&amp;_xlfn.BASE(DB07_baselinesequence[[#This Row],[num]],36),4),2)&amp;"-"&amp;RIGHT(RIGHTB(REPT(0,4)&amp;_xlfn.BASE(DB07_baselinesequence[[#This Row],[num]],36),4),2)</f>
        <v>07-00-33</v>
      </c>
      <c r="C99" s="1" t="s">
        <v>528</v>
      </c>
      <c r="F99" s="1" t="s">
        <v>425</v>
      </c>
      <c r="G99" s="1" t="str">
        <f>_xlfn.XLOOKUP(DB07_baselinesequence[[#This Row],[basesequence-ID]],DB06_baseline[ID],DB06_baseline[Baseline],"",0)</f>
        <v>GCATTCAGTGAACTAG</v>
      </c>
      <c r="H99" s="1">
        <f>_xlfn.XLOOKUP(DB07_baselinesequence[[#This Row],[basesequence-ID]],DB06_baseline[ID],DB06_baseline[確認済],FALSE,0)</f>
        <v>0</v>
      </c>
      <c r="J99" s="1" t="s">
        <v>525</v>
      </c>
      <c r="K99" s="4"/>
      <c r="L99" s="3"/>
    </row>
    <row r="100" spans="1:12" x14ac:dyDescent="0.45">
      <c r="A100" s="1">
        <v>112</v>
      </c>
      <c r="B100" s="1" t="str">
        <f>"07-"&amp;LEFT(RIGHTB(REPT(0,4)&amp;_xlfn.BASE(DB07_baselinesequence[[#This Row],[num]],36),4),2)&amp;"-"&amp;RIGHT(RIGHTB(REPT(0,4)&amp;_xlfn.BASE(DB07_baselinesequence[[#This Row],[num]],36),4),2)</f>
        <v>07-00-34</v>
      </c>
      <c r="C100" s="1" t="s">
        <v>529</v>
      </c>
      <c r="F100" s="1" t="s">
        <v>425</v>
      </c>
      <c r="G100" s="1" t="str">
        <f>_xlfn.XLOOKUP(DB07_baselinesequence[[#This Row],[basesequence-ID]],DB06_baseline[ID],DB06_baseline[Baseline],"",0)</f>
        <v>GCATTCAGTGAACTAG</v>
      </c>
      <c r="H100" s="1">
        <f>_xlfn.XLOOKUP(DB07_baselinesequence[[#This Row],[basesequence-ID]],DB06_baseline[ID],DB06_baseline[確認済],FALSE,0)</f>
        <v>0</v>
      </c>
      <c r="J100" s="1" t="s">
        <v>526</v>
      </c>
      <c r="K100" s="4"/>
      <c r="L100" s="3"/>
    </row>
    <row r="101" spans="1:12" x14ac:dyDescent="0.45">
      <c r="A101" s="1">
        <v>113</v>
      </c>
      <c r="B101" s="1" t="str">
        <f>"07-"&amp;LEFT(RIGHTB(REPT(0,4)&amp;_xlfn.BASE(DB07_baselinesequence[[#This Row],[num]],36),4),2)&amp;"-"&amp;RIGHT(RIGHTB(REPT(0,4)&amp;_xlfn.BASE(DB07_baselinesequence[[#This Row],[num]],36),4),2)</f>
        <v>07-00-35</v>
      </c>
      <c r="C101" s="1" t="s">
        <v>530</v>
      </c>
      <c r="F101" s="1" t="s">
        <v>425</v>
      </c>
      <c r="G101" s="1" t="str">
        <f>_xlfn.XLOOKUP(DB07_baselinesequence[[#This Row],[basesequence-ID]],DB06_baseline[ID],DB06_baseline[Baseline],"",0)</f>
        <v>GCATTCAGTGAACTAG</v>
      </c>
      <c r="H101" s="1">
        <f>_xlfn.XLOOKUP(DB07_baselinesequence[[#This Row],[basesequence-ID]],DB06_baseline[ID],DB06_baseline[確認済],FALSE,0)</f>
        <v>0</v>
      </c>
      <c r="J101" s="1" t="s">
        <v>527</v>
      </c>
      <c r="K101" s="4"/>
      <c r="L101" s="3"/>
    </row>
    <row r="102" spans="1:12" x14ac:dyDescent="0.45">
      <c r="A102" s="1">
        <v>114</v>
      </c>
      <c r="B102" s="1" t="str">
        <f>"07-"&amp;LEFT(RIGHTB(REPT(0,4)&amp;_xlfn.BASE(DB07_baselinesequence[[#This Row],[num]],36),4),2)&amp;"-"&amp;RIGHT(RIGHTB(REPT(0,4)&amp;_xlfn.BASE(DB07_baselinesequence[[#This Row],[num]],36),4),2)</f>
        <v>07-00-36</v>
      </c>
      <c r="C102" s="1" t="s">
        <v>1350</v>
      </c>
      <c r="F102" s="1" t="s">
        <v>535</v>
      </c>
      <c r="G102" s="1" t="str">
        <f>_xlfn.XLOOKUP(DB07_baselinesequence[[#This Row],[basesequence-ID]],DB06_baseline[ID],DB06_baseline[Baseline],"",0)</f>
        <v>GAGGCAGACGAACCAT</v>
      </c>
      <c r="H102" s="1">
        <f>_xlfn.XLOOKUP(DB07_baselinesequence[[#This Row],[basesequence-ID]],DB06_baseline[ID],DB06_baseline[確認済],FALSE,0)</f>
        <v>0</v>
      </c>
      <c r="J102" s="1" t="s">
        <v>1676</v>
      </c>
      <c r="K102" s="4"/>
      <c r="L102" s="3"/>
    </row>
    <row r="103" spans="1:12" x14ac:dyDescent="0.45">
      <c r="A103" s="1">
        <v>115</v>
      </c>
      <c r="B103" s="1" t="str">
        <f>"07-"&amp;LEFT(RIGHTB(REPT(0,4)&amp;_xlfn.BASE(DB07_baselinesequence[[#This Row],[num]],36),4),2)&amp;"-"&amp;RIGHT(RIGHTB(REPT(0,4)&amp;_xlfn.BASE(DB07_baselinesequence[[#This Row],[num]],36),4),2)</f>
        <v>07-00-37</v>
      </c>
      <c r="C103" s="1" t="s">
        <v>1351</v>
      </c>
      <c r="F103" s="1" t="s">
        <v>538</v>
      </c>
      <c r="G103" s="1" t="str">
        <f>_xlfn.XLOOKUP(DB07_baselinesequence[[#This Row],[basesequence-ID]],DB06_baseline[ID],DB06_baseline[Baseline],"",0)</f>
        <v>CTGCAGAGGCAGACGA</v>
      </c>
      <c r="H103" s="1">
        <f>_xlfn.XLOOKUP(DB07_baselinesequence[[#This Row],[basesequence-ID]],DB06_baseline[ID],DB06_baseline[確認済],FALSE,0)</f>
        <v>0</v>
      </c>
      <c r="J103" s="1" t="s">
        <v>1677</v>
      </c>
      <c r="K103" s="4"/>
      <c r="L103" s="3"/>
    </row>
    <row r="104" spans="1:12" x14ac:dyDescent="0.45">
      <c r="A104" s="1">
        <v>116</v>
      </c>
      <c r="B104" s="1" t="str">
        <f>"07-"&amp;LEFT(RIGHTB(REPT(0,4)&amp;_xlfn.BASE(DB07_baselinesequence[[#This Row],[num]],36),4),2)&amp;"-"&amp;RIGHT(RIGHTB(REPT(0,4)&amp;_xlfn.BASE(DB07_baselinesequence[[#This Row],[num]],36),4),2)</f>
        <v>07-00-38</v>
      </c>
      <c r="C104" s="1" t="s">
        <v>1352</v>
      </c>
      <c r="F104" s="1" t="s">
        <v>541</v>
      </c>
      <c r="G104" s="1" t="str">
        <f>_xlfn.XLOOKUP(DB07_baselinesequence[[#This Row],[basesequence-ID]],DB06_baseline[ID],DB06_baseline[Baseline],"",0)</f>
        <v>ACGCACTGCAGAGGCA</v>
      </c>
      <c r="H104" s="1">
        <f>_xlfn.XLOOKUP(DB07_baselinesequence[[#This Row],[basesequence-ID]],DB06_baseline[ID],DB06_baseline[確認済],FALSE,0)</f>
        <v>0</v>
      </c>
      <c r="J104" s="1" t="s">
        <v>1678</v>
      </c>
      <c r="K104" s="4"/>
      <c r="L104" s="3"/>
    </row>
    <row r="105" spans="1:12" x14ac:dyDescent="0.45">
      <c r="A105" s="1">
        <v>117</v>
      </c>
      <c r="B105" s="1" t="str">
        <f>"07-"&amp;LEFT(RIGHTB(REPT(0,4)&amp;_xlfn.BASE(DB07_baselinesequence[[#This Row],[num]],36),4),2)&amp;"-"&amp;RIGHT(RIGHTB(REPT(0,4)&amp;_xlfn.BASE(DB07_baselinesequence[[#This Row],[num]],36),4),2)</f>
        <v>07-00-39</v>
      </c>
      <c r="C105" s="1" t="s">
        <v>1353</v>
      </c>
      <c r="F105" s="1" t="s">
        <v>544</v>
      </c>
      <c r="G105" s="1" t="str">
        <f>_xlfn.XLOOKUP(DB07_baselinesequence[[#This Row],[basesequence-ID]],DB06_baseline[ID],DB06_baseline[Baseline],"",0)</f>
        <v>AGAGGACGCACTGCAG</v>
      </c>
      <c r="H105" s="1">
        <f>_xlfn.XLOOKUP(DB07_baselinesequence[[#This Row],[basesequence-ID]],DB06_baseline[ID],DB06_baseline[確認済],FALSE,0)</f>
        <v>0</v>
      </c>
      <c r="J105" s="1" t="s">
        <v>1679</v>
      </c>
      <c r="K105" s="4"/>
      <c r="L105" s="3"/>
    </row>
    <row r="106" spans="1:12" x14ac:dyDescent="0.45">
      <c r="A106" s="1">
        <v>118</v>
      </c>
      <c r="B106" s="1" t="str">
        <f>"07-"&amp;LEFT(RIGHTB(REPT(0,4)&amp;_xlfn.BASE(DB07_baselinesequence[[#This Row],[num]],36),4),2)&amp;"-"&amp;RIGHT(RIGHTB(REPT(0,4)&amp;_xlfn.BASE(DB07_baselinesequence[[#This Row],[num]],36),4),2)</f>
        <v>07-00-3A</v>
      </c>
      <c r="C106" s="1" t="s">
        <v>1354</v>
      </c>
      <c r="F106" s="1" t="s">
        <v>547</v>
      </c>
      <c r="G106" s="1" t="str">
        <f>_xlfn.XLOOKUP(DB07_baselinesequence[[#This Row],[basesequence-ID]],DB06_baseline[ID],DB06_baseline[Baseline],"",0)</f>
        <v>GCCCCAGAGGACGCAC</v>
      </c>
      <c r="H106" s="1">
        <f>_xlfn.XLOOKUP(DB07_baselinesequence[[#This Row],[basesequence-ID]],DB06_baseline[ID],DB06_baseline[確認済],FALSE,0)</f>
        <v>0</v>
      </c>
      <c r="J106" s="1" t="s">
        <v>1680</v>
      </c>
      <c r="K106" s="4"/>
      <c r="L106" s="3"/>
    </row>
    <row r="107" spans="1:12" x14ac:dyDescent="0.45">
      <c r="A107" s="1">
        <v>119</v>
      </c>
      <c r="B107" s="1" t="str">
        <f>"07-"&amp;LEFT(RIGHTB(REPT(0,4)&amp;_xlfn.BASE(DB07_baselinesequence[[#This Row],[num]],36),4),2)&amp;"-"&amp;RIGHT(RIGHTB(REPT(0,4)&amp;_xlfn.BASE(DB07_baselinesequence[[#This Row],[num]],36),4),2)</f>
        <v>07-00-3B</v>
      </c>
      <c r="C107" s="1" t="s">
        <v>1355</v>
      </c>
      <c r="F107" s="1" t="s">
        <v>550</v>
      </c>
      <c r="G107" s="1" t="str">
        <f>_xlfn.XLOOKUP(DB07_baselinesequence[[#This Row],[basesequence-ID]],DB06_baseline[ID],DB06_baseline[Baseline],"",0)</f>
        <v>AAGCAGCCCCAGAGGA</v>
      </c>
      <c r="H107" s="1">
        <f>_xlfn.XLOOKUP(DB07_baselinesequence[[#This Row],[basesequence-ID]],DB06_baseline[ID],DB06_baseline[確認済],FALSE,0)</f>
        <v>0</v>
      </c>
      <c r="J107" s="1" t="s">
        <v>1681</v>
      </c>
      <c r="K107" s="4"/>
      <c r="L107" s="3"/>
    </row>
    <row r="108" spans="1:12" x14ac:dyDescent="0.45">
      <c r="A108" s="1">
        <v>120</v>
      </c>
      <c r="B108" s="1" t="str">
        <f>"07-"&amp;LEFT(RIGHTB(REPT(0,4)&amp;_xlfn.BASE(DB07_baselinesequence[[#This Row],[num]],36),4),2)&amp;"-"&amp;RIGHT(RIGHTB(REPT(0,4)&amp;_xlfn.BASE(DB07_baselinesequence[[#This Row],[num]],36),4),2)</f>
        <v>07-00-3C</v>
      </c>
      <c r="C108" s="1" t="s">
        <v>1356</v>
      </c>
      <c r="F108" s="1" t="s">
        <v>553</v>
      </c>
      <c r="G108" s="1" t="str">
        <f>_xlfn.XLOOKUP(DB07_baselinesequence[[#This Row],[basesequence-ID]],DB06_baseline[ID],DB06_baseline[Baseline],"",0)</f>
        <v>TCAGCAAGCAGCCCCA</v>
      </c>
      <c r="H108" s="1">
        <f>_xlfn.XLOOKUP(DB07_baselinesequence[[#This Row],[basesequence-ID]],DB06_baseline[ID],DB06_baseline[確認済],FALSE,0)</f>
        <v>0</v>
      </c>
      <c r="J108" s="1" t="s">
        <v>1682</v>
      </c>
      <c r="K108" s="4"/>
      <c r="L108" s="3"/>
    </row>
    <row r="109" spans="1:12" x14ac:dyDescent="0.45">
      <c r="A109" s="1">
        <v>121</v>
      </c>
      <c r="B109" s="1" t="str">
        <f>"07-"&amp;LEFT(RIGHTB(REPT(0,4)&amp;_xlfn.BASE(DB07_baselinesequence[[#This Row],[num]],36),4),2)&amp;"-"&amp;RIGHT(RIGHTB(REPT(0,4)&amp;_xlfn.BASE(DB07_baselinesequence[[#This Row],[num]],36),4),2)</f>
        <v>07-00-3D</v>
      </c>
      <c r="C109" s="1" t="s">
        <v>1357</v>
      </c>
      <c r="F109" s="1" t="s">
        <v>556</v>
      </c>
      <c r="G109" s="1" t="str">
        <f>_xlfn.XLOOKUP(DB07_baselinesequence[[#This Row],[basesequence-ID]],DB06_baseline[ID],DB06_baseline[Baseline],"",0)</f>
        <v>AGCGGTCAGCAAGCAG</v>
      </c>
      <c r="H109" s="1">
        <f>_xlfn.XLOOKUP(DB07_baselinesequence[[#This Row],[basesequence-ID]],DB06_baseline[ID],DB06_baseline[確認済],FALSE,0)</f>
        <v>0</v>
      </c>
      <c r="J109" s="1" t="s">
        <v>1683</v>
      </c>
      <c r="K109" s="4"/>
      <c r="L109" s="3"/>
    </row>
    <row r="110" spans="1:12" x14ac:dyDescent="0.45">
      <c r="A110" s="1">
        <v>122</v>
      </c>
      <c r="B110" s="1" t="str">
        <f>"07-"&amp;LEFT(RIGHTB(REPT(0,4)&amp;_xlfn.BASE(DB07_baselinesequence[[#This Row],[num]],36),4),2)&amp;"-"&amp;RIGHT(RIGHTB(REPT(0,4)&amp;_xlfn.BASE(DB07_baselinesequence[[#This Row],[num]],36),4),2)</f>
        <v>07-00-3E</v>
      </c>
      <c r="C110" s="1" t="s">
        <v>1358</v>
      </c>
      <c r="F110" s="1" t="s">
        <v>559</v>
      </c>
      <c r="G110" s="1" t="str">
        <f>_xlfn.XLOOKUP(DB07_baselinesequence[[#This Row],[basesequence-ID]],DB06_baseline[ID],DB06_baseline[Baseline],"",0)</f>
        <v>TGGACAGCGGTCAGCA</v>
      </c>
      <c r="H110" s="1">
        <f>_xlfn.XLOOKUP(DB07_baselinesequence[[#This Row],[basesequence-ID]],DB06_baseline[ID],DB06_baseline[確認済],FALSE,0)</f>
        <v>0</v>
      </c>
      <c r="J110" s="1" t="s">
        <v>1684</v>
      </c>
      <c r="K110" s="4"/>
      <c r="L110" s="3"/>
    </row>
    <row r="111" spans="1:12" x14ac:dyDescent="0.45">
      <c r="A111" s="1">
        <v>123</v>
      </c>
      <c r="B111" s="1" t="str">
        <f>"07-"&amp;LEFT(RIGHTB(REPT(0,4)&amp;_xlfn.BASE(DB07_baselinesequence[[#This Row],[num]],36),4),2)&amp;"-"&amp;RIGHT(RIGHTB(REPT(0,4)&amp;_xlfn.BASE(DB07_baselinesequence[[#This Row],[num]],36),4),2)</f>
        <v>07-00-3F</v>
      </c>
      <c r="C111" s="1" t="s">
        <v>1359</v>
      </c>
      <c r="F111" s="1" t="s">
        <v>562</v>
      </c>
      <c r="G111" s="1" t="str">
        <f>_xlfn.XLOOKUP(DB07_baselinesequence[[#This Row],[basesequence-ID]],DB06_baseline[ID],DB06_baseline[Baseline],"",0)</f>
        <v>CTGGATGGACAGCGGT</v>
      </c>
      <c r="H111" s="1">
        <f>_xlfn.XLOOKUP(DB07_baselinesequence[[#This Row],[basesequence-ID]],DB06_baseline[ID],DB06_baseline[確認済],FALSE,0)</f>
        <v>0</v>
      </c>
      <c r="J111" s="1" t="s">
        <v>1685</v>
      </c>
      <c r="K111" s="4"/>
      <c r="L111" s="3"/>
    </row>
    <row r="112" spans="1:12" x14ac:dyDescent="0.45">
      <c r="A112" s="1">
        <v>124</v>
      </c>
      <c r="B112" s="1" t="str">
        <f>"07-"&amp;LEFT(RIGHTB(REPT(0,4)&amp;_xlfn.BASE(DB07_baselinesequence[[#This Row],[num]],36),4),2)&amp;"-"&amp;RIGHT(RIGHTB(REPT(0,4)&amp;_xlfn.BASE(DB07_baselinesequence[[#This Row],[num]],36),4),2)</f>
        <v>07-00-3G</v>
      </c>
      <c r="C112" s="1" t="s">
        <v>1360</v>
      </c>
      <c r="F112" s="1" t="s">
        <v>565</v>
      </c>
      <c r="G112" s="1" t="str">
        <f>_xlfn.XLOOKUP(DB07_baselinesequence[[#This Row],[basesequence-ID]],DB06_baseline[ID],DB06_baseline[Baseline],"",0)</f>
        <v>TGGTTCTGGATGGACA</v>
      </c>
      <c r="H112" s="1">
        <f>_xlfn.XLOOKUP(DB07_baselinesequence[[#This Row],[basesequence-ID]],DB06_baseline[ID],DB06_baseline[確認済],FALSE,0)</f>
        <v>0</v>
      </c>
      <c r="J112" s="1" t="s">
        <v>1686</v>
      </c>
      <c r="K112" s="4"/>
      <c r="L112" s="3"/>
    </row>
    <row r="113" spans="1:12" x14ac:dyDescent="0.45">
      <c r="A113" s="1">
        <v>125</v>
      </c>
      <c r="B113" s="1" t="str">
        <f>"07-"&amp;LEFT(RIGHTB(REPT(0,4)&amp;_xlfn.BASE(DB07_baselinesequence[[#This Row],[num]],36),4),2)&amp;"-"&amp;RIGHT(RIGHTB(REPT(0,4)&amp;_xlfn.BASE(DB07_baselinesequence[[#This Row],[num]],36),4),2)</f>
        <v>07-00-3H</v>
      </c>
      <c r="C113" s="1" t="s">
        <v>1361</v>
      </c>
      <c r="F113" s="1" t="s">
        <v>568</v>
      </c>
      <c r="G113" s="1" t="str">
        <f>_xlfn.XLOOKUP(DB07_baselinesequence[[#This Row],[basesequence-ID]],DB06_baseline[ID],DB06_baseline[Baseline],"",0)</f>
        <v>GTGGGTGGTTCTGGAT</v>
      </c>
      <c r="H113" s="1">
        <f>_xlfn.XLOOKUP(DB07_baselinesequence[[#This Row],[basesequence-ID]],DB06_baseline[ID],DB06_baseline[確認済],FALSE,0)</f>
        <v>0</v>
      </c>
      <c r="J113" s="1" t="s">
        <v>1687</v>
      </c>
      <c r="K113" s="4"/>
      <c r="L113" s="3"/>
    </row>
    <row r="114" spans="1:12" x14ac:dyDescent="0.45">
      <c r="A114" s="1">
        <v>126</v>
      </c>
      <c r="B114" s="1" t="str">
        <f>"07-"&amp;LEFT(RIGHTB(REPT(0,4)&amp;_xlfn.BASE(DB07_baselinesequence[[#This Row],[num]],36),4),2)&amp;"-"&amp;RIGHT(RIGHTB(REPT(0,4)&amp;_xlfn.BASE(DB07_baselinesequence[[#This Row],[num]],36),4),2)</f>
        <v>07-00-3I</v>
      </c>
      <c r="C114" s="1" t="s">
        <v>1362</v>
      </c>
      <c r="F114" s="1" t="s">
        <v>571</v>
      </c>
      <c r="G114" s="1" t="str">
        <f>_xlfn.XLOOKUP(DB07_baselinesequence[[#This Row],[basesequence-ID]],DB06_baseline[ID],DB06_baseline[Baseline],"",0)</f>
        <v>ATGCAGTGGGTGGTTC</v>
      </c>
      <c r="H114" s="1">
        <f>_xlfn.XLOOKUP(DB07_baselinesequence[[#This Row],[basesequence-ID]],DB06_baseline[ID],DB06_baseline[確認済],FALSE,0)</f>
        <v>0</v>
      </c>
      <c r="J114" s="1" t="s">
        <v>1688</v>
      </c>
      <c r="K114" s="4"/>
      <c r="L114" s="3"/>
    </row>
    <row r="115" spans="1:12" x14ac:dyDescent="0.45">
      <c r="A115" s="1">
        <v>127</v>
      </c>
      <c r="B115" s="1" t="str">
        <f>"07-"&amp;LEFT(RIGHTB(REPT(0,4)&amp;_xlfn.BASE(DB07_baselinesequence[[#This Row],[num]],36),4),2)&amp;"-"&amp;RIGHT(RIGHTB(REPT(0,4)&amp;_xlfn.BASE(DB07_baselinesequence[[#This Row],[num]],36),4),2)</f>
        <v>07-00-3J</v>
      </c>
      <c r="C115" s="1" t="s">
        <v>1363</v>
      </c>
      <c r="F115" s="1" t="s">
        <v>574</v>
      </c>
      <c r="G115" s="1" t="str">
        <f>_xlfn.XLOOKUP(DB07_baselinesequence[[#This Row],[basesequence-ID]],DB06_baseline[ID],DB06_baseline[Baseline],"",0)</f>
        <v>TCTGCATGCAGTGGGT</v>
      </c>
      <c r="H115" s="1">
        <f>_xlfn.XLOOKUP(DB07_baselinesequence[[#This Row],[basesequence-ID]],DB06_baseline[ID],DB06_baseline[確認済],FALSE,0)</f>
        <v>0</v>
      </c>
      <c r="J115" s="1" t="s">
        <v>1689</v>
      </c>
      <c r="K115" s="4"/>
      <c r="L115" s="3"/>
    </row>
    <row r="116" spans="1:12" x14ac:dyDescent="0.45">
      <c r="A116" s="1">
        <v>128</v>
      </c>
      <c r="B116" s="1" t="str">
        <f>"07-"&amp;LEFT(RIGHTB(REPT(0,4)&amp;_xlfn.BASE(DB07_baselinesequence[[#This Row],[num]],36),4),2)&amp;"-"&amp;RIGHT(RIGHTB(REPT(0,4)&amp;_xlfn.BASE(DB07_baselinesequence[[#This Row],[num]],36),4),2)</f>
        <v>07-00-3K</v>
      </c>
      <c r="C116" s="1" t="s">
        <v>1364</v>
      </c>
      <c r="F116" s="1" t="s">
        <v>577</v>
      </c>
      <c r="G116" s="1" t="str">
        <f>_xlfn.XLOOKUP(DB07_baselinesequence[[#This Row],[basesequence-ID]],DB06_baseline[ID],DB06_baseline[Baseline],"",0)</f>
        <v>TTTTCTCTGCATGCAG</v>
      </c>
      <c r="H116" s="1">
        <f>_xlfn.XLOOKUP(DB07_baselinesequence[[#This Row],[basesequence-ID]],DB06_baseline[ID],DB06_baseline[確認済],FALSE,0)</f>
        <v>0</v>
      </c>
      <c r="J116" s="1" t="s">
        <v>1690</v>
      </c>
      <c r="K116" s="4"/>
      <c r="L116" s="3"/>
    </row>
    <row r="117" spans="1:12" x14ac:dyDescent="0.45">
      <c r="A117" s="1">
        <v>129</v>
      </c>
      <c r="B117" s="1" t="str">
        <f>"07-"&amp;LEFT(RIGHTB(REPT(0,4)&amp;_xlfn.BASE(DB07_baselinesequence[[#This Row],[num]],36),4),2)&amp;"-"&amp;RIGHT(RIGHTB(REPT(0,4)&amp;_xlfn.BASE(DB07_baselinesequence[[#This Row],[num]],36),4),2)</f>
        <v>07-00-3L</v>
      </c>
      <c r="C117" s="1" t="s">
        <v>1365</v>
      </c>
      <c r="F117" s="1" t="s">
        <v>580</v>
      </c>
      <c r="G117" s="1" t="str">
        <f>_xlfn.XLOOKUP(DB07_baselinesequence[[#This Row],[basesequence-ID]],DB06_baseline[ID],DB06_baseline[Baseline],"",0)</f>
        <v>ACTGTTTTTCTCTGCA</v>
      </c>
      <c r="H117" s="1">
        <f>_xlfn.XLOOKUP(DB07_baselinesequence[[#This Row],[basesequence-ID]],DB06_baseline[ID],DB06_baseline[確認済],FALSE,0)</f>
        <v>0</v>
      </c>
      <c r="J117" s="1" t="s">
        <v>1691</v>
      </c>
      <c r="K117" s="4"/>
      <c r="L117" s="3"/>
    </row>
    <row r="118" spans="1:12" x14ac:dyDescent="0.45">
      <c r="A118" s="1">
        <v>130</v>
      </c>
      <c r="B118" s="1" t="str">
        <f>"07-"&amp;LEFT(RIGHTB(REPT(0,4)&amp;_xlfn.BASE(DB07_baselinesequence[[#This Row],[num]],36),4),2)&amp;"-"&amp;RIGHT(RIGHTB(REPT(0,4)&amp;_xlfn.BASE(DB07_baselinesequence[[#This Row],[num]],36),4),2)</f>
        <v>07-00-3M</v>
      </c>
      <c r="C118" s="1" t="s">
        <v>1366</v>
      </c>
      <c r="F118" s="1" t="s">
        <v>583</v>
      </c>
      <c r="G118" s="1" t="str">
        <f>_xlfn.XLOOKUP(DB07_baselinesequence[[#This Row],[basesequence-ID]],DB06_baseline[ID],DB06_baseline[Baseline],"",0)</f>
        <v>TAGGTACTGTTTTTCT</v>
      </c>
      <c r="H118" s="1">
        <f>_xlfn.XLOOKUP(DB07_baselinesequence[[#This Row],[basesequence-ID]],DB06_baseline[ID],DB06_baseline[確認済],FALSE,0)</f>
        <v>0</v>
      </c>
      <c r="J118" s="1" t="s">
        <v>1692</v>
      </c>
      <c r="K118" s="4"/>
      <c r="L118" s="3"/>
    </row>
    <row r="119" spans="1:12" x14ac:dyDescent="0.45">
      <c r="A119" s="1">
        <v>131</v>
      </c>
      <c r="B119" s="1" t="str">
        <f>"07-"&amp;LEFT(RIGHTB(REPT(0,4)&amp;_xlfn.BASE(DB07_baselinesequence[[#This Row],[num]],36),4),2)&amp;"-"&amp;RIGHT(RIGHTB(REPT(0,4)&amp;_xlfn.BASE(DB07_baselinesequence[[#This Row],[num]],36),4),2)</f>
        <v>07-00-3N</v>
      </c>
      <c r="C119" s="1" t="s">
        <v>1367</v>
      </c>
      <c r="F119" s="1" t="s">
        <v>586</v>
      </c>
      <c r="G119" s="1" t="str">
        <f>_xlfn.XLOOKUP(DB07_baselinesequence[[#This Row],[basesequence-ID]],DB06_baseline[ID],DB06_baseline[Baseline],"",0)</f>
        <v>TTTATTAGGTACTGTT</v>
      </c>
      <c r="H119" s="1">
        <f>_xlfn.XLOOKUP(DB07_baselinesequence[[#This Row],[basesequence-ID]],DB06_baseline[ID],DB06_baseline[確認済],FALSE,0)</f>
        <v>0</v>
      </c>
      <c r="J119" s="1" t="s">
        <v>1693</v>
      </c>
      <c r="K119" s="4"/>
      <c r="L119" s="3"/>
    </row>
    <row r="120" spans="1:12" x14ac:dyDescent="0.45">
      <c r="A120" s="1">
        <v>132</v>
      </c>
      <c r="B120" s="1" t="str">
        <f>"07-"&amp;LEFT(RIGHTB(REPT(0,4)&amp;_xlfn.BASE(DB07_baselinesequence[[#This Row],[num]],36),4),2)&amp;"-"&amp;RIGHT(RIGHTB(REPT(0,4)&amp;_xlfn.BASE(DB07_baselinesequence[[#This Row],[num]],36),4),2)</f>
        <v>07-00-3O</v>
      </c>
      <c r="C120" s="1" t="s">
        <v>1368</v>
      </c>
      <c r="F120" s="1" t="s">
        <v>589</v>
      </c>
      <c r="G120" s="1" t="str">
        <f>_xlfn.XLOOKUP(DB07_baselinesequence[[#This Row],[basesequence-ID]],DB06_baseline[ID],DB06_baseline[Baseline],"",0)</f>
        <v>GACTGTTTATTAGGTA</v>
      </c>
      <c r="H120" s="1">
        <f>_xlfn.XLOOKUP(DB07_baselinesequence[[#This Row],[basesequence-ID]],DB06_baseline[ID],DB06_baseline[確認済],FALSE,0)</f>
        <v>0</v>
      </c>
      <c r="J120" s="1" t="s">
        <v>1694</v>
      </c>
      <c r="K120" s="4"/>
      <c r="L120" s="3"/>
    </row>
    <row r="121" spans="1:12" x14ac:dyDescent="0.45">
      <c r="A121" s="1">
        <v>133</v>
      </c>
      <c r="B121" s="1" t="str">
        <f>"07-"&amp;LEFT(RIGHTB(REPT(0,4)&amp;_xlfn.BASE(DB07_baselinesequence[[#This Row],[num]],36),4),2)&amp;"-"&amp;RIGHT(RIGHTB(REPT(0,4)&amp;_xlfn.BASE(DB07_baselinesequence[[#This Row],[num]],36),4),2)</f>
        <v>07-00-3P</v>
      </c>
      <c r="C121" s="1" t="s">
        <v>1369</v>
      </c>
      <c r="F121" s="1" t="s">
        <v>592</v>
      </c>
      <c r="G121" s="1" t="str">
        <f>_xlfn.XLOOKUP(DB07_baselinesequence[[#This Row],[basesequence-ID]],DB06_baseline[ID],DB06_baseline[Baseline],"",0)</f>
        <v>GCACTGACTGTTTATT</v>
      </c>
      <c r="H121" s="1">
        <f>_xlfn.XLOOKUP(DB07_baselinesequence[[#This Row],[basesequence-ID]],DB06_baseline[ID],DB06_baseline[確認済],FALSE,0)</f>
        <v>0</v>
      </c>
      <c r="J121" s="1" t="s">
        <v>1695</v>
      </c>
      <c r="K121" s="4"/>
      <c r="L121" s="3"/>
    </row>
    <row r="122" spans="1:12" x14ac:dyDescent="0.45">
      <c r="A122" s="1">
        <v>134</v>
      </c>
      <c r="B122" s="1" t="str">
        <f>"07-"&amp;LEFT(RIGHTB(REPT(0,4)&amp;_xlfn.BASE(DB07_baselinesequence[[#This Row],[num]],36),4),2)&amp;"-"&amp;RIGHT(RIGHTB(REPT(0,4)&amp;_xlfn.BASE(DB07_baselinesequence[[#This Row],[num]],36),4),2)</f>
        <v>07-00-3Q</v>
      </c>
      <c r="C122" s="1" t="s">
        <v>1370</v>
      </c>
      <c r="F122" s="1" t="s">
        <v>595</v>
      </c>
      <c r="G122" s="1" t="str">
        <f>_xlfn.XLOOKUP(DB07_baselinesequence[[#This Row],[basesequence-ID]],DB06_baseline[ID],DB06_baseline[Baseline],"",0)</f>
        <v>GAACAGCACTGACTGT</v>
      </c>
      <c r="H122" s="1">
        <f>_xlfn.XLOOKUP(DB07_baselinesequence[[#This Row],[basesequence-ID]],DB06_baseline[ID],DB06_baseline[確認済],FALSE,0)</f>
        <v>0</v>
      </c>
      <c r="J122" s="1" t="s">
        <v>1696</v>
      </c>
      <c r="K122" s="4"/>
      <c r="L122" s="3"/>
    </row>
    <row r="123" spans="1:12" x14ac:dyDescent="0.45">
      <c r="A123" s="1">
        <v>135</v>
      </c>
      <c r="B123" s="1" t="str">
        <f>"07-"&amp;LEFT(RIGHTB(REPT(0,4)&amp;_xlfn.BASE(DB07_baselinesequence[[#This Row],[num]],36),4),2)&amp;"-"&amp;RIGHT(RIGHTB(REPT(0,4)&amp;_xlfn.BASE(DB07_baselinesequence[[#This Row],[num]],36),4),2)</f>
        <v>07-00-3R</v>
      </c>
      <c r="C123" s="1" t="s">
        <v>1371</v>
      </c>
      <c r="F123" s="1" t="s">
        <v>598</v>
      </c>
      <c r="G123" s="1" t="str">
        <f>_xlfn.XLOOKUP(DB07_baselinesequence[[#This Row],[basesequence-ID]],DB06_baseline[ID],DB06_baseline[Baseline],"",0)</f>
        <v>ACAAAGAACAGCACTG</v>
      </c>
      <c r="H123" s="1">
        <f>_xlfn.XLOOKUP(DB07_baselinesequence[[#This Row],[basesequence-ID]],DB06_baseline[ID],DB06_baseline[確認済],FALSE,0)</f>
        <v>0</v>
      </c>
      <c r="J123" s="1" t="s">
        <v>1697</v>
      </c>
      <c r="K123" s="4"/>
      <c r="L123" s="3"/>
    </row>
    <row r="124" spans="1:12" x14ac:dyDescent="0.45">
      <c r="A124" s="1">
        <v>136</v>
      </c>
      <c r="B124" s="1" t="str">
        <f>"07-"&amp;LEFT(RIGHTB(REPT(0,4)&amp;_xlfn.BASE(DB07_baselinesequence[[#This Row],[num]],36),4),2)&amp;"-"&amp;RIGHT(RIGHTB(REPT(0,4)&amp;_xlfn.BASE(DB07_baselinesequence[[#This Row],[num]],36),4),2)</f>
        <v>07-00-3S</v>
      </c>
      <c r="C124" s="1" t="s">
        <v>1372</v>
      </c>
      <c r="F124" s="1" t="s">
        <v>601</v>
      </c>
      <c r="G124" s="1" t="str">
        <f>_xlfn.XLOOKUP(DB07_baselinesequence[[#This Row],[basesequence-ID]],DB06_baseline[ID],DB06_baseline[Baseline],"",0)</f>
        <v>CTGGCACAAAGAACAG</v>
      </c>
      <c r="H124" s="1">
        <f>_xlfn.XLOOKUP(DB07_baselinesequence[[#This Row],[basesequence-ID]],DB06_baseline[ID],DB06_baseline[確認済],FALSE,0)</f>
        <v>0</v>
      </c>
      <c r="J124" s="1" t="s">
        <v>1698</v>
      </c>
      <c r="K124" s="4"/>
      <c r="L124" s="3"/>
    </row>
    <row r="125" spans="1:12" x14ac:dyDescent="0.45">
      <c r="A125" s="1">
        <v>137</v>
      </c>
      <c r="B125" s="1" t="str">
        <f>"07-"&amp;LEFT(RIGHTB(REPT(0,4)&amp;_xlfn.BASE(DB07_baselinesequence[[#This Row],[num]],36),4),2)&amp;"-"&amp;RIGHT(RIGHTB(REPT(0,4)&amp;_xlfn.BASE(DB07_baselinesequence[[#This Row],[num]],36),4),2)</f>
        <v>07-00-3T</v>
      </c>
      <c r="C125" s="1" t="s">
        <v>1373</v>
      </c>
      <c r="F125" s="1" t="s">
        <v>604</v>
      </c>
      <c r="G125" s="1" t="str">
        <f>_xlfn.XLOOKUP(DB07_baselinesequence[[#This Row],[basesequence-ID]],DB06_baseline[ID],DB06_baseline[Baseline],"",0)</f>
        <v>CCTGGCTGGCACAAAG</v>
      </c>
      <c r="H125" s="1">
        <f>_xlfn.XLOOKUP(DB07_baselinesequence[[#This Row],[basesequence-ID]],DB06_baseline[ID],DB06_baseline[確認済],FALSE,0)</f>
        <v>0</v>
      </c>
      <c r="J125" s="1" t="s">
        <v>1699</v>
      </c>
      <c r="K125" s="4"/>
      <c r="L125" s="3"/>
    </row>
    <row r="126" spans="1:12" x14ac:dyDescent="0.45">
      <c r="A126" s="1">
        <v>138</v>
      </c>
      <c r="B126" s="1" t="str">
        <f>"07-"&amp;LEFT(RIGHTB(REPT(0,4)&amp;_xlfn.BASE(DB07_baselinesequence[[#This Row],[num]],36),4),2)&amp;"-"&amp;RIGHT(RIGHTB(REPT(0,4)&amp;_xlfn.BASE(DB07_baselinesequence[[#This Row],[num]],36),4),2)</f>
        <v>07-00-3U</v>
      </c>
      <c r="C126" s="1" t="s">
        <v>1374</v>
      </c>
      <c r="F126" s="1" t="s">
        <v>607</v>
      </c>
      <c r="G126" s="1" t="str">
        <f>_xlfn.XLOOKUP(DB07_baselinesequence[[#This Row],[basesequence-ID]],DB06_baseline[ID],DB06_baseline[Baseline],"",0)</f>
        <v>TCTGTCCTGGCTGGCA</v>
      </c>
      <c r="H126" s="1">
        <f>_xlfn.XLOOKUP(DB07_baselinesequence[[#This Row],[basesequence-ID]],DB06_baseline[ID],DB06_baseline[確認済],FALSE,0)</f>
        <v>0</v>
      </c>
      <c r="J126" s="1" t="s">
        <v>1700</v>
      </c>
      <c r="K126" s="4"/>
      <c r="L126" s="3"/>
    </row>
    <row r="127" spans="1:12" x14ac:dyDescent="0.45">
      <c r="A127" s="1">
        <v>139</v>
      </c>
      <c r="B127" s="1" t="str">
        <f>"07-"&amp;LEFT(RIGHTB(REPT(0,4)&amp;_xlfn.BASE(DB07_baselinesequence[[#This Row],[num]],36),4),2)&amp;"-"&amp;RIGHT(RIGHTB(REPT(0,4)&amp;_xlfn.BASE(DB07_baselinesequence[[#This Row],[num]],36),4),2)</f>
        <v>07-00-3V</v>
      </c>
      <c r="C127" s="1" t="s">
        <v>1375</v>
      </c>
      <c r="F127" s="1" t="s">
        <v>610</v>
      </c>
      <c r="G127" s="1" t="str">
        <f>_xlfn.XLOOKUP(DB07_baselinesequence[[#This Row],[basesequence-ID]],DB06_baseline[ID],DB06_baseline[Baseline],"",0)</f>
        <v>CAGTTTCTGTCCTGGC</v>
      </c>
      <c r="H127" s="1">
        <f>_xlfn.XLOOKUP(DB07_baselinesequence[[#This Row],[basesequence-ID]],DB06_baseline[ID],DB06_baseline[確認済],FALSE,0)</f>
        <v>0</v>
      </c>
      <c r="J127" s="1" t="s">
        <v>1701</v>
      </c>
      <c r="K127" s="4"/>
      <c r="L127" s="3"/>
    </row>
    <row r="128" spans="1:12" x14ac:dyDescent="0.45">
      <c r="A128" s="1">
        <v>140</v>
      </c>
      <c r="B128" s="1" t="str">
        <f>"07-"&amp;LEFT(RIGHTB(REPT(0,4)&amp;_xlfn.BASE(DB07_baselinesequence[[#This Row],[num]],36),4),2)&amp;"-"&amp;RIGHT(RIGHTB(REPT(0,4)&amp;_xlfn.BASE(DB07_baselinesequence[[#This Row],[num]],36),4),2)</f>
        <v>07-00-3W</v>
      </c>
      <c r="C128" s="1" t="s">
        <v>1376</v>
      </c>
      <c r="F128" s="1" t="s">
        <v>613</v>
      </c>
      <c r="G128" s="1" t="str">
        <f>_xlfn.XLOOKUP(DB07_baselinesequence[[#This Row],[basesequence-ID]],DB06_baseline[ID],DB06_baseline[Baseline],"",0)</f>
        <v>CTCACCAGTTTCTGTC</v>
      </c>
      <c r="H128" s="1">
        <f>_xlfn.XLOOKUP(DB07_baselinesequence[[#This Row],[basesequence-ID]],DB06_baseline[ID],DB06_baseline[確認済],FALSE,0)</f>
        <v>0</v>
      </c>
      <c r="J128" s="1" t="s">
        <v>1702</v>
      </c>
      <c r="K128" s="4"/>
      <c r="L128" s="3"/>
    </row>
    <row r="129" spans="1:12" x14ac:dyDescent="0.45">
      <c r="A129" s="1">
        <v>141</v>
      </c>
      <c r="B129" s="1" t="str">
        <f>"07-"&amp;LEFT(RIGHTB(REPT(0,4)&amp;_xlfn.BASE(DB07_baselinesequence[[#This Row],[num]],36),4),2)&amp;"-"&amp;RIGHT(RIGHTB(REPT(0,4)&amp;_xlfn.BASE(DB07_baselinesequence[[#This Row],[num]],36),4),2)</f>
        <v>07-00-3X</v>
      </c>
      <c r="C129" s="1" t="s">
        <v>1377</v>
      </c>
      <c r="F129" s="1" t="s">
        <v>616</v>
      </c>
      <c r="G129" s="1" t="str">
        <f>_xlfn.XLOOKUP(DB07_baselinesequence[[#This Row],[basesequence-ID]],DB06_baseline[ID],DB06_baseline[Baseline],"",0)</f>
        <v>AGTCACTCACCAGTTT</v>
      </c>
      <c r="H129" s="1">
        <f>_xlfn.XLOOKUP(DB07_baselinesequence[[#This Row],[basesequence-ID]],DB06_baseline[ID],DB06_baseline[確認済],FALSE,0)</f>
        <v>0</v>
      </c>
      <c r="J129" s="1" t="s">
        <v>1703</v>
      </c>
      <c r="K129" s="4"/>
      <c r="L129" s="3"/>
    </row>
    <row r="130" spans="1:12" x14ac:dyDescent="0.45">
      <c r="A130" s="1">
        <v>142</v>
      </c>
      <c r="B130" s="1" t="str">
        <f>"07-"&amp;LEFT(RIGHTB(REPT(0,4)&amp;_xlfn.BASE(DB07_baselinesequence[[#This Row],[num]],36),4),2)&amp;"-"&amp;RIGHT(RIGHTB(REPT(0,4)&amp;_xlfn.BASE(DB07_baselinesequence[[#This Row],[num]],36),4),2)</f>
        <v>07-00-3Y</v>
      </c>
      <c r="C130" s="1" t="s">
        <v>1378</v>
      </c>
      <c r="F130" s="1" t="s">
        <v>619</v>
      </c>
      <c r="G130" s="1" t="str">
        <f>_xlfn.XLOOKUP(DB07_baselinesequence[[#This Row],[basesequence-ID]],DB06_baseline[ID],DB06_baseline[Baseline],"",0)</f>
        <v>TGTGCAGTCACTCACC</v>
      </c>
      <c r="H130" s="1">
        <f>_xlfn.XLOOKUP(DB07_baselinesequence[[#This Row],[basesequence-ID]],DB06_baseline[ID],DB06_baseline[確認済],FALSE,0)</f>
        <v>0</v>
      </c>
      <c r="J130" s="1" t="s">
        <v>1704</v>
      </c>
      <c r="K130" s="4"/>
      <c r="L130" s="3"/>
    </row>
    <row r="131" spans="1:12" x14ac:dyDescent="0.45">
      <c r="A131" s="1">
        <v>143</v>
      </c>
      <c r="B131" s="1" t="str">
        <f>"07-"&amp;LEFT(RIGHTB(REPT(0,4)&amp;_xlfn.BASE(DB07_baselinesequence[[#This Row],[num]],36),4),2)&amp;"-"&amp;RIGHT(RIGHTB(REPT(0,4)&amp;_xlfn.BASE(DB07_baselinesequence[[#This Row],[num]],36),4),2)</f>
        <v>07-00-3Z</v>
      </c>
      <c r="C131" s="1" t="s">
        <v>1379</v>
      </c>
      <c r="F131" s="1" t="s">
        <v>622</v>
      </c>
      <c r="G131" s="1" t="str">
        <f>_xlfn.XLOOKUP(DB07_baselinesequence[[#This Row],[basesequence-ID]],DB06_baseline[ID],DB06_baseline[Baseline],"",0)</f>
        <v>AACTCTGTGCAGTCAC</v>
      </c>
      <c r="H131" s="1">
        <f>_xlfn.XLOOKUP(DB07_baselinesequence[[#This Row],[basesequence-ID]],DB06_baseline[ID],DB06_baseline[確認済],FALSE,0)</f>
        <v>0</v>
      </c>
      <c r="J131" s="1" t="s">
        <v>1705</v>
      </c>
      <c r="K131" s="4"/>
      <c r="L131" s="3"/>
    </row>
    <row r="132" spans="1:12" x14ac:dyDescent="0.45">
      <c r="A132" s="1">
        <v>144</v>
      </c>
      <c r="B132" s="1" t="str">
        <f>"07-"&amp;LEFT(RIGHTB(REPT(0,4)&amp;_xlfn.BASE(DB07_baselinesequence[[#This Row],[num]],36),4),2)&amp;"-"&amp;RIGHT(RIGHTB(REPT(0,4)&amp;_xlfn.BASE(DB07_baselinesequence[[#This Row],[num]],36),4),2)</f>
        <v>07-00-40</v>
      </c>
      <c r="C132" s="1" t="s">
        <v>1380</v>
      </c>
      <c r="F132" s="1" t="s">
        <v>625</v>
      </c>
      <c r="G132" s="1" t="str">
        <f>_xlfn.XLOOKUP(DB07_baselinesequence[[#This Row],[basesequence-ID]],DB06_baseline[ID],DB06_baseline[Baseline],"",0)</f>
        <v>CAGTGAACTCTGTGCA</v>
      </c>
      <c r="H132" s="1">
        <f>_xlfn.XLOOKUP(DB07_baselinesequence[[#This Row],[basesequence-ID]],DB06_baseline[ID],DB06_baseline[確認済],FALSE,0)</f>
        <v>0</v>
      </c>
      <c r="J132" s="1" t="s">
        <v>1706</v>
      </c>
      <c r="K132" s="4"/>
      <c r="L132" s="3"/>
    </row>
    <row r="133" spans="1:12" x14ac:dyDescent="0.45">
      <c r="A133" s="1">
        <v>145</v>
      </c>
      <c r="B133" s="1" t="str">
        <f>"07-"&amp;LEFT(RIGHTB(REPT(0,4)&amp;_xlfn.BASE(DB07_baselinesequence[[#This Row],[num]],36),4),2)&amp;"-"&amp;RIGHT(RIGHTB(REPT(0,4)&amp;_xlfn.BASE(DB07_baselinesequence[[#This Row],[num]],36),4),2)</f>
        <v>07-00-41</v>
      </c>
      <c r="C133" s="1" t="s">
        <v>1381</v>
      </c>
      <c r="F133" s="1" t="s">
        <v>628</v>
      </c>
      <c r="G133" s="1" t="str">
        <f>_xlfn.XLOOKUP(DB07_baselinesequence[[#This Row],[basesequence-ID]],DB06_baseline[ID],DB06_baseline[Baseline],"",0)</f>
        <v>CGTTTCAGTGAACTCT</v>
      </c>
      <c r="H133" s="1">
        <f>_xlfn.XLOOKUP(DB07_baselinesequence[[#This Row],[basesequence-ID]],DB06_baseline[ID],DB06_baseline[確認済],FALSE,0)</f>
        <v>0</v>
      </c>
      <c r="J133" s="1" t="s">
        <v>1707</v>
      </c>
      <c r="K133" s="4"/>
      <c r="L133" s="3"/>
    </row>
    <row r="134" spans="1:12" x14ac:dyDescent="0.45">
      <c r="A134" s="1">
        <v>146</v>
      </c>
      <c r="B134" s="1" t="str">
        <f>"07-"&amp;LEFT(RIGHTB(REPT(0,4)&amp;_xlfn.BASE(DB07_baselinesequence[[#This Row],[num]],36),4),2)&amp;"-"&amp;RIGHT(RIGHTB(REPT(0,4)&amp;_xlfn.BASE(DB07_baselinesequence[[#This Row],[num]],36),4),2)</f>
        <v>07-00-42</v>
      </c>
      <c r="C134" s="1" t="s">
        <v>1382</v>
      </c>
      <c r="F134" s="1" t="s">
        <v>631</v>
      </c>
      <c r="G134" s="1" t="str">
        <f>_xlfn.XLOOKUP(DB07_baselinesequence[[#This Row],[basesequence-ID]],DB06_baseline[ID],DB06_baseline[Baseline],"",0)</f>
        <v>CATTCCGTTTCAGTGA</v>
      </c>
      <c r="H134" s="1">
        <f>_xlfn.XLOOKUP(DB07_baselinesequence[[#This Row],[basesequence-ID]],DB06_baseline[ID],DB06_baseline[確認済],FALSE,0)</f>
        <v>0</v>
      </c>
      <c r="J134" s="1" t="s">
        <v>1708</v>
      </c>
      <c r="K134" s="4"/>
      <c r="L134" s="3"/>
    </row>
    <row r="135" spans="1:12" x14ac:dyDescent="0.45">
      <c r="A135" s="1">
        <v>147</v>
      </c>
      <c r="B135" s="1" t="str">
        <f>"07-"&amp;LEFT(RIGHTB(REPT(0,4)&amp;_xlfn.BASE(DB07_baselinesequence[[#This Row],[num]],36),4),2)&amp;"-"&amp;RIGHT(RIGHTB(REPT(0,4)&amp;_xlfn.BASE(DB07_baselinesequence[[#This Row],[num]],36),4),2)</f>
        <v>07-00-43</v>
      </c>
      <c r="C135" s="1" t="s">
        <v>1383</v>
      </c>
      <c r="F135" s="1" t="s">
        <v>634</v>
      </c>
      <c r="G135" s="1" t="str">
        <f>_xlfn.XLOOKUP(DB07_baselinesequence[[#This Row],[basesequence-ID]],DB06_baseline[ID],DB06_baseline[Baseline],"",0)</f>
        <v>GAAGGCATTCCGTTTC</v>
      </c>
      <c r="H135" s="1">
        <f>_xlfn.XLOOKUP(DB07_baselinesequence[[#This Row],[basesequence-ID]],DB06_baseline[ID],DB06_baseline[確認済],FALSE,0)</f>
        <v>0</v>
      </c>
      <c r="J135" s="1" t="s">
        <v>1709</v>
      </c>
      <c r="K135" s="4"/>
      <c r="L135" s="3"/>
    </row>
    <row r="136" spans="1:12" x14ac:dyDescent="0.45">
      <c r="A136" s="1">
        <v>148</v>
      </c>
      <c r="B136" s="1" t="str">
        <f>"07-"&amp;LEFT(RIGHTB(REPT(0,4)&amp;_xlfn.BASE(DB07_baselinesequence[[#This Row],[num]],36),4),2)&amp;"-"&amp;RIGHT(RIGHTB(REPT(0,4)&amp;_xlfn.BASE(DB07_baselinesequence[[#This Row],[num]],36),4),2)</f>
        <v>07-00-44</v>
      </c>
      <c r="C136" s="1" t="s">
        <v>1384</v>
      </c>
      <c r="F136" s="1" t="s">
        <v>637</v>
      </c>
      <c r="G136" s="1" t="str">
        <f>_xlfn.XLOOKUP(DB07_baselinesequence[[#This Row],[basesequence-ID]],DB06_baseline[ID],DB06_baseline[Baseline],"",0)</f>
        <v>GCAAGGAAGGCATTCC</v>
      </c>
      <c r="H136" s="1">
        <f>_xlfn.XLOOKUP(DB07_baselinesequence[[#This Row],[basesequence-ID]],DB06_baseline[ID],DB06_baseline[確認済],FALSE,0)</f>
        <v>0</v>
      </c>
      <c r="J136" s="1" t="s">
        <v>1710</v>
      </c>
      <c r="K136" s="4"/>
      <c r="L136" s="3"/>
    </row>
    <row r="137" spans="1:12" x14ac:dyDescent="0.45">
      <c r="A137" s="1">
        <v>149</v>
      </c>
      <c r="B137" s="1" t="str">
        <f>"07-"&amp;LEFT(RIGHTB(REPT(0,4)&amp;_xlfn.BASE(DB07_baselinesequence[[#This Row],[num]],36),4),2)&amp;"-"&amp;RIGHT(RIGHTB(REPT(0,4)&amp;_xlfn.BASE(DB07_baselinesequence[[#This Row],[num]],36),4),2)</f>
        <v>07-00-45</v>
      </c>
      <c r="C137" s="1" t="s">
        <v>1385</v>
      </c>
      <c r="F137" s="1" t="s">
        <v>640</v>
      </c>
      <c r="G137" s="1" t="str">
        <f>_xlfn.XLOOKUP(DB07_baselinesequence[[#This Row],[basesequence-ID]],DB06_baseline[ID],DB06_baseline[Baseline],"",0)</f>
        <v>TCACCGCAAGGAAGGC</v>
      </c>
      <c r="H137" s="1">
        <f>_xlfn.XLOOKUP(DB07_baselinesequence[[#This Row],[basesequence-ID]],DB06_baseline[ID],DB06_baseline[確認済],FALSE,0)</f>
        <v>0</v>
      </c>
      <c r="J137" s="1" t="s">
        <v>1711</v>
      </c>
      <c r="K137" s="4"/>
      <c r="L137" s="3"/>
    </row>
    <row r="138" spans="1:12" x14ac:dyDescent="0.45">
      <c r="A138" s="1">
        <v>150</v>
      </c>
      <c r="B138" s="1" t="str">
        <f>"07-"&amp;LEFT(RIGHTB(REPT(0,4)&amp;_xlfn.BASE(DB07_baselinesequence[[#This Row],[num]],36),4),2)&amp;"-"&amp;RIGHT(RIGHTB(REPT(0,4)&amp;_xlfn.BASE(DB07_baselinesequence[[#This Row],[num]],36),4),2)</f>
        <v>07-00-46</v>
      </c>
      <c r="C138" s="1" t="s">
        <v>1386</v>
      </c>
      <c r="F138" s="1" t="s">
        <v>643</v>
      </c>
      <c r="G138" s="1" t="str">
        <f>_xlfn.XLOOKUP(DB07_baselinesequence[[#This Row],[basesequence-ID]],DB06_baseline[ID],DB06_baseline[Baseline],"",0)</f>
        <v>CGCTTTCACCGCAAGG</v>
      </c>
      <c r="H138" s="1">
        <f>_xlfn.XLOOKUP(DB07_baselinesequence[[#This Row],[basesequence-ID]],DB06_baseline[ID],DB06_baseline[確認済],FALSE,0)</f>
        <v>0</v>
      </c>
      <c r="J138" s="1" t="s">
        <v>1712</v>
      </c>
      <c r="K138" s="4"/>
      <c r="L138" s="3"/>
    </row>
    <row r="139" spans="1:12" x14ac:dyDescent="0.45">
      <c r="A139" s="1">
        <v>151</v>
      </c>
      <c r="B139" s="1" t="str">
        <f>"07-"&amp;LEFT(RIGHTB(REPT(0,4)&amp;_xlfn.BASE(DB07_baselinesequence[[#This Row],[num]],36),4),2)&amp;"-"&amp;RIGHT(RIGHTB(REPT(0,4)&amp;_xlfn.BASE(DB07_baselinesequence[[#This Row],[num]],36),4),2)</f>
        <v>07-00-47</v>
      </c>
      <c r="C139" s="1" t="s">
        <v>1387</v>
      </c>
      <c r="F139" s="1" t="s">
        <v>646</v>
      </c>
      <c r="G139" s="1" t="str">
        <f>_xlfn.XLOOKUP(DB07_baselinesequence[[#This Row],[basesequence-ID]],DB06_baseline[ID],DB06_baseline[Baseline],"",0)</f>
        <v>GAATTCGCTTTCACCG</v>
      </c>
      <c r="H139" s="1">
        <f>_xlfn.XLOOKUP(DB07_baselinesequence[[#This Row],[basesequence-ID]],DB06_baseline[ID],DB06_baseline[確認済],FALSE,0)</f>
        <v>0</v>
      </c>
      <c r="J139" s="1" t="s">
        <v>1713</v>
      </c>
      <c r="K139" s="4"/>
      <c r="L139" s="3"/>
    </row>
    <row r="140" spans="1:12" x14ac:dyDescent="0.45">
      <c r="A140" s="1">
        <v>152</v>
      </c>
      <c r="B140" s="1" t="str">
        <f>"07-"&amp;LEFT(RIGHTB(REPT(0,4)&amp;_xlfn.BASE(DB07_baselinesequence[[#This Row],[num]],36),4),2)&amp;"-"&amp;RIGHT(RIGHTB(REPT(0,4)&amp;_xlfn.BASE(DB07_baselinesequence[[#This Row],[num]],36),4),2)</f>
        <v>07-00-48</v>
      </c>
      <c r="C140" s="1" t="s">
        <v>1388</v>
      </c>
      <c r="F140" s="1" t="s">
        <v>649</v>
      </c>
      <c r="G140" s="1" t="str">
        <f>_xlfn.XLOOKUP(DB07_baselinesequence[[#This Row],[basesequence-ID]],DB06_baseline[ID],DB06_baseline[Baseline],"",0)</f>
        <v>TCTAGGAATTCGCTTT</v>
      </c>
      <c r="H140" s="1">
        <f>_xlfn.XLOOKUP(DB07_baselinesequence[[#This Row],[basesequence-ID]],DB06_baseline[ID],DB06_baseline[確認済],FALSE,0)</f>
        <v>0</v>
      </c>
      <c r="J140" s="1" t="s">
        <v>1714</v>
      </c>
      <c r="K140" s="4"/>
      <c r="L140" s="3"/>
    </row>
    <row r="141" spans="1:12" x14ac:dyDescent="0.45">
      <c r="A141" s="1">
        <v>153</v>
      </c>
      <c r="B141" s="1" t="str">
        <f>"07-"&amp;LEFT(RIGHTB(REPT(0,4)&amp;_xlfn.BASE(DB07_baselinesequence[[#This Row],[num]],36),4),2)&amp;"-"&amp;RIGHT(RIGHTB(REPT(0,4)&amp;_xlfn.BASE(DB07_baselinesequence[[#This Row],[num]],36),4),2)</f>
        <v>07-00-49</v>
      </c>
      <c r="C141" s="1" t="s">
        <v>1389</v>
      </c>
      <c r="F141" s="1" t="s">
        <v>652</v>
      </c>
      <c r="G141" s="1" t="str">
        <f>_xlfn.XLOOKUP(DB07_baselinesequence[[#This Row],[basesequence-ID]],DB06_baseline[ID],DB06_baseline[Baseline],"",0)</f>
        <v>AGGTGTCTAGGAATTC</v>
      </c>
      <c r="H141" s="1">
        <f>_xlfn.XLOOKUP(DB07_baselinesequence[[#This Row],[basesequence-ID]],DB06_baseline[ID],DB06_baseline[確認済],FALSE,0)</f>
        <v>0</v>
      </c>
      <c r="J141" s="1" t="s">
        <v>1715</v>
      </c>
      <c r="K141" s="4"/>
      <c r="L141" s="3"/>
    </row>
    <row r="142" spans="1:12" x14ac:dyDescent="0.45">
      <c r="A142" s="1">
        <v>154</v>
      </c>
      <c r="B142" s="1" t="str">
        <f>"07-"&amp;LEFT(RIGHTB(REPT(0,4)&amp;_xlfn.BASE(DB07_baselinesequence[[#This Row],[num]],36),4),2)&amp;"-"&amp;RIGHT(RIGHTB(REPT(0,4)&amp;_xlfn.BASE(DB07_baselinesequence[[#This Row],[num]],36),4),2)</f>
        <v>07-00-4A</v>
      </c>
      <c r="C142" s="1" t="s">
        <v>1390</v>
      </c>
      <c r="F142" s="1" t="s">
        <v>655</v>
      </c>
      <c r="G142" s="1" t="str">
        <f>_xlfn.XLOOKUP(DB07_baselinesequence[[#This Row],[basesequence-ID]],DB06_baseline[ID],DB06_baseline[Baseline],"",0)</f>
        <v>GTTCCAGGTGTCTAGG</v>
      </c>
      <c r="H142" s="1">
        <f>_xlfn.XLOOKUP(DB07_baselinesequence[[#This Row],[basesequence-ID]],DB06_baseline[ID],DB06_baseline[確認済],FALSE,0)</f>
        <v>0</v>
      </c>
      <c r="J142" s="1" t="s">
        <v>1716</v>
      </c>
      <c r="K142" s="4"/>
      <c r="L142" s="3"/>
    </row>
    <row r="143" spans="1:12" x14ac:dyDescent="0.45">
      <c r="A143" s="1">
        <v>155</v>
      </c>
      <c r="B143" s="1" t="str">
        <f>"07-"&amp;LEFT(RIGHTB(REPT(0,4)&amp;_xlfn.BASE(DB07_baselinesequence[[#This Row],[num]],36),4),2)&amp;"-"&amp;RIGHT(RIGHTB(REPT(0,4)&amp;_xlfn.BASE(DB07_baselinesequence[[#This Row],[num]],36),4),2)</f>
        <v>07-00-4B</v>
      </c>
      <c r="C143" s="1" t="s">
        <v>1391</v>
      </c>
      <c r="F143" s="1" t="s">
        <v>658</v>
      </c>
      <c r="G143" s="1" t="str">
        <f>_xlfn.XLOOKUP(DB07_baselinesequence[[#This Row],[basesequence-ID]],DB06_baseline[ID],DB06_baseline[Baseline],"",0)</f>
        <v>TCTCTGTTCCAGGTGT</v>
      </c>
      <c r="H143" s="1">
        <f>_xlfn.XLOOKUP(DB07_baselinesequence[[#This Row],[basesequence-ID]],DB06_baseline[ID],DB06_baseline[確認済],FALSE,0)</f>
        <v>0</v>
      </c>
      <c r="J143" s="1" t="s">
        <v>1717</v>
      </c>
      <c r="K143" s="4"/>
      <c r="L143" s="3"/>
    </row>
    <row r="144" spans="1:12" x14ac:dyDescent="0.45">
      <c r="A144" s="1">
        <v>156</v>
      </c>
      <c r="B144" s="1" t="str">
        <f>"07-"&amp;LEFT(RIGHTB(REPT(0,4)&amp;_xlfn.BASE(DB07_baselinesequence[[#This Row],[num]],36),4),2)&amp;"-"&amp;RIGHT(RIGHTB(REPT(0,4)&amp;_xlfn.BASE(DB07_baselinesequence[[#This Row],[num]],36),4),2)</f>
        <v>07-00-4C</v>
      </c>
      <c r="C144" s="1" t="s">
        <v>1392</v>
      </c>
      <c r="F144" s="1" t="s">
        <v>661</v>
      </c>
      <c r="G144" s="1" t="str">
        <f>_xlfn.XLOOKUP(DB07_baselinesequence[[#This Row],[basesequence-ID]],DB06_baseline[ID],DB06_baseline[Baseline],"",0)</f>
        <v>GTGTCTCTCTGTTCCA</v>
      </c>
      <c r="H144" s="1">
        <f>_xlfn.XLOOKUP(DB07_baselinesequence[[#This Row],[basesequence-ID]],DB06_baseline[ID],DB06_baseline[確認済],FALSE,0)</f>
        <v>0</v>
      </c>
      <c r="J144" s="1" t="s">
        <v>1718</v>
      </c>
      <c r="K144" s="4"/>
      <c r="L144" s="3"/>
    </row>
    <row r="145" spans="1:12" x14ac:dyDescent="0.45">
      <c r="A145" s="1">
        <v>157</v>
      </c>
      <c r="B145" s="1" t="str">
        <f>"07-"&amp;LEFT(RIGHTB(REPT(0,4)&amp;_xlfn.BASE(DB07_baselinesequence[[#This Row],[num]],36),4),2)&amp;"-"&amp;RIGHT(RIGHTB(REPT(0,4)&amp;_xlfn.BASE(DB07_baselinesequence[[#This Row],[num]],36),4),2)</f>
        <v>07-00-4D</v>
      </c>
      <c r="C145" s="1" t="s">
        <v>1393</v>
      </c>
      <c r="F145" s="1" t="s">
        <v>664</v>
      </c>
      <c r="G145" s="1" t="str">
        <f>_xlfn.XLOOKUP(DB07_baselinesequence[[#This Row],[basesequence-ID]],DB06_baseline[ID],DB06_baseline[Baseline],"",0)</f>
        <v>GCAGTGTGTCTCTCTG</v>
      </c>
      <c r="H145" s="1">
        <f>_xlfn.XLOOKUP(DB07_baselinesequence[[#This Row],[basesequence-ID]],DB06_baseline[ID],DB06_baseline[確認済],FALSE,0)</f>
        <v>0</v>
      </c>
      <c r="J145" s="1" t="s">
        <v>1719</v>
      </c>
      <c r="K145" s="4"/>
      <c r="L145" s="3"/>
    </row>
    <row r="146" spans="1:12" x14ac:dyDescent="0.45">
      <c r="A146" s="1">
        <v>158</v>
      </c>
      <c r="B146" s="1" t="str">
        <f>"07-"&amp;LEFT(RIGHTB(REPT(0,4)&amp;_xlfn.BASE(DB07_baselinesequence[[#This Row],[num]],36),4),2)&amp;"-"&amp;RIGHT(RIGHTB(REPT(0,4)&amp;_xlfn.BASE(DB07_baselinesequence[[#This Row],[num]],36),4),2)</f>
        <v>07-00-4E</v>
      </c>
      <c r="C146" s="1" t="s">
        <v>1394</v>
      </c>
      <c r="F146" s="1" t="s">
        <v>667</v>
      </c>
      <c r="G146" s="1" t="str">
        <f>_xlfn.XLOOKUP(DB07_baselinesequence[[#This Row],[basesequence-ID]],DB06_baseline[ID],DB06_baseline[Baseline],"",0)</f>
        <v>TGGTGGCAGTGTGTCT</v>
      </c>
      <c r="H146" s="1">
        <f>_xlfn.XLOOKUP(DB07_baselinesequence[[#This Row],[basesequence-ID]],DB06_baseline[ID],DB06_baseline[確認済],FALSE,0)</f>
        <v>0</v>
      </c>
      <c r="J146" s="1" t="s">
        <v>1720</v>
      </c>
      <c r="K146" s="4"/>
      <c r="L146" s="3"/>
    </row>
    <row r="147" spans="1:12" x14ac:dyDescent="0.45">
      <c r="A147" s="1">
        <v>159</v>
      </c>
      <c r="B147" s="1" t="str">
        <f>"07-"&amp;LEFT(RIGHTB(REPT(0,4)&amp;_xlfn.BASE(DB07_baselinesequence[[#This Row],[num]],36),4),2)&amp;"-"&amp;RIGHT(RIGHTB(REPT(0,4)&amp;_xlfn.BASE(DB07_baselinesequence[[#This Row],[num]],36),4),2)</f>
        <v>07-00-4F</v>
      </c>
      <c r="C147" s="1" t="s">
        <v>1395</v>
      </c>
      <c r="F147" s="1" t="s">
        <v>670</v>
      </c>
      <c r="G147" s="1" t="str">
        <f>_xlfn.XLOOKUP(DB07_baselinesequence[[#This Row],[basesequence-ID]],DB06_baseline[ID],DB06_baseline[Baseline],"",0)</f>
        <v>TGTGCTGGTGGCAGTG</v>
      </c>
      <c r="H147" s="1">
        <f>_xlfn.XLOOKUP(DB07_baselinesequence[[#This Row],[basesequence-ID]],DB06_baseline[ID],DB06_baseline[確認済],FALSE,0)</f>
        <v>0</v>
      </c>
      <c r="J147" s="1" t="s">
        <v>1721</v>
      </c>
      <c r="K147" s="4"/>
      <c r="L147" s="3"/>
    </row>
    <row r="148" spans="1:12" x14ac:dyDescent="0.45">
      <c r="A148" s="1">
        <v>160</v>
      </c>
      <c r="B148" s="1" t="str">
        <f>"07-"&amp;LEFT(RIGHTB(REPT(0,4)&amp;_xlfn.BASE(DB07_baselinesequence[[#This Row],[num]],36),4),2)&amp;"-"&amp;RIGHT(RIGHTB(REPT(0,4)&amp;_xlfn.BASE(DB07_baselinesequence[[#This Row],[num]],36),4),2)</f>
        <v>07-00-4G</v>
      </c>
      <c r="C148" s="1" t="s">
        <v>1396</v>
      </c>
      <c r="F148" s="1" t="s">
        <v>673</v>
      </c>
      <c r="G148" s="1" t="str">
        <f>_xlfn.XLOOKUP(DB07_baselinesequence[[#This Row],[basesequence-ID]],DB06_baseline[ID],DB06_baseline[Baseline],"",0)</f>
        <v>GTATTTGTGCTGGTGG</v>
      </c>
      <c r="H148" s="1">
        <f>_xlfn.XLOOKUP(DB07_baselinesequence[[#This Row],[basesequence-ID]],DB06_baseline[ID],DB06_baseline[確認済],FALSE,0)</f>
        <v>0</v>
      </c>
      <c r="J148" s="1" t="s">
        <v>1722</v>
      </c>
      <c r="K148" s="4"/>
      <c r="L148" s="3"/>
    </row>
    <row r="149" spans="1:12" x14ac:dyDescent="0.45">
      <c r="A149" s="1">
        <v>161</v>
      </c>
      <c r="B149" s="1" t="str">
        <f>"07-"&amp;LEFT(RIGHTB(REPT(0,4)&amp;_xlfn.BASE(DB07_baselinesequence[[#This Row],[num]],36),4),2)&amp;"-"&amp;RIGHT(RIGHTB(REPT(0,4)&amp;_xlfn.BASE(DB07_baselinesequence[[#This Row],[num]],36),4),2)</f>
        <v>07-00-4H</v>
      </c>
      <c r="C149" s="1" t="s">
        <v>1397</v>
      </c>
      <c r="F149" s="1" t="s">
        <v>676</v>
      </c>
      <c r="G149" s="1" t="str">
        <f>_xlfn.XLOOKUP(DB07_baselinesequence[[#This Row],[basesequence-ID]],DB06_baseline[ID],DB06_baseline[Baseline],"",0)</f>
        <v>TCGCAGTATTTGTGCT</v>
      </c>
      <c r="H149" s="1">
        <f>_xlfn.XLOOKUP(DB07_baselinesequence[[#This Row],[basesequence-ID]],DB06_baseline[ID],DB06_baseline[確認済],FALSE,0)</f>
        <v>0</v>
      </c>
      <c r="J149" s="1" t="s">
        <v>1723</v>
      </c>
      <c r="K149" s="4"/>
      <c r="L149" s="3"/>
    </row>
    <row r="150" spans="1:12" x14ac:dyDescent="0.45">
      <c r="A150" s="1">
        <v>162</v>
      </c>
      <c r="B150" s="1" t="str">
        <f>"07-"&amp;LEFT(RIGHTB(REPT(0,4)&amp;_xlfn.BASE(DB07_baselinesequence[[#This Row],[num]],36),4),2)&amp;"-"&amp;RIGHT(RIGHTB(REPT(0,4)&amp;_xlfn.BASE(DB07_baselinesequence[[#This Row],[num]],36),4),2)</f>
        <v>07-00-4I</v>
      </c>
      <c r="C150" s="1" t="s">
        <v>1398</v>
      </c>
      <c r="F150" s="1" t="s">
        <v>679</v>
      </c>
      <c r="G150" s="1" t="str">
        <f>_xlfn.XLOOKUP(DB07_baselinesequence[[#This Row],[basesequence-ID]],DB06_baseline[ID],DB06_baseline[Baseline],"",0)</f>
        <v>TGGGGTCGCAGTATTT</v>
      </c>
      <c r="H150" s="1">
        <f>_xlfn.XLOOKUP(DB07_baselinesequence[[#This Row],[basesequence-ID]],DB06_baseline[ID],DB06_baseline[確認済],FALSE,0)</f>
        <v>0</v>
      </c>
      <c r="J150" s="1" t="s">
        <v>1724</v>
      </c>
      <c r="K150" s="4"/>
      <c r="L150" s="3"/>
    </row>
    <row r="151" spans="1:12" x14ac:dyDescent="0.45">
      <c r="A151" s="1">
        <v>163</v>
      </c>
      <c r="B151" s="1" t="str">
        <f>"07-"&amp;LEFT(RIGHTB(REPT(0,4)&amp;_xlfn.BASE(DB07_baselinesequence[[#This Row],[num]],36),4),2)&amp;"-"&amp;RIGHT(RIGHTB(REPT(0,4)&amp;_xlfn.BASE(DB07_baselinesequence[[#This Row],[num]],36),4),2)</f>
        <v>07-00-4J</v>
      </c>
      <c r="C151" s="1" t="s">
        <v>1399</v>
      </c>
      <c r="F151" s="1" t="s">
        <v>682</v>
      </c>
      <c r="G151" s="1" t="str">
        <f>_xlfn.XLOOKUP(DB07_baselinesequence[[#This Row],[basesequence-ID]],DB06_baseline[ID],DB06_baseline[Baseline],"",0)</f>
        <v>TAGGTTGGGGTCGCAG</v>
      </c>
      <c r="H151" s="1">
        <f>_xlfn.XLOOKUP(DB07_baselinesequence[[#This Row],[basesequence-ID]],DB06_baseline[ID],DB06_baseline[確認済],FALSE,0)</f>
        <v>0</v>
      </c>
      <c r="J151" s="1" t="s">
        <v>1725</v>
      </c>
      <c r="K151" s="4"/>
      <c r="L151" s="3"/>
    </row>
    <row r="152" spans="1:12" x14ac:dyDescent="0.45">
      <c r="A152" s="1">
        <v>164</v>
      </c>
      <c r="B152" s="1" t="str">
        <f>"07-"&amp;LEFT(RIGHTB(REPT(0,4)&amp;_xlfn.BASE(DB07_baselinesequence[[#This Row],[num]],36),4),2)&amp;"-"&amp;RIGHT(RIGHTB(REPT(0,4)&amp;_xlfn.BASE(DB07_baselinesequence[[#This Row],[num]],36),4),2)</f>
        <v>07-00-4K</v>
      </c>
      <c r="C152" s="1" t="s">
        <v>1400</v>
      </c>
      <c r="F152" s="1" t="s">
        <v>685</v>
      </c>
      <c r="G152" s="1" t="str">
        <f>_xlfn.XLOOKUP(DB07_baselinesequence[[#This Row],[basesequence-ID]],DB06_baseline[ID],DB06_baseline[Baseline],"",0)</f>
        <v>AGCCCTAGGTTGGGGT</v>
      </c>
      <c r="H152" s="1">
        <f>_xlfn.XLOOKUP(DB07_baselinesequence[[#This Row],[basesequence-ID]],DB06_baseline[ID],DB06_baseline[確認済],FALSE,0)</f>
        <v>0</v>
      </c>
      <c r="J152" s="1" t="s">
        <v>1726</v>
      </c>
      <c r="K152" s="4"/>
      <c r="L152" s="3"/>
    </row>
    <row r="153" spans="1:12" x14ac:dyDescent="0.45">
      <c r="A153" s="1">
        <v>165</v>
      </c>
      <c r="B153" s="1" t="str">
        <f>"07-"&amp;LEFT(RIGHTB(REPT(0,4)&amp;_xlfn.BASE(DB07_baselinesequence[[#This Row],[num]],36),4),2)&amp;"-"&amp;RIGHT(RIGHTB(REPT(0,4)&amp;_xlfn.BASE(DB07_baselinesequence[[#This Row],[num]],36),4),2)</f>
        <v>07-00-4L</v>
      </c>
      <c r="C153" s="1" t="s">
        <v>1401</v>
      </c>
      <c r="F153" s="1" t="s">
        <v>688</v>
      </c>
      <c r="G153" s="1" t="str">
        <f>_xlfn.XLOOKUP(DB07_baselinesequence[[#This Row],[basesequence-ID]],DB06_baseline[ID],DB06_baseline[Baseline],"",0)</f>
        <v>CCCGAAGCCCTAGGTT</v>
      </c>
      <c r="H153" s="1">
        <f>_xlfn.XLOOKUP(DB07_baselinesequence[[#This Row],[basesequence-ID]],DB06_baseline[ID],DB06_baseline[確認済],FALSE,0)</f>
        <v>0</v>
      </c>
      <c r="J153" s="1" t="s">
        <v>1727</v>
      </c>
      <c r="K153" s="4"/>
      <c r="L153" s="3"/>
    </row>
    <row r="154" spans="1:12" x14ac:dyDescent="0.45">
      <c r="A154" s="1">
        <v>166</v>
      </c>
      <c r="B154" s="1" t="str">
        <f>"07-"&amp;LEFT(RIGHTB(REPT(0,4)&amp;_xlfn.BASE(DB07_baselinesequence[[#This Row],[num]],36),4),2)&amp;"-"&amp;RIGHT(RIGHTB(REPT(0,4)&amp;_xlfn.BASE(DB07_baselinesequence[[#This Row],[num]],36),4),2)</f>
        <v>07-00-4M</v>
      </c>
      <c r="C154" s="1" t="s">
        <v>1402</v>
      </c>
      <c r="F154" s="1" t="s">
        <v>691</v>
      </c>
      <c r="G154" s="1" t="str">
        <f>_xlfn.XLOOKUP(DB07_baselinesequence[[#This Row],[basesequence-ID]],DB06_baseline[ID],DB06_baseline[Baseline],"",0)</f>
        <v>CTGGACCCGAAGCCCT</v>
      </c>
      <c r="H154" s="1">
        <f>_xlfn.XLOOKUP(DB07_baselinesequence[[#This Row],[basesequence-ID]],DB06_baseline[ID],DB06_baseline[確認済],FALSE,0)</f>
        <v>0</v>
      </c>
      <c r="J154" s="1" t="s">
        <v>1728</v>
      </c>
      <c r="K154" s="4"/>
      <c r="L154" s="3"/>
    </row>
    <row r="155" spans="1:12" x14ac:dyDescent="0.45">
      <c r="A155" s="1">
        <v>167</v>
      </c>
      <c r="B155" s="1" t="str">
        <f>"07-"&amp;LEFT(RIGHTB(REPT(0,4)&amp;_xlfn.BASE(DB07_baselinesequence[[#This Row],[num]],36),4),2)&amp;"-"&amp;RIGHT(RIGHTB(REPT(0,4)&amp;_xlfn.BASE(DB07_baselinesequence[[#This Row],[num]],36),4),2)</f>
        <v>07-00-4N</v>
      </c>
      <c r="C155" s="1" t="s">
        <v>1403</v>
      </c>
      <c r="F155" s="1" t="s">
        <v>694</v>
      </c>
      <c r="G155" s="1" t="str">
        <f>_xlfn.XLOOKUP(DB07_baselinesequence[[#This Row],[basesequence-ID]],DB06_baseline[ID],DB06_baseline[Baseline],"",0)</f>
        <v>TTCTGCTGGACCCGAA</v>
      </c>
      <c r="H155" s="1">
        <f>_xlfn.XLOOKUP(DB07_baselinesequence[[#This Row],[basesequence-ID]],DB06_baseline[ID],DB06_baseline[確認済],FALSE,0)</f>
        <v>0</v>
      </c>
      <c r="J155" s="1" t="s">
        <v>1729</v>
      </c>
      <c r="K155" s="4"/>
      <c r="L155" s="3"/>
    </row>
    <row r="156" spans="1:12" x14ac:dyDescent="0.45">
      <c r="A156" s="1">
        <v>168</v>
      </c>
      <c r="B156" s="1" t="str">
        <f>"07-"&amp;LEFT(RIGHTB(REPT(0,4)&amp;_xlfn.BASE(DB07_baselinesequence[[#This Row],[num]],36),4),2)&amp;"-"&amp;RIGHT(RIGHTB(REPT(0,4)&amp;_xlfn.BASE(DB07_baselinesequence[[#This Row],[num]],36),4),2)</f>
        <v>07-00-4O</v>
      </c>
      <c r="C156" s="1" t="s">
        <v>1404</v>
      </c>
      <c r="F156" s="1" t="s">
        <v>697</v>
      </c>
      <c r="G156" s="1" t="str">
        <f>_xlfn.XLOOKUP(DB07_baselinesequence[[#This Row],[basesequence-ID]],DB06_baseline[ID],DB06_baseline[Baseline],"",0)</f>
        <v>TGCCCTTCTGCTGGAC</v>
      </c>
      <c r="H156" s="1">
        <f>_xlfn.XLOOKUP(DB07_baselinesequence[[#This Row],[basesequence-ID]],DB06_baseline[ID],DB06_baseline[確認済],FALSE,0)</f>
        <v>0</v>
      </c>
      <c r="J156" s="1" t="s">
        <v>1730</v>
      </c>
      <c r="K156" s="4"/>
      <c r="L156" s="3"/>
    </row>
    <row r="157" spans="1:12" x14ac:dyDescent="0.45">
      <c r="A157" s="1">
        <v>169</v>
      </c>
      <c r="B157" s="1" t="str">
        <f>"07-"&amp;LEFT(RIGHTB(REPT(0,4)&amp;_xlfn.BASE(DB07_baselinesequence[[#This Row],[num]],36),4),2)&amp;"-"&amp;RIGHT(RIGHTB(REPT(0,4)&amp;_xlfn.BASE(DB07_baselinesequence[[#This Row],[num]],36),4),2)</f>
        <v>07-00-4P</v>
      </c>
      <c r="C157" s="1" t="s">
        <v>1405</v>
      </c>
      <c r="F157" s="1" t="s">
        <v>700</v>
      </c>
      <c r="G157" s="1" t="str">
        <f>_xlfn.XLOOKUP(DB07_baselinesequence[[#This Row],[basesequence-ID]],DB06_baseline[ID],DB06_baseline[Baseline],"",0)</f>
        <v>TGAGGTGCCCTTCTGC</v>
      </c>
      <c r="H157" s="1">
        <f>_xlfn.XLOOKUP(DB07_baselinesequence[[#This Row],[basesequence-ID]],DB06_baseline[ID],DB06_baseline[確認済],FALSE,0)</f>
        <v>0</v>
      </c>
      <c r="J157" s="1" t="s">
        <v>1731</v>
      </c>
      <c r="K157" s="4"/>
      <c r="L157" s="3"/>
    </row>
    <row r="158" spans="1:12" x14ac:dyDescent="0.45">
      <c r="A158" s="1">
        <v>170</v>
      </c>
      <c r="B158" s="1" t="str">
        <f>"07-"&amp;LEFT(RIGHTB(REPT(0,4)&amp;_xlfn.BASE(DB07_baselinesequence[[#This Row],[num]],36),4),2)&amp;"-"&amp;RIGHT(RIGHTB(REPT(0,4)&amp;_xlfn.BASE(DB07_baselinesequence[[#This Row],[num]],36),4),2)</f>
        <v>07-00-4Q</v>
      </c>
      <c r="C158" s="1" t="s">
        <v>1406</v>
      </c>
      <c r="F158" s="1" t="s">
        <v>703</v>
      </c>
      <c r="G158" s="1" t="str">
        <f>_xlfn.XLOOKUP(DB07_baselinesequence[[#This Row],[basesequence-ID]],DB06_baseline[ID],DB06_baseline[Baseline],"",0)</f>
        <v>GTTTCTGAGGTGCCCT</v>
      </c>
      <c r="H158" s="1">
        <f>_xlfn.XLOOKUP(DB07_baselinesequence[[#This Row],[basesequence-ID]],DB06_baseline[ID],DB06_baseline[確認済],FALSE,0)</f>
        <v>0</v>
      </c>
      <c r="J158" s="1" t="s">
        <v>1732</v>
      </c>
      <c r="K158" s="4"/>
      <c r="L158" s="3"/>
    </row>
    <row r="159" spans="1:12" x14ac:dyDescent="0.45">
      <c r="A159" s="1">
        <v>171</v>
      </c>
      <c r="B159" s="1" t="str">
        <f>"07-"&amp;LEFT(RIGHTB(REPT(0,4)&amp;_xlfn.BASE(DB07_baselinesequence[[#This Row],[num]],36),4),2)&amp;"-"&amp;RIGHT(RIGHTB(REPT(0,4)&amp;_xlfn.BASE(DB07_baselinesequence[[#This Row],[num]],36),4),2)</f>
        <v>07-00-4R</v>
      </c>
      <c r="C159" s="1" t="s">
        <v>1407</v>
      </c>
      <c r="F159" s="1" t="s">
        <v>706</v>
      </c>
      <c r="G159" s="1" t="str">
        <f>_xlfn.XLOOKUP(DB07_baselinesequence[[#This Row],[basesequence-ID]],DB06_baseline[ID],DB06_baseline[Baseline],"",0)</f>
        <v>TGTCTGTTTCTGAGGT</v>
      </c>
      <c r="H159" s="1">
        <f>_xlfn.XLOOKUP(DB07_baselinesequence[[#This Row],[basesequence-ID]],DB06_baseline[ID],DB06_baseline[確認済],FALSE,0)</f>
        <v>0</v>
      </c>
      <c r="J159" s="1" t="s">
        <v>1733</v>
      </c>
      <c r="K159" s="4"/>
      <c r="L159" s="3"/>
    </row>
    <row r="160" spans="1:12" x14ac:dyDescent="0.45">
      <c r="A160" s="1">
        <v>172</v>
      </c>
      <c r="B160" s="1" t="str">
        <f>"07-"&amp;LEFT(RIGHTB(REPT(0,4)&amp;_xlfn.BASE(DB07_baselinesequence[[#This Row],[num]],36),4),2)&amp;"-"&amp;RIGHT(RIGHTB(REPT(0,4)&amp;_xlfn.BASE(DB07_baselinesequence[[#This Row],[num]],36),4),2)</f>
        <v>07-00-4S</v>
      </c>
      <c r="C160" s="1" t="s">
        <v>1408</v>
      </c>
      <c r="F160" s="1" t="s">
        <v>709</v>
      </c>
      <c r="G160" s="1" t="str">
        <f>_xlfn.XLOOKUP(DB07_baselinesequence[[#This Row],[basesequence-ID]],DB06_baseline[ID],DB06_baseline[Baseline],"",0)</f>
        <v>GATGGTGTCTGTTTCT</v>
      </c>
      <c r="H160" s="1">
        <f>_xlfn.XLOOKUP(DB07_baselinesequence[[#This Row],[basesequence-ID]],DB06_baseline[ID],DB06_baseline[確認済],FALSE,0)</f>
        <v>0</v>
      </c>
      <c r="J160" s="1" t="s">
        <v>1734</v>
      </c>
      <c r="K160" s="4"/>
      <c r="L160" s="3"/>
    </row>
    <row r="161" spans="1:12" x14ac:dyDescent="0.45">
      <c r="A161" s="1">
        <v>173</v>
      </c>
      <c r="B161" s="1" t="str">
        <f>"07-"&amp;LEFT(RIGHTB(REPT(0,4)&amp;_xlfn.BASE(DB07_baselinesequence[[#This Row],[num]],36),4),2)&amp;"-"&amp;RIGHT(RIGHTB(REPT(0,4)&amp;_xlfn.BASE(DB07_baselinesequence[[#This Row],[num]],36),4),2)</f>
        <v>07-00-4T</v>
      </c>
      <c r="C161" s="1" t="s">
        <v>1409</v>
      </c>
      <c r="F161" s="1" t="s">
        <v>712</v>
      </c>
      <c r="G161" s="1" t="str">
        <f>_xlfn.XLOOKUP(DB07_baselinesequence[[#This Row],[basesequence-ID]],DB06_baseline[ID],DB06_baseline[Baseline],"",0)</f>
        <v>GTGCAGATGGTGTCTG</v>
      </c>
      <c r="H161" s="1">
        <f>_xlfn.XLOOKUP(DB07_baselinesequence[[#This Row],[basesequence-ID]],DB06_baseline[ID],DB06_baseline[確認済],FALSE,0)</f>
        <v>0</v>
      </c>
      <c r="J161" s="1" t="s">
        <v>1735</v>
      </c>
      <c r="K161" s="4"/>
      <c r="L161" s="3"/>
    </row>
    <row r="162" spans="1:12" x14ac:dyDescent="0.45">
      <c r="A162" s="1">
        <v>174</v>
      </c>
      <c r="B162" s="1" t="str">
        <f>"07-"&amp;LEFT(RIGHTB(REPT(0,4)&amp;_xlfn.BASE(DB07_baselinesequence[[#This Row],[num]],36),4),2)&amp;"-"&amp;RIGHT(RIGHTB(REPT(0,4)&amp;_xlfn.BASE(DB07_baselinesequence[[#This Row],[num]],36),4),2)</f>
        <v>07-00-4U</v>
      </c>
      <c r="C162" s="1" t="s">
        <v>1410</v>
      </c>
      <c r="F162" s="1" t="s">
        <v>715</v>
      </c>
      <c r="G162" s="1" t="str">
        <f>_xlfn.XLOOKUP(DB07_baselinesequence[[#This Row],[basesequence-ID]],DB06_baseline[ID],DB06_baseline[Baseline],"",0)</f>
        <v>CACAGGTGCAGATGGT</v>
      </c>
      <c r="H162" s="1">
        <f>_xlfn.XLOOKUP(DB07_baselinesequence[[#This Row],[basesequence-ID]],DB06_baseline[ID],DB06_baseline[確認済],FALSE,0)</f>
        <v>0</v>
      </c>
      <c r="J162" s="1" t="s">
        <v>1736</v>
      </c>
      <c r="K162" s="4"/>
      <c r="L162" s="3"/>
    </row>
    <row r="163" spans="1:12" x14ac:dyDescent="0.45">
      <c r="A163" s="1">
        <v>175</v>
      </c>
      <c r="B163" s="1" t="str">
        <f>"07-"&amp;LEFT(RIGHTB(REPT(0,4)&amp;_xlfn.BASE(DB07_baselinesequence[[#This Row],[num]],36),4),2)&amp;"-"&amp;RIGHT(RIGHTB(REPT(0,4)&amp;_xlfn.BASE(DB07_baselinesequence[[#This Row],[num]],36),4),2)</f>
        <v>07-00-4V</v>
      </c>
      <c r="C163" s="1" t="s">
        <v>1411</v>
      </c>
      <c r="F163" s="1" t="s">
        <v>718</v>
      </c>
      <c r="G163" s="1" t="str">
        <f>_xlfn.XLOOKUP(DB07_baselinesequence[[#This Row],[basesequence-ID]],DB06_baseline[ID],DB06_baseline[Baseline],"",0)</f>
        <v>TTCTTCACAGGTGCAG</v>
      </c>
      <c r="H163" s="1">
        <f>_xlfn.XLOOKUP(DB07_baselinesequence[[#This Row],[basesequence-ID]],DB06_baseline[ID],DB06_baseline[確認済],FALSE,0)</f>
        <v>0</v>
      </c>
      <c r="J163" s="1" t="s">
        <v>1737</v>
      </c>
      <c r="K163" s="4"/>
      <c r="L163" s="3"/>
    </row>
    <row r="164" spans="1:12" x14ac:dyDescent="0.45">
      <c r="A164" s="1">
        <v>176</v>
      </c>
      <c r="B164" s="1" t="str">
        <f>"07-"&amp;LEFT(RIGHTB(REPT(0,4)&amp;_xlfn.BASE(DB07_baselinesequence[[#This Row],[num]],36),4),2)&amp;"-"&amp;RIGHT(RIGHTB(REPT(0,4)&amp;_xlfn.BASE(DB07_baselinesequence[[#This Row],[num]],36),4),2)</f>
        <v>07-00-4W</v>
      </c>
      <c r="C164" s="1" t="s">
        <v>1412</v>
      </c>
      <c r="F164" s="1" t="s">
        <v>721</v>
      </c>
      <c r="G164" s="1" t="str">
        <f>_xlfn.XLOOKUP(DB07_baselinesequence[[#This Row],[basesequence-ID]],DB06_baseline[ID],DB06_baseline[Baseline],"",0)</f>
        <v>CAGCCTTCTTCACAGG</v>
      </c>
      <c r="H164" s="1">
        <f>_xlfn.XLOOKUP(DB07_baselinesequence[[#This Row],[basesequence-ID]],DB06_baseline[ID],DB06_baseline[確認済],FALSE,0)</f>
        <v>0</v>
      </c>
      <c r="J164" s="1" t="s">
        <v>1738</v>
      </c>
      <c r="K164" s="4"/>
      <c r="L164" s="3"/>
    </row>
    <row r="165" spans="1:12" x14ac:dyDescent="0.45">
      <c r="A165" s="1">
        <v>177</v>
      </c>
      <c r="B165" s="1" t="str">
        <f>"07-"&amp;LEFT(RIGHTB(REPT(0,4)&amp;_xlfn.BASE(DB07_baselinesequence[[#This Row],[num]],36),4),2)&amp;"-"&amp;RIGHT(RIGHTB(REPT(0,4)&amp;_xlfn.BASE(DB07_baselinesequence[[#This Row],[num]],36),4),2)</f>
        <v>07-00-4X</v>
      </c>
      <c r="C165" s="1" t="s">
        <v>1413</v>
      </c>
      <c r="F165" s="1" t="s">
        <v>724</v>
      </c>
      <c r="G165" s="1" t="str">
        <f>_xlfn.XLOOKUP(DB07_baselinesequence[[#This Row],[basesequence-ID]],DB06_baseline[ID],DB06_baseline[Baseline],"",0)</f>
        <v>AGTGCCAGCCTTCTTC</v>
      </c>
      <c r="H165" s="1">
        <f>_xlfn.XLOOKUP(DB07_baselinesequence[[#This Row],[basesequence-ID]],DB06_baseline[ID],DB06_baseline[確認済],FALSE,0)</f>
        <v>0</v>
      </c>
      <c r="J165" s="1" t="s">
        <v>1739</v>
      </c>
      <c r="K165" s="4"/>
      <c r="L165" s="3"/>
    </row>
    <row r="166" spans="1:12" x14ac:dyDescent="0.45">
      <c r="A166" s="1">
        <v>178</v>
      </c>
      <c r="B166" s="1" t="str">
        <f>"07-"&amp;LEFT(RIGHTB(REPT(0,4)&amp;_xlfn.BASE(DB07_baselinesequence[[#This Row],[num]],36),4),2)&amp;"-"&amp;RIGHT(RIGHTB(REPT(0,4)&amp;_xlfn.BASE(DB07_baselinesequence[[#This Row],[num]],36),4),2)</f>
        <v>07-00-4Y</v>
      </c>
      <c r="C166" s="1" t="s">
        <v>1414</v>
      </c>
      <c r="F166" s="1" t="s">
        <v>727</v>
      </c>
      <c r="G166" s="1" t="str">
        <f>_xlfn.XLOOKUP(DB07_baselinesequence[[#This Row],[basesequence-ID]],DB06_baseline[ID],DB06_baseline[Baseline],"",0)</f>
        <v>CGTACAGTGCCAGCCT</v>
      </c>
      <c r="H166" s="1">
        <f>_xlfn.XLOOKUP(DB07_baselinesequence[[#This Row],[basesequence-ID]],DB06_baseline[ID],DB06_baseline[確認済],FALSE,0)</f>
        <v>0</v>
      </c>
      <c r="J166" s="1" t="s">
        <v>1740</v>
      </c>
      <c r="K166" s="4"/>
      <c r="L166" s="3"/>
    </row>
    <row r="167" spans="1:12" x14ac:dyDescent="0.45">
      <c r="A167" s="1">
        <v>179</v>
      </c>
      <c r="B167" s="1" t="str">
        <f>"07-"&amp;LEFT(RIGHTB(REPT(0,4)&amp;_xlfn.BASE(DB07_baselinesequence[[#This Row],[num]],36),4),2)&amp;"-"&amp;RIGHT(RIGHTB(REPT(0,4)&amp;_xlfn.BASE(DB07_baselinesequence[[#This Row],[num]],36),4),2)</f>
        <v>07-00-4Z</v>
      </c>
      <c r="C167" s="1" t="s">
        <v>1415</v>
      </c>
      <c r="F167" s="1" t="s">
        <v>730</v>
      </c>
      <c r="G167" s="1" t="str">
        <f>_xlfn.XLOOKUP(DB07_baselinesequence[[#This Row],[basesequence-ID]],DB06_baseline[ID],DB06_baseline[Baseline],"",0)</f>
        <v>TCACTCGTACAGTGCC</v>
      </c>
      <c r="H167" s="1">
        <f>_xlfn.XLOOKUP(DB07_baselinesequence[[#This Row],[basesequence-ID]],DB06_baseline[ID],DB06_baseline[確認済],FALSE,0)</f>
        <v>0</v>
      </c>
      <c r="J167" s="1" t="s">
        <v>1741</v>
      </c>
      <c r="K167" s="4"/>
      <c r="L167" s="3"/>
    </row>
    <row r="168" spans="1:12" x14ac:dyDescent="0.45">
      <c r="A168" s="1">
        <v>180</v>
      </c>
      <c r="B168" s="1" t="str">
        <f>"07-"&amp;LEFT(RIGHTB(REPT(0,4)&amp;_xlfn.BASE(DB07_baselinesequence[[#This Row],[num]],36),4),2)&amp;"-"&amp;RIGHT(RIGHTB(REPT(0,4)&amp;_xlfn.BASE(DB07_baselinesequence[[#This Row],[num]],36),4),2)</f>
        <v>07-00-50</v>
      </c>
      <c r="C168" s="1" t="s">
        <v>1416</v>
      </c>
      <c r="F168" s="1" t="s">
        <v>733</v>
      </c>
      <c r="G168" s="1" t="str">
        <f>_xlfn.XLOOKUP(DB07_baselinesequence[[#This Row],[basesequence-ID]],DB06_baseline[ID],DB06_baseline[Baseline],"",0)</f>
        <v>AGGCCTCACTCGTACA</v>
      </c>
      <c r="H168" s="1">
        <f>_xlfn.XLOOKUP(DB07_baselinesequence[[#This Row],[basesequence-ID]],DB06_baseline[ID],DB06_baseline[確認済],FALSE,0)</f>
        <v>0</v>
      </c>
      <c r="J168" s="1" t="s">
        <v>1742</v>
      </c>
      <c r="K168" s="4"/>
      <c r="L168" s="3"/>
    </row>
    <row r="169" spans="1:12" x14ac:dyDescent="0.45">
      <c r="A169" s="1">
        <v>181</v>
      </c>
      <c r="B169" s="1" t="str">
        <f>"07-"&amp;LEFT(RIGHTB(REPT(0,4)&amp;_xlfn.BASE(DB07_baselinesequence[[#This Row],[num]],36),4),2)&amp;"-"&amp;RIGHT(RIGHTB(REPT(0,4)&amp;_xlfn.BASE(DB07_baselinesequence[[#This Row],[num]],36),4),2)</f>
        <v>07-00-51</v>
      </c>
      <c r="C169" s="1" t="s">
        <v>1417</v>
      </c>
      <c r="F169" s="1" t="s">
        <v>736</v>
      </c>
      <c r="G169" s="1" t="str">
        <f>_xlfn.XLOOKUP(DB07_baselinesequence[[#This Row],[basesequence-ID]],DB06_baseline[ID],DB06_baseline[Baseline],"",0)</f>
        <v>CTCACAGGCCTCACTC</v>
      </c>
      <c r="H169" s="1">
        <f>_xlfn.XLOOKUP(DB07_baselinesequence[[#This Row],[basesequence-ID]],DB06_baseline[ID],DB06_baseline[確認済],FALSE,0)</f>
        <v>0</v>
      </c>
      <c r="J169" s="1" t="s">
        <v>1743</v>
      </c>
      <c r="K169" s="4"/>
      <c r="L169" s="3"/>
    </row>
    <row r="170" spans="1:12" x14ac:dyDescent="0.45">
      <c r="A170" s="1">
        <v>182</v>
      </c>
      <c r="B170" s="1" t="str">
        <f>"07-"&amp;LEFT(RIGHTB(REPT(0,4)&amp;_xlfn.BASE(DB07_baselinesequence[[#This Row],[num]],36),4),2)&amp;"-"&amp;RIGHT(RIGHTB(REPT(0,4)&amp;_xlfn.BASE(DB07_baselinesequence[[#This Row],[num]],36),4),2)</f>
        <v>07-00-52</v>
      </c>
      <c r="C170" s="1" t="s">
        <v>1418</v>
      </c>
      <c r="F170" s="1" t="s">
        <v>739</v>
      </c>
      <c r="G170" s="1" t="str">
        <f>_xlfn.XLOOKUP(DB07_baselinesequence[[#This Row],[basesequence-ID]],DB06_baseline[ID],DB06_baseline[Baseline],"",0)</f>
        <v>CAGCTCTCACAGGCCT</v>
      </c>
      <c r="H170" s="1">
        <f>_xlfn.XLOOKUP(DB07_baselinesequence[[#This Row],[basesequence-ID]],DB06_baseline[ID],DB06_baseline[確認済],FALSE,0)</f>
        <v>0</v>
      </c>
      <c r="J170" s="1" t="s">
        <v>1744</v>
      </c>
      <c r="K170" s="4"/>
      <c r="L170" s="3"/>
    </row>
    <row r="171" spans="1:12" x14ac:dyDescent="0.45">
      <c r="A171" s="1">
        <v>183</v>
      </c>
      <c r="B171" s="1" t="str">
        <f>"07-"&amp;LEFT(RIGHTB(REPT(0,4)&amp;_xlfn.BASE(DB07_baselinesequence[[#This Row],[num]],36),4),2)&amp;"-"&amp;RIGHT(RIGHTB(REPT(0,4)&amp;_xlfn.BASE(DB07_baselinesequence[[#This Row],[num]],36),4),2)</f>
        <v>07-00-53</v>
      </c>
      <c r="C171" s="1" t="s">
        <v>1419</v>
      </c>
      <c r="F171" s="1" t="s">
        <v>742</v>
      </c>
      <c r="G171" s="1" t="str">
        <f>_xlfn.XLOOKUP(DB07_baselinesequence[[#This Row],[basesequence-ID]],DB06_baseline[ID],DB06_baseline[Baseline],"",0)</f>
        <v>GGACACAGCTCTCACA</v>
      </c>
      <c r="H171" s="1">
        <f>_xlfn.XLOOKUP(DB07_baselinesequence[[#This Row],[basesequence-ID]],DB06_baseline[ID],DB06_baseline[確認済],FALSE,0)</f>
        <v>0</v>
      </c>
      <c r="J171" s="1" t="s">
        <v>1745</v>
      </c>
      <c r="K171" s="4"/>
      <c r="L171" s="3"/>
    </row>
    <row r="172" spans="1:12" x14ac:dyDescent="0.45">
      <c r="A172" s="1">
        <v>184</v>
      </c>
      <c r="B172" s="1" t="str">
        <f>"07-"&amp;LEFT(RIGHTB(REPT(0,4)&amp;_xlfn.BASE(DB07_baselinesequence[[#This Row],[num]],36),4),2)&amp;"-"&amp;RIGHT(RIGHTB(REPT(0,4)&amp;_xlfn.BASE(DB07_baselinesequence[[#This Row],[num]],36),4),2)</f>
        <v>07-00-54</v>
      </c>
      <c r="C172" s="1" t="s">
        <v>1420</v>
      </c>
      <c r="F172" s="1" t="s">
        <v>745</v>
      </c>
      <c r="G172" s="1" t="str">
        <f>_xlfn.XLOOKUP(DB07_baselinesequence[[#This Row],[basesequence-ID]],DB06_baseline[ID],DB06_baseline[Baseline],"",0)</f>
        <v>GTGCAGGACACAGCTC</v>
      </c>
      <c r="H172" s="1">
        <f>_xlfn.XLOOKUP(DB07_baselinesequence[[#This Row],[basesequence-ID]],DB06_baseline[ID],DB06_baseline[確認済],FALSE,0)</f>
        <v>0</v>
      </c>
      <c r="J172" s="1" t="s">
        <v>1746</v>
      </c>
      <c r="K172" s="4"/>
      <c r="L172" s="3"/>
    </row>
    <row r="173" spans="1:12" x14ac:dyDescent="0.45">
      <c r="A173" s="1">
        <v>185</v>
      </c>
      <c r="B173" s="1" t="str">
        <f>"07-"&amp;LEFT(RIGHTB(REPT(0,4)&amp;_xlfn.BASE(DB07_baselinesequence[[#This Row],[num]],36),4),2)&amp;"-"&amp;RIGHT(RIGHTB(REPT(0,4)&amp;_xlfn.BASE(DB07_baselinesequence[[#This Row],[num]],36),4),2)</f>
        <v>07-00-55</v>
      </c>
      <c r="C173" s="1" t="s">
        <v>1421</v>
      </c>
      <c r="F173" s="1" t="s">
        <v>748</v>
      </c>
      <c r="G173" s="1" t="str">
        <f>_xlfn.XLOOKUP(DB07_baselinesequence[[#This Row],[basesequence-ID]],DB06_baseline[ID],DB06_baseline[Baseline],"",0)</f>
        <v>GAGCGGTGCAGGACAC</v>
      </c>
      <c r="H173" s="1">
        <f>_xlfn.XLOOKUP(DB07_baselinesequence[[#This Row],[basesequence-ID]],DB06_baseline[ID],DB06_baseline[確認済],FALSE,0)</f>
        <v>0</v>
      </c>
      <c r="J173" s="1" t="s">
        <v>1747</v>
      </c>
      <c r="K173" s="4"/>
      <c r="L173" s="3"/>
    </row>
    <row r="174" spans="1:12" x14ac:dyDescent="0.45">
      <c r="A174" s="1">
        <v>186</v>
      </c>
      <c r="B174" s="1" t="str">
        <f>"07-"&amp;LEFT(RIGHTB(REPT(0,4)&amp;_xlfn.BASE(DB07_baselinesequence[[#This Row],[num]],36),4),2)&amp;"-"&amp;RIGHT(RIGHTB(REPT(0,4)&amp;_xlfn.BASE(DB07_baselinesequence[[#This Row],[num]],36),4),2)</f>
        <v>07-00-56</v>
      </c>
      <c r="C174" s="1" t="s">
        <v>1422</v>
      </c>
      <c r="F174" s="1" t="s">
        <v>751</v>
      </c>
      <c r="G174" s="1" t="str">
        <f>_xlfn.XLOOKUP(DB07_baselinesequence[[#This Row],[basesequence-ID]],DB06_baseline[ID],DB06_baseline[Baseline],"",0)</f>
        <v>AGCATGAGCGGTGCAG</v>
      </c>
      <c r="H174" s="1">
        <f>_xlfn.XLOOKUP(DB07_baselinesequence[[#This Row],[basesequence-ID]],DB06_baseline[ID],DB06_baseline[確認済],FALSE,0)</f>
        <v>0</v>
      </c>
      <c r="J174" s="1" t="s">
        <v>1748</v>
      </c>
      <c r="K174" s="4"/>
      <c r="L174" s="3"/>
    </row>
    <row r="175" spans="1:12" x14ac:dyDescent="0.45">
      <c r="A175" s="1">
        <v>187</v>
      </c>
      <c r="B175" s="1" t="str">
        <f>"07-"&amp;LEFT(RIGHTB(REPT(0,4)&amp;_xlfn.BASE(DB07_baselinesequence[[#This Row],[num]],36),4),2)&amp;"-"&amp;RIGHT(RIGHTB(REPT(0,4)&amp;_xlfn.BASE(DB07_baselinesequence[[#This Row],[num]],36),4),2)</f>
        <v>07-00-57</v>
      </c>
      <c r="C175" s="1" t="s">
        <v>1423</v>
      </c>
      <c r="F175" s="1" t="s">
        <v>754</v>
      </c>
      <c r="G175" s="1" t="str">
        <f>_xlfn.XLOOKUP(DB07_baselinesequence[[#This Row],[basesequence-ID]],DB06_baseline[ID],DB06_baseline[Baseline],"",0)</f>
        <v>GGGCGAGCATGAGCGG</v>
      </c>
      <c r="H175" s="1">
        <f>_xlfn.XLOOKUP(DB07_baselinesequence[[#This Row],[basesequence-ID]],DB06_baseline[ID],DB06_baseline[確認済],FALSE,0)</f>
        <v>0</v>
      </c>
      <c r="J175" s="1" t="s">
        <v>1749</v>
      </c>
      <c r="K175" s="4"/>
      <c r="L175" s="3"/>
    </row>
    <row r="176" spans="1:12" x14ac:dyDescent="0.45">
      <c r="A176" s="1">
        <v>188</v>
      </c>
      <c r="B176" s="1" t="str">
        <f>"07-"&amp;LEFT(RIGHTB(REPT(0,4)&amp;_xlfn.BASE(DB07_baselinesequence[[#This Row],[num]],36),4),2)&amp;"-"&amp;RIGHT(RIGHTB(REPT(0,4)&amp;_xlfn.BASE(DB07_baselinesequence[[#This Row],[num]],36),4),2)</f>
        <v>07-00-58</v>
      </c>
      <c r="C176" s="1" t="s">
        <v>1424</v>
      </c>
      <c r="F176" s="1" t="s">
        <v>757</v>
      </c>
      <c r="G176" s="1" t="str">
        <f>_xlfn.XLOOKUP(DB07_baselinesequence[[#This Row],[basesequence-ID]],DB06_baseline[ID],DB06_baseline[Baseline],"",0)</f>
        <v>AAGCCGGGCGAGCATG</v>
      </c>
      <c r="H176" s="1">
        <f>_xlfn.XLOOKUP(DB07_baselinesequence[[#This Row],[basesequence-ID]],DB06_baseline[ID],DB06_baseline[確認済],FALSE,0)</f>
        <v>0</v>
      </c>
      <c r="J176" s="1" t="s">
        <v>1750</v>
      </c>
      <c r="K176" s="4"/>
      <c r="L176" s="3"/>
    </row>
    <row r="177" spans="1:12" x14ac:dyDescent="0.45">
      <c r="A177" s="1">
        <v>189</v>
      </c>
      <c r="B177" s="1" t="str">
        <f>"07-"&amp;LEFT(RIGHTB(REPT(0,4)&amp;_xlfn.BASE(DB07_baselinesequence[[#This Row],[num]],36),4),2)&amp;"-"&amp;RIGHT(RIGHTB(REPT(0,4)&amp;_xlfn.BASE(DB07_baselinesequence[[#This Row],[num]],36),4),2)</f>
        <v>07-00-59</v>
      </c>
      <c r="C177" s="1" t="s">
        <v>1425</v>
      </c>
      <c r="F177" s="1" t="s">
        <v>760</v>
      </c>
      <c r="G177" s="1" t="str">
        <f>_xlfn.XLOOKUP(DB07_baselinesequence[[#This Row],[basesequence-ID]],DB06_baseline[ID],DB06_baseline[Baseline],"",0)</f>
        <v>CCCCAAAGCCGGGCGA</v>
      </c>
      <c r="H177" s="1">
        <f>_xlfn.XLOOKUP(DB07_baselinesequence[[#This Row],[basesequence-ID]],DB06_baseline[ID],DB06_baseline[確認済],FALSE,0)</f>
        <v>0</v>
      </c>
      <c r="J177" s="1" t="s">
        <v>1751</v>
      </c>
      <c r="K177" s="4"/>
      <c r="L177" s="3"/>
    </row>
    <row r="178" spans="1:12" x14ac:dyDescent="0.45">
      <c r="A178" s="1">
        <v>190</v>
      </c>
      <c r="B178" s="1" t="str">
        <f>"07-"&amp;LEFT(RIGHTB(REPT(0,4)&amp;_xlfn.BASE(DB07_baselinesequence[[#This Row],[num]],36),4),2)&amp;"-"&amp;RIGHT(RIGHTB(REPT(0,4)&amp;_xlfn.BASE(DB07_baselinesequence[[#This Row],[num]],36),4),2)</f>
        <v>07-00-5A</v>
      </c>
      <c r="C178" s="1" t="s">
        <v>1426</v>
      </c>
      <c r="F178" s="1" t="s">
        <v>763</v>
      </c>
      <c r="G178" s="1" t="str">
        <f>_xlfn.XLOOKUP(DB07_baselinesequence[[#This Row],[basesequence-ID]],DB06_baseline[ID],DB06_baseline[Baseline],"",0)</f>
        <v>CTTGACCCCAAAGCCG</v>
      </c>
      <c r="H178" s="1">
        <f>_xlfn.XLOOKUP(DB07_baselinesequence[[#This Row],[basesequence-ID]],DB06_baseline[ID],DB06_baseline[確認済],FALSE,0)</f>
        <v>0</v>
      </c>
      <c r="J178" s="1" t="s">
        <v>1752</v>
      </c>
      <c r="K178" s="4"/>
      <c r="L178" s="3"/>
    </row>
    <row r="179" spans="1:12" x14ac:dyDescent="0.45">
      <c r="A179" s="1">
        <v>191</v>
      </c>
      <c r="B179" s="1" t="str">
        <f>"07-"&amp;LEFT(RIGHTB(REPT(0,4)&amp;_xlfn.BASE(DB07_baselinesequence[[#This Row],[num]],36),4),2)&amp;"-"&amp;RIGHT(RIGHTB(REPT(0,4)&amp;_xlfn.BASE(DB07_baselinesequence[[#This Row],[num]],36),4),2)</f>
        <v>07-00-5B</v>
      </c>
      <c r="C179" s="1" t="s">
        <v>1427</v>
      </c>
      <c r="F179" s="1" t="s">
        <v>766</v>
      </c>
      <c r="G179" s="1" t="str">
        <f>_xlfn.XLOOKUP(DB07_baselinesequence[[#This Row],[basesequence-ID]],DB06_baseline[ID],DB06_baseline[Baseline],"",0)</f>
        <v>ATCTGCTTGACCCCAA</v>
      </c>
      <c r="H179" s="1">
        <f>_xlfn.XLOOKUP(DB07_baselinesequence[[#This Row],[basesequence-ID]],DB06_baseline[ID],DB06_baseline[確認済],FALSE,0)</f>
        <v>0</v>
      </c>
      <c r="J179" s="1" t="s">
        <v>1753</v>
      </c>
      <c r="K179" s="4"/>
      <c r="L179" s="3"/>
    </row>
    <row r="180" spans="1:12" x14ac:dyDescent="0.45">
      <c r="A180" s="1">
        <v>192</v>
      </c>
      <c r="B180" s="1" t="str">
        <f>"07-"&amp;LEFT(RIGHTB(REPT(0,4)&amp;_xlfn.BASE(DB07_baselinesequence[[#This Row],[num]],36),4),2)&amp;"-"&amp;RIGHT(RIGHTB(REPT(0,4)&amp;_xlfn.BASE(DB07_baselinesequence[[#This Row],[num]],36),4),2)</f>
        <v>07-00-5C</v>
      </c>
      <c r="C180" s="1" t="s">
        <v>1428</v>
      </c>
      <c r="F180" s="1" t="s">
        <v>769</v>
      </c>
      <c r="G180" s="1" t="str">
        <f>_xlfn.XLOOKUP(DB07_baselinesequence[[#This Row],[basesequence-ID]],DB06_baseline[ID],DB06_baseline[Baseline],"",0)</f>
        <v>TAGCAATCTGCTTGAC</v>
      </c>
      <c r="H180" s="1">
        <f>_xlfn.XLOOKUP(DB07_baselinesequence[[#This Row],[basesequence-ID]],DB06_baseline[ID],DB06_baseline[確認済],FALSE,0)</f>
        <v>0</v>
      </c>
      <c r="J180" s="1" t="s">
        <v>1754</v>
      </c>
      <c r="K180" s="4"/>
      <c r="L180" s="3"/>
    </row>
    <row r="181" spans="1:12" x14ac:dyDescent="0.45">
      <c r="A181" s="1">
        <v>193</v>
      </c>
      <c r="B181" s="1" t="str">
        <f>"07-"&amp;LEFT(RIGHTB(REPT(0,4)&amp;_xlfn.BASE(DB07_baselinesequence[[#This Row],[num]],36),4),2)&amp;"-"&amp;RIGHT(RIGHTB(REPT(0,4)&amp;_xlfn.BASE(DB07_baselinesequence[[#This Row],[num]],36),4),2)</f>
        <v>07-00-5D</v>
      </c>
      <c r="C181" s="1" t="s">
        <v>1429</v>
      </c>
      <c r="F181" s="1" t="s">
        <v>772</v>
      </c>
      <c r="G181" s="1" t="str">
        <f>_xlfn.XLOOKUP(DB07_baselinesequence[[#This Row],[basesequence-ID]],DB06_baseline[ID],DB06_baseline[Baseline],"",0)</f>
        <v>CCCTGTAGCAATCTGC</v>
      </c>
      <c r="H181" s="1">
        <f>_xlfn.XLOOKUP(DB07_baselinesequence[[#This Row],[basesequence-ID]],DB06_baseline[ID],DB06_baseline[確認済],FALSE,0)</f>
        <v>0</v>
      </c>
      <c r="J181" s="1" t="s">
        <v>1755</v>
      </c>
      <c r="K181" s="4"/>
      <c r="L181" s="3"/>
    </row>
    <row r="182" spans="1:12" x14ac:dyDescent="0.45">
      <c r="A182" s="1">
        <v>194</v>
      </c>
      <c r="B182" s="1" t="str">
        <f>"07-"&amp;LEFT(RIGHTB(REPT(0,4)&amp;_xlfn.BASE(DB07_baselinesequence[[#This Row],[num]],36),4),2)&amp;"-"&amp;RIGHT(RIGHTB(REPT(0,4)&amp;_xlfn.BASE(DB07_baselinesequence[[#This Row],[num]],36),4),2)</f>
        <v>07-00-5E</v>
      </c>
      <c r="C182" s="1" t="s">
        <v>1430</v>
      </c>
      <c r="F182" s="1" t="s">
        <v>775</v>
      </c>
      <c r="G182" s="1" t="str">
        <f>_xlfn.XLOOKUP(DB07_baselinesequence[[#This Row],[basesequence-ID]],DB06_baseline[ID],DB06_baseline[Baseline],"",0)</f>
        <v>GAAACCCCTGTAGCAA</v>
      </c>
      <c r="H182" s="1">
        <f>_xlfn.XLOOKUP(DB07_baselinesequence[[#This Row],[basesequence-ID]],DB06_baseline[ID],DB06_baseline[確認済],FALSE,0)</f>
        <v>0</v>
      </c>
      <c r="J182" s="1" t="s">
        <v>1756</v>
      </c>
      <c r="K182" s="4"/>
      <c r="L182" s="3"/>
    </row>
    <row r="183" spans="1:12" x14ac:dyDescent="0.45">
      <c r="A183" s="1">
        <v>195</v>
      </c>
      <c r="B183" s="1" t="str">
        <f>"07-"&amp;LEFT(RIGHTB(REPT(0,4)&amp;_xlfn.BASE(DB07_baselinesequence[[#This Row],[num]],36),4),2)&amp;"-"&amp;RIGHT(RIGHTB(REPT(0,4)&amp;_xlfn.BASE(DB07_baselinesequence[[#This Row],[num]],36),4),2)</f>
        <v>07-00-5F</v>
      </c>
      <c r="C183" s="1" t="s">
        <v>1431</v>
      </c>
      <c r="F183" s="1" t="s">
        <v>778</v>
      </c>
      <c r="G183" s="1" t="str">
        <f>_xlfn.XLOOKUP(DB07_baselinesequence[[#This Row],[basesequence-ID]],DB06_baseline[ID],DB06_baseline[Baseline],"",0)</f>
        <v>TATCAGAAACCCCTGT</v>
      </c>
      <c r="H183" s="1">
        <f>_xlfn.XLOOKUP(DB07_baselinesequence[[#This Row],[basesequence-ID]],DB06_baseline[ID],DB06_baseline[確認済],FALSE,0)</f>
        <v>0</v>
      </c>
      <c r="J183" s="1" t="s">
        <v>1757</v>
      </c>
      <c r="K183" s="4"/>
      <c r="L183" s="3"/>
    </row>
    <row r="184" spans="1:12" x14ac:dyDescent="0.45">
      <c r="A184" s="1">
        <v>196</v>
      </c>
      <c r="B184" s="1" t="str">
        <f>"07-"&amp;LEFT(RIGHTB(REPT(0,4)&amp;_xlfn.BASE(DB07_baselinesequence[[#This Row],[num]],36),4),2)&amp;"-"&amp;RIGHT(RIGHTB(REPT(0,4)&amp;_xlfn.BASE(DB07_baselinesequence[[#This Row],[num]],36),4),2)</f>
        <v>07-00-5G</v>
      </c>
      <c r="C184" s="1" t="s">
        <v>1432</v>
      </c>
      <c r="F184" s="1" t="s">
        <v>781</v>
      </c>
      <c r="G184" s="1" t="str">
        <f>_xlfn.XLOOKUP(DB07_baselinesequence[[#This Row],[basesequence-ID]],DB06_baseline[ID],DB06_baseline[Baseline],"",0)</f>
        <v>GATGGTATCAGAAACC</v>
      </c>
      <c r="H184" s="1">
        <f>_xlfn.XLOOKUP(DB07_baselinesequence[[#This Row],[basesequence-ID]],DB06_baseline[ID],DB06_baseline[確認済],FALSE,0)</f>
        <v>0</v>
      </c>
      <c r="J184" s="1" t="s">
        <v>1758</v>
      </c>
      <c r="K184" s="4"/>
      <c r="L184" s="3"/>
    </row>
    <row r="185" spans="1:12" x14ac:dyDescent="0.45">
      <c r="A185" s="1">
        <v>197</v>
      </c>
      <c r="B185" s="1" t="str">
        <f>"07-"&amp;LEFT(RIGHTB(REPT(0,4)&amp;_xlfn.BASE(DB07_baselinesequence[[#This Row],[num]],36),4),2)&amp;"-"&amp;RIGHT(RIGHTB(REPT(0,4)&amp;_xlfn.BASE(DB07_baselinesequence[[#This Row],[num]],36),4),2)</f>
        <v>07-00-5H</v>
      </c>
      <c r="C185" s="1" t="s">
        <v>1433</v>
      </c>
      <c r="F185" s="1" t="s">
        <v>784</v>
      </c>
      <c r="G185" s="1" t="str">
        <f>_xlfn.XLOOKUP(DB07_baselinesequence[[#This Row],[basesequence-ID]],DB06_baseline[ID],DB06_baseline[Baseline],"",0)</f>
        <v>TCGCAGATGGTATCAG</v>
      </c>
      <c r="H185" s="1">
        <f>_xlfn.XLOOKUP(DB07_baselinesequence[[#This Row],[basesequence-ID]],DB06_baseline[ID],DB06_baseline[確認済],FALSE,0)</f>
        <v>0</v>
      </c>
      <c r="J185" s="1" t="s">
        <v>1759</v>
      </c>
      <c r="K185" s="4"/>
      <c r="L185" s="3"/>
    </row>
    <row r="186" spans="1:12" x14ac:dyDescent="0.45">
      <c r="A186" s="1">
        <v>198</v>
      </c>
      <c r="B186" s="1" t="str">
        <f>"07-"&amp;LEFT(RIGHTB(REPT(0,4)&amp;_xlfn.BASE(DB07_baselinesequence[[#This Row],[num]],36),4),2)&amp;"-"&amp;RIGHT(RIGHTB(REPT(0,4)&amp;_xlfn.BASE(DB07_baselinesequence[[#This Row],[num]],36),4),2)</f>
        <v>07-00-5I</v>
      </c>
      <c r="C186" s="1" t="s">
        <v>1434</v>
      </c>
      <c r="F186" s="1" t="s">
        <v>787</v>
      </c>
      <c r="G186" s="1" t="str">
        <f>_xlfn.XLOOKUP(DB07_baselinesequence[[#This Row],[basesequence-ID]],DB06_baseline[ID],DB06_baseline[Baseline],"",0)</f>
        <v>AGGGCTCGCAGATGGT</v>
      </c>
      <c r="H186" s="1">
        <f>_xlfn.XLOOKUP(DB07_baselinesequence[[#This Row],[basesequence-ID]],DB06_baseline[ID],DB06_baseline[確認済],FALSE,0)</f>
        <v>0</v>
      </c>
      <c r="J186" s="1" t="s">
        <v>1760</v>
      </c>
      <c r="K186" s="4"/>
      <c r="L186" s="3"/>
    </row>
    <row r="187" spans="1:12" x14ac:dyDescent="0.45">
      <c r="A187" s="1">
        <v>199</v>
      </c>
      <c r="B187" s="1" t="str">
        <f>"07-"&amp;LEFT(RIGHTB(REPT(0,4)&amp;_xlfn.BASE(DB07_baselinesequence[[#This Row],[num]],36),4),2)&amp;"-"&amp;RIGHT(RIGHTB(REPT(0,4)&amp;_xlfn.BASE(DB07_baselinesequence[[#This Row],[num]],36),4),2)</f>
        <v>07-00-5J</v>
      </c>
      <c r="C187" s="1" t="s">
        <v>1435</v>
      </c>
      <c r="F187" s="1" t="s">
        <v>790</v>
      </c>
      <c r="G187" s="1" t="str">
        <f>_xlfn.XLOOKUP(DB07_baselinesequence[[#This Row],[basesequence-ID]],DB06_baseline[ID],DB06_baseline[Baseline],"",0)</f>
        <v>TGGGCAGGGCTCGCAG</v>
      </c>
      <c r="H187" s="1">
        <f>_xlfn.XLOOKUP(DB07_baselinesequence[[#This Row],[basesequence-ID]],DB06_baseline[ID],DB06_baseline[確認済],FALSE,0)</f>
        <v>0</v>
      </c>
      <c r="J187" s="1" t="s">
        <v>1761</v>
      </c>
      <c r="K187" s="4"/>
      <c r="L187" s="3"/>
    </row>
    <row r="188" spans="1:12" x14ac:dyDescent="0.45">
      <c r="A188" s="1">
        <v>200</v>
      </c>
      <c r="B188" s="1" t="str">
        <f>"07-"&amp;LEFT(RIGHTB(REPT(0,4)&amp;_xlfn.BASE(DB07_baselinesequence[[#This Row],[num]],36),4),2)&amp;"-"&amp;RIGHT(RIGHTB(REPT(0,4)&amp;_xlfn.BASE(DB07_baselinesequence[[#This Row],[num]],36),4),2)</f>
        <v>07-00-5K</v>
      </c>
      <c r="C188" s="1" t="s">
        <v>1436</v>
      </c>
      <c r="F188" s="1" t="s">
        <v>793</v>
      </c>
      <c r="G188" s="1" t="str">
        <f>_xlfn.XLOOKUP(DB07_baselinesequence[[#This Row],[basesequence-ID]],DB06_baseline[ID],DB06_baseline[Baseline],"",0)</f>
        <v>CCGACTGGGCAGGGCT</v>
      </c>
      <c r="H188" s="1">
        <f>_xlfn.XLOOKUP(DB07_baselinesequence[[#This Row],[basesequence-ID]],DB06_baseline[ID],DB06_baseline[確認済],FALSE,0)</f>
        <v>0</v>
      </c>
      <c r="J188" s="1" t="s">
        <v>1762</v>
      </c>
      <c r="K188" s="4"/>
      <c r="L188" s="3"/>
    </row>
    <row r="189" spans="1:12" x14ac:dyDescent="0.45">
      <c r="A189" s="1">
        <v>201</v>
      </c>
      <c r="B189" s="1" t="str">
        <f>"07-"&amp;LEFT(RIGHTB(REPT(0,4)&amp;_xlfn.BASE(DB07_baselinesequence[[#This Row],[num]],36),4),2)&amp;"-"&amp;RIGHT(RIGHTB(REPT(0,4)&amp;_xlfn.BASE(DB07_baselinesequence[[#This Row],[num]],36),4),2)</f>
        <v>07-00-5L</v>
      </c>
      <c r="C189" s="1" t="s">
        <v>1437</v>
      </c>
      <c r="F189" s="1" t="s">
        <v>796</v>
      </c>
      <c r="G189" s="1" t="str">
        <f>_xlfn.XLOOKUP(DB07_baselinesequence[[#This Row],[basesequence-ID]],DB06_baseline[ID],DB06_baseline[Baseline],"",0)</f>
        <v>AGAAGCCGACTGGGCA</v>
      </c>
      <c r="H189" s="1">
        <f>_xlfn.XLOOKUP(DB07_baselinesequence[[#This Row],[basesequence-ID]],DB06_baseline[ID],DB06_baseline[確認済],FALSE,0)</f>
        <v>0</v>
      </c>
      <c r="J189" s="1" t="s">
        <v>1763</v>
      </c>
      <c r="K189" s="4"/>
      <c r="L189" s="3"/>
    </row>
    <row r="190" spans="1:12" x14ac:dyDescent="0.45">
      <c r="A190" s="1">
        <v>202</v>
      </c>
      <c r="B190" s="1" t="str">
        <f>"07-"&amp;LEFT(RIGHTB(REPT(0,4)&amp;_xlfn.BASE(DB07_baselinesequence[[#This Row],[num]],36),4),2)&amp;"-"&amp;RIGHT(RIGHTB(REPT(0,4)&amp;_xlfn.BASE(DB07_baselinesequence[[#This Row],[num]],36),4),2)</f>
        <v>07-00-5M</v>
      </c>
      <c r="C190" s="1" t="s">
        <v>1438</v>
      </c>
      <c r="F190" s="1" t="s">
        <v>799</v>
      </c>
      <c r="G190" s="1" t="str">
        <f>_xlfn.XLOOKUP(DB07_baselinesequence[[#This Row],[basesequence-ID]],DB06_baseline[ID],DB06_baseline[Baseline],"",0)</f>
        <v>GGAGAAGAAGCCGACT</v>
      </c>
      <c r="H190" s="1">
        <f>_xlfn.XLOOKUP(DB07_baselinesequence[[#This Row],[basesequence-ID]],DB06_baseline[ID],DB06_baseline[確認済],FALSE,0)</f>
        <v>0</v>
      </c>
      <c r="J190" s="1" t="s">
        <v>1764</v>
      </c>
      <c r="K190" s="4"/>
      <c r="L190" s="3"/>
    </row>
    <row r="191" spans="1:12" x14ac:dyDescent="0.45">
      <c r="A191" s="1">
        <v>203</v>
      </c>
      <c r="B191" s="1" t="str">
        <f>"07-"&amp;LEFT(RIGHTB(REPT(0,4)&amp;_xlfn.BASE(DB07_baselinesequence[[#This Row],[num]],36),4),2)&amp;"-"&amp;RIGHT(RIGHTB(REPT(0,4)&amp;_xlfn.BASE(DB07_baselinesequence[[#This Row],[num]],36),4),2)</f>
        <v>07-00-5N</v>
      </c>
      <c r="C191" s="1" t="s">
        <v>1439</v>
      </c>
      <c r="F191" s="1" t="s">
        <v>802</v>
      </c>
      <c r="G191" s="1" t="str">
        <f>_xlfn.XLOOKUP(DB07_baselinesequence[[#This Row],[basesequence-ID]],DB06_baseline[ID],DB06_baseline[Baseline],"",0)</f>
        <v>ACATTGGAGAAGAAGC</v>
      </c>
      <c r="H191" s="1">
        <f>_xlfn.XLOOKUP(DB07_baselinesequence[[#This Row],[basesequence-ID]],DB06_baseline[ID],DB06_baseline[確認済],FALSE,0)</f>
        <v>0</v>
      </c>
      <c r="J191" s="1" t="s">
        <v>1765</v>
      </c>
      <c r="K191" s="4"/>
      <c r="L191" s="3"/>
    </row>
    <row r="192" spans="1:12" x14ac:dyDescent="0.45">
      <c r="A192" s="1">
        <v>204</v>
      </c>
      <c r="B192" s="1" t="str">
        <f>"07-"&amp;LEFT(RIGHTB(REPT(0,4)&amp;_xlfn.BASE(DB07_baselinesequence[[#This Row],[num]],36),4),2)&amp;"-"&amp;RIGHT(RIGHTB(REPT(0,4)&amp;_xlfn.BASE(DB07_baselinesequence[[#This Row],[num]],36),4),2)</f>
        <v>07-00-5O</v>
      </c>
      <c r="C192" s="1" t="s">
        <v>1440</v>
      </c>
      <c r="F192" s="1" t="s">
        <v>805</v>
      </c>
      <c r="G192" s="1" t="str">
        <f>_xlfn.XLOOKUP(DB07_baselinesequence[[#This Row],[basesequence-ID]],DB06_baseline[ID],DB06_baseline[Baseline],"",0)</f>
        <v>ATGACACATTGGAGAA</v>
      </c>
      <c r="H192" s="1">
        <f>_xlfn.XLOOKUP(DB07_baselinesequence[[#This Row],[basesequence-ID]],DB06_baseline[ID],DB06_baseline[確認済],FALSE,0)</f>
        <v>0</v>
      </c>
      <c r="J192" s="1" t="s">
        <v>1766</v>
      </c>
      <c r="K192" s="4"/>
      <c r="L192" s="3"/>
    </row>
    <row r="193" spans="1:12" x14ac:dyDescent="0.45">
      <c r="A193" s="1">
        <v>205</v>
      </c>
      <c r="B193" s="1" t="str">
        <f>"07-"&amp;LEFT(RIGHTB(REPT(0,4)&amp;_xlfn.BASE(DB07_baselinesequence[[#This Row],[num]],36),4),2)&amp;"-"&amp;RIGHT(RIGHTB(REPT(0,4)&amp;_xlfn.BASE(DB07_baselinesequence[[#This Row],[num]],36),4),2)</f>
        <v>07-00-5P</v>
      </c>
      <c r="C193" s="1" t="s">
        <v>1441</v>
      </c>
      <c r="F193" s="1" t="s">
        <v>808</v>
      </c>
      <c r="G193" s="1" t="str">
        <f>_xlfn.XLOOKUP(DB07_baselinesequence[[#This Row],[basesequence-ID]],DB06_baseline[ID],DB06_baseline[Baseline],"",0)</f>
        <v>AGCAGATGACACATTG</v>
      </c>
      <c r="H193" s="1">
        <f>_xlfn.XLOOKUP(DB07_baselinesequence[[#This Row],[basesequence-ID]],DB06_baseline[ID],DB06_baseline[確認済],FALSE,0)</f>
        <v>0</v>
      </c>
      <c r="J193" s="1" t="s">
        <v>1767</v>
      </c>
      <c r="K193" s="4"/>
      <c r="L193" s="3"/>
    </row>
    <row r="194" spans="1:12" x14ac:dyDescent="0.45">
      <c r="A194" s="1">
        <v>206</v>
      </c>
      <c r="B194" s="1" t="str">
        <f>"07-"&amp;LEFT(RIGHTB(REPT(0,4)&amp;_xlfn.BASE(DB07_baselinesequence[[#This Row],[num]],36),4),2)&amp;"-"&amp;RIGHT(RIGHTB(REPT(0,4)&amp;_xlfn.BASE(DB07_baselinesequence[[#This Row],[num]],36),4),2)</f>
        <v>07-00-5Q</v>
      </c>
      <c r="C194" s="1" t="s">
        <v>1442</v>
      </c>
      <c r="F194" s="1" t="s">
        <v>811</v>
      </c>
      <c r="G194" s="1" t="str">
        <f>_xlfn.XLOOKUP(DB07_baselinesequence[[#This Row],[basesequence-ID]],DB06_baseline[ID],DB06_baseline[Baseline],"",0)</f>
        <v>TCGAAAGCAGATGACA</v>
      </c>
      <c r="H194" s="1">
        <f>_xlfn.XLOOKUP(DB07_baselinesequence[[#This Row],[basesequence-ID]],DB06_baseline[ID],DB06_baseline[確認済],FALSE,0)</f>
        <v>0</v>
      </c>
      <c r="J194" s="1" t="s">
        <v>1768</v>
      </c>
      <c r="K194" s="4"/>
      <c r="L194" s="3"/>
    </row>
    <row r="195" spans="1:12" x14ac:dyDescent="0.45">
      <c r="A195" s="1">
        <v>207</v>
      </c>
      <c r="B195" s="1" t="str">
        <f>"07-"&amp;LEFT(RIGHTB(REPT(0,4)&amp;_xlfn.BASE(DB07_baselinesequence[[#This Row],[num]],36),4),2)&amp;"-"&amp;RIGHT(RIGHTB(REPT(0,4)&amp;_xlfn.BASE(DB07_baselinesequence[[#This Row],[num]],36),4),2)</f>
        <v>07-00-5R</v>
      </c>
      <c r="C195" s="1" t="s">
        <v>1443</v>
      </c>
      <c r="F195" s="1" t="s">
        <v>814</v>
      </c>
      <c r="G195" s="1" t="str">
        <f>_xlfn.XLOOKUP(DB07_baselinesequence[[#This Row],[basesequence-ID]],DB06_baseline[ID],DB06_baseline[Baseline],"",0)</f>
        <v>ATTTTTCGAAAGCAGA</v>
      </c>
      <c r="H195" s="1">
        <f>_xlfn.XLOOKUP(DB07_baselinesequence[[#This Row],[basesequence-ID]],DB06_baseline[ID],DB06_baseline[確認済],FALSE,0)</f>
        <v>0</v>
      </c>
      <c r="J195" s="1" t="s">
        <v>1769</v>
      </c>
      <c r="K195" s="4"/>
      <c r="L195" s="3"/>
    </row>
    <row r="196" spans="1:12" x14ac:dyDescent="0.45">
      <c r="A196" s="1">
        <v>208</v>
      </c>
      <c r="B196" s="1" t="str">
        <f>"07-"&amp;LEFT(RIGHTB(REPT(0,4)&amp;_xlfn.BASE(DB07_baselinesequence[[#This Row],[num]],36),4),2)&amp;"-"&amp;RIGHT(RIGHTB(REPT(0,4)&amp;_xlfn.BASE(DB07_baselinesequence[[#This Row],[num]],36),4),2)</f>
        <v>07-00-5S</v>
      </c>
      <c r="C196" s="1" t="s">
        <v>1444</v>
      </c>
      <c r="F196" s="1" t="s">
        <v>817</v>
      </c>
      <c r="G196" s="1" t="str">
        <f>_xlfn.XLOOKUP(DB07_baselinesequence[[#This Row],[basesequence-ID]],DB06_baseline[ID],DB06_baseline[Baseline],"",0)</f>
        <v>GTGACATTTTTCGAAA</v>
      </c>
      <c r="H196" s="1">
        <f>_xlfn.XLOOKUP(DB07_baselinesequence[[#This Row],[basesequence-ID]],DB06_baseline[ID],DB06_baseline[確認済],FALSE,0)</f>
        <v>0</v>
      </c>
      <c r="J196" s="1" t="s">
        <v>1770</v>
      </c>
      <c r="K196" s="4"/>
      <c r="L196" s="3"/>
    </row>
    <row r="197" spans="1:12" x14ac:dyDescent="0.45">
      <c r="A197" s="1">
        <v>209</v>
      </c>
      <c r="B197" s="1" t="str">
        <f>"07-"&amp;LEFT(RIGHTB(REPT(0,4)&amp;_xlfn.BASE(DB07_baselinesequence[[#This Row],[num]],36),4),2)&amp;"-"&amp;RIGHT(RIGHTB(REPT(0,4)&amp;_xlfn.BASE(DB07_baselinesequence[[#This Row],[num]],36),4),2)</f>
        <v>07-00-5T</v>
      </c>
      <c r="C197" s="1" t="s">
        <v>1445</v>
      </c>
      <c r="F197" s="1" t="s">
        <v>820</v>
      </c>
      <c r="G197" s="1" t="str">
        <f>_xlfn.XLOOKUP(DB07_baselinesequence[[#This Row],[basesequence-ID]],DB06_baseline[ID],DB06_baseline[Baseline],"",0)</f>
        <v>CAAGGGTGACATTTTT</v>
      </c>
      <c r="H197" s="1">
        <f>_xlfn.XLOOKUP(DB07_baselinesequence[[#This Row],[basesequence-ID]],DB06_baseline[ID],DB06_baseline[確認済],FALSE,0)</f>
        <v>0</v>
      </c>
      <c r="J197" s="1" t="s">
        <v>1771</v>
      </c>
      <c r="K197" s="4"/>
      <c r="L197" s="3"/>
    </row>
    <row r="198" spans="1:12" x14ac:dyDescent="0.45">
      <c r="A198" s="1">
        <v>210</v>
      </c>
      <c r="B198" s="1" t="str">
        <f>"07-"&amp;LEFT(RIGHTB(REPT(0,4)&amp;_xlfn.BASE(DB07_baselinesequence[[#This Row],[num]],36),4),2)&amp;"-"&amp;RIGHT(RIGHTB(REPT(0,4)&amp;_xlfn.BASE(DB07_baselinesequence[[#This Row],[num]],36),4),2)</f>
        <v>07-00-5U</v>
      </c>
      <c r="C198" s="1" t="s">
        <v>1446</v>
      </c>
      <c r="F198" s="1" t="s">
        <v>823</v>
      </c>
      <c r="G198" s="1" t="str">
        <f>_xlfn.XLOOKUP(DB07_baselinesequence[[#This Row],[basesequence-ID]],DB06_baseline[ID],DB06_baseline[Baseline],"",0)</f>
        <v>TTGTCCAAGGGTGACA</v>
      </c>
      <c r="H198" s="1">
        <f>_xlfn.XLOOKUP(DB07_baselinesequence[[#This Row],[basesequence-ID]],DB06_baseline[ID],DB06_baseline[確認済],FALSE,0)</f>
        <v>0</v>
      </c>
      <c r="J198" s="1" t="s">
        <v>1772</v>
      </c>
      <c r="K198" s="4"/>
      <c r="L198" s="3"/>
    </row>
    <row r="199" spans="1:12" x14ac:dyDescent="0.45">
      <c r="A199" s="1">
        <v>211</v>
      </c>
      <c r="B199" s="1" t="str">
        <f>"07-"&amp;LEFT(RIGHTB(REPT(0,4)&amp;_xlfn.BASE(DB07_baselinesequence[[#This Row],[num]],36),4),2)&amp;"-"&amp;RIGHT(RIGHTB(REPT(0,4)&amp;_xlfn.BASE(DB07_baselinesequence[[#This Row],[num]],36),4),2)</f>
        <v>07-00-5V</v>
      </c>
      <c r="C199" s="1" t="s">
        <v>1447</v>
      </c>
      <c r="F199" s="1" t="s">
        <v>826</v>
      </c>
      <c r="G199" s="1" t="str">
        <f>_xlfn.XLOOKUP(DB07_baselinesequence[[#This Row],[basesequence-ID]],DB06_baseline[ID],DB06_baseline[Baseline],"",0)</f>
        <v>ACAGCTTGTCCAAGGG</v>
      </c>
      <c r="H199" s="1">
        <f>_xlfn.XLOOKUP(DB07_baselinesequence[[#This Row],[basesequence-ID]],DB06_baseline[ID],DB06_baseline[確認済],FALSE,0)</f>
        <v>0</v>
      </c>
      <c r="J199" s="1" t="s">
        <v>1773</v>
      </c>
      <c r="K199" s="4"/>
      <c r="L199" s="3"/>
    </row>
    <row r="200" spans="1:12" x14ac:dyDescent="0.45">
      <c r="A200" s="1">
        <v>212</v>
      </c>
      <c r="B200" s="1" t="str">
        <f>"07-"&amp;LEFT(RIGHTB(REPT(0,4)&amp;_xlfn.BASE(DB07_baselinesequence[[#This Row],[num]],36),4),2)&amp;"-"&amp;RIGHT(RIGHTB(REPT(0,4)&amp;_xlfn.BASE(DB07_baselinesequence[[#This Row],[num]],36),4),2)</f>
        <v>07-00-5W</v>
      </c>
      <c r="C200" s="1" t="s">
        <v>1448</v>
      </c>
      <c r="F200" s="1" t="s">
        <v>829</v>
      </c>
      <c r="G200" s="1" t="str">
        <f>_xlfn.XLOOKUP(DB07_baselinesequence[[#This Row],[basesequence-ID]],DB06_baseline[ID],DB06_baseline[Baseline],"",0)</f>
        <v>GTCTCACAGCTTGTCC</v>
      </c>
      <c r="H200" s="1">
        <f>_xlfn.XLOOKUP(DB07_baselinesequence[[#This Row],[basesequence-ID]],DB06_baseline[ID],DB06_baseline[確認済],FALSE,0)</f>
        <v>0</v>
      </c>
      <c r="J200" s="1" t="s">
        <v>1774</v>
      </c>
      <c r="K200" s="4"/>
      <c r="L200" s="3"/>
    </row>
    <row r="201" spans="1:12" x14ac:dyDescent="0.45">
      <c r="A201" s="1">
        <v>213</v>
      </c>
      <c r="B201" s="1" t="str">
        <f>"07-"&amp;LEFT(RIGHTB(REPT(0,4)&amp;_xlfn.BASE(DB07_baselinesequence[[#This Row],[num]],36),4),2)&amp;"-"&amp;RIGHT(RIGHTB(REPT(0,4)&amp;_xlfn.BASE(DB07_baselinesequence[[#This Row],[num]],36),4),2)</f>
        <v>07-00-5X</v>
      </c>
      <c r="C201" s="1" t="s">
        <v>1449</v>
      </c>
      <c r="F201" s="1" t="s">
        <v>832</v>
      </c>
      <c r="G201" s="1" t="str">
        <f>_xlfn.XLOOKUP(DB07_baselinesequence[[#This Row],[basesequence-ID]],DB06_baseline[ID],DB06_baseline[Baseline],"",0)</f>
        <v>CTTTGGTCTCACAGCT</v>
      </c>
      <c r="H201" s="1">
        <f>_xlfn.XLOOKUP(DB07_baselinesequence[[#This Row],[basesequence-ID]],DB06_baseline[ID],DB06_baseline[確認済],FALSE,0)</f>
        <v>0</v>
      </c>
      <c r="J201" s="1" t="s">
        <v>1775</v>
      </c>
      <c r="K201" s="4"/>
      <c r="L201" s="3"/>
    </row>
    <row r="202" spans="1:12" x14ac:dyDescent="0.45">
      <c r="A202" s="1">
        <v>214</v>
      </c>
      <c r="B202" s="1" t="str">
        <f>"07-"&amp;LEFT(RIGHTB(REPT(0,4)&amp;_xlfn.BASE(DB07_baselinesequence[[#This Row],[num]],36),4),2)&amp;"-"&amp;RIGHT(RIGHTB(REPT(0,4)&amp;_xlfn.BASE(DB07_baselinesequence[[#This Row],[num]],36),4),2)</f>
        <v>07-00-5Y</v>
      </c>
      <c r="C202" s="1" t="s">
        <v>1450</v>
      </c>
      <c r="F202" s="1" t="s">
        <v>835</v>
      </c>
      <c r="G202" s="1" t="str">
        <f>_xlfn.XLOOKUP(DB07_baselinesequence[[#This Row],[basesequence-ID]],DB06_baseline[ID],DB06_baseline[Baseline],"",0)</f>
        <v>CAGGTCTTTGGTCTCA</v>
      </c>
      <c r="H202" s="1">
        <f>_xlfn.XLOOKUP(DB07_baselinesequence[[#This Row],[basesequence-ID]],DB06_baseline[ID],DB06_baseline[確認済],FALSE,0)</f>
        <v>0</v>
      </c>
      <c r="J202" s="1" t="s">
        <v>1776</v>
      </c>
      <c r="K202" s="4"/>
      <c r="L202" s="3"/>
    </row>
    <row r="203" spans="1:12" x14ac:dyDescent="0.45">
      <c r="A203" s="1">
        <v>215</v>
      </c>
      <c r="B203" s="1" t="str">
        <f>"07-"&amp;LEFT(RIGHTB(REPT(0,4)&amp;_xlfn.BASE(DB07_baselinesequence[[#This Row],[num]],36),4),2)&amp;"-"&amp;RIGHT(RIGHTB(REPT(0,4)&amp;_xlfn.BASE(DB07_baselinesequence[[#This Row],[num]],36),4),2)</f>
        <v>07-00-5Z</v>
      </c>
      <c r="C203" s="1" t="s">
        <v>1451</v>
      </c>
      <c r="F203" s="1" t="s">
        <v>838</v>
      </c>
      <c r="G203" s="1" t="str">
        <f>_xlfn.XLOOKUP(DB07_baselinesequence[[#This Row],[basesequence-ID]],DB06_baseline[ID],DB06_baseline[Baseline],"",0)</f>
        <v>ACAACCAGGTCTTTGG</v>
      </c>
      <c r="H203" s="1">
        <f>_xlfn.XLOOKUP(DB07_baselinesequence[[#This Row],[basesequence-ID]],DB06_baseline[ID],DB06_baseline[確認済],FALSE,0)</f>
        <v>0</v>
      </c>
      <c r="J203" s="1" t="s">
        <v>1777</v>
      </c>
      <c r="K203" s="4"/>
      <c r="L203" s="3"/>
    </row>
    <row r="204" spans="1:12" x14ac:dyDescent="0.45">
      <c r="A204" s="1">
        <v>216</v>
      </c>
      <c r="B204" s="1" t="str">
        <f>"07-"&amp;LEFT(RIGHTB(REPT(0,4)&amp;_xlfn.BASE(DB07_baselinesequence[[#This Row],[num]],36),4),2)&amp;"-"&amp;RIGHT(RIGHTB(REPT(0,4)&amp;_xlfn.BASE(DB07_baselinesequence[[#This Row],[num]],36),4),2)</f>
        <v>07-00-60</v>
      </c>
      <c r="C204" s="1" t="s">
        <v>1452</v>
      </c>
      <c r="F204" s="1" t="s">
        <v>841</v>
      </c>
      <c r="G204" s="1" t="str">
        <f>_xlfn.XLOOKUP(DB07_baselinesequence[[#This Row],[basesequence-ID]],DB06_baseline[ID],DB06_baseline[Baseline],"",0)</f>
        <v>GTTGCACAACCAGGTC</v>
      </c>
      <c r="H204" s="1">
        <f>_xlfn.XLOOKUP(DB07_baselinesequence[[#This Row],[basesequence-ID]],DB06_baseline[ID],DB06_baseline[確認済],FALSE,0)</f>
        <v>0</v>
      </c>
      <c r="J204" s="1" t="s">
        <v>1778</v>
      </c>
      <c r="K204" s="4"/>
      <c r="L204" s="3"/>
    </row>
    <row r="205" spans="1:12" x14ac:dyDescent="0.45">
      <c r="A205" s="1">
        <v>217</v>
      </c>
      <c r="B205" s="1" t="str">
        <f>"07-"&amp;LEFT(RIGHTB(REPT(0,4)&amp;_xlfn.BASE(DB07_baselinesequence[[#This Row],[num]],36),4),2)&amp;"-"&amp;RIGHT(RIGHTB(REPT(0,4)&amp;_xlfn.BASE(DB07_baselinesequence[[#This Row],[num]],36),4),2)</f>
        <v>07-00-61</v>
      </c>
      <c r="C205" s="1" t="s">
        <v>1453</v>
      </c>
      <c r="F205" s="1" t="s">
        <v>844</v>
      </c>
      <c r="G205" s="1" t="str">
        <f>_xlfn.XLOOKUP(DB07_baselinesequence[[#This Row],[basesequence-ID]],DB06_baseline[ID],DB06_baseline[Baseline],"",0)</f>
        <v>TGCCTGTTGCACAACC</v>
      </c>
      <c r="H205" s="1">
        <f>_xlfn.XLOOKUP(DB07_baselinesequence[[#This Row],[basesequence-ID]],DB06_baseline[ID],DB06_baseline[確認済],FALSE,0)</f>
        <v>0</v>
      </c>
      <c r="J205" s="1" t="s">
        <v>1779</v>
      </c>
      <c r="K205" s="4"/>
      <c r="L205" s="3"/>
    </row>
    <row r="206" spans="1:12" x14ac:dyDescent="0.45">
      <c r="A206" s="1">
        <v>218</v>
      </c>
      <c r="B206" s="1" t="str">
        <f>"07-"&amp;LEFT(RIGHTB(REPT(0,4)&amp;_xlfn.BASE(DB07_baselinesequence[[#This Row],[num]],36),4),2)&amp;"-"&amp;RIGHT(RIGHTB(REPT(0,4)&amp;_xlfn.BASE(DB07_baselinesequence[[#This Row],[num]],36),4),2)</f>
        <v>07-00-62</v>
      </c>
      <c r="C206" s="1" t="s">
        <v>1454</v>
      </c>
      <c r="F206" s="1" t="s">
        <v>847</v>
      </c>
      <c r="G206" s="1" t="str">
        <f>_xlfn.XLOOKUP(DB07_baselinesequence[[#This Row],[basesequence-ID]],DB06_baseline[ID],DB06_baseline[Baseline],"",0)</f>
        <v>GTGCCTGCCTGTTGCA</v>
      </c>
      <c r="H206" s="1">
        <f>_xlfn.XLOOKUP(DB07_baselinesequence[[#This Row],[basesequence-ID]],DB06_baseline[ID],DB06_baseline[確認済],FALSE,0)</f>
        <v>0</v>
      </c>
      <c r="J206" s="1" t="s">
        <v>1780</v>
      </c>
      <c r="K206" s="4"/>
      <c r="L206" s="3"/>
    </row>
    <row r="207" spans="1:12" x14ac:dyDescent="0.45">
      <c r="A207" s="1">
        <v>219</v>
      </c>
      <c r="B207" s="1" t="str">
        <f>"07-"&amp;LEFT(RIGHTB(REPT(0,4)&amp;_xlfn.BASE(DB07_baselinesequence[[#This Row],[num]],36),4),2)&amp;"-"&amp;RIGHT(RIGHTB(REPT(0,4)&amp;_xlfn.BASE(DB07_baselinesequence[[#This Row],[num]],36),4),2)</f>
        <v>07-00-63</v>
      </c>
      <c r="C207" s="1" t="s">
        <v>1455</v>
      </c>
      <c r="F207" s="1" t="s">
        <v>850</v>
      </c>
      <c r="G207" s="1" t="str">
        <f>_xlfn.XLOOKUP(DB07_baselinesequence[[#This Row],[basesequence-ID]],DB06_baseline[ID],DB06_baseline[Baseline],"",0)</f>
        <v>TGTTTGTGCCTGCCTG</v>
      </c>
      <c r="H207" s="1">
        <f>_xlfn.XLOOKUP(DB07_baselinesequence[[#This Row],[basesequence-ID]],DB06_baseline[ID],DB06_baseline[確認済],FALSE,0)</f>
        <v>0</v>
      </c>
      <c r="J207" s="1" t="s">
        <v>1781</v>
      </c>
      <c r="K207" s="4"/>
      <c r="L207" s="3"/>
    </row>
    <row r="208" spans="1:12" x14ac:dyDescent="0.45">
      <c r="A208" s="1">
        <v>220</v>
      </c>
      <c r="B208" s="1" t="str">
        <f>"07-"&amp;LEFT(RIGHTB(REPT(0,4)&amp;_xlfn.BASE(DB07_baselinesequence[[#This Row],[num]],36),4),2)&amp;"-"&amp;RIGHT(RIGHTB(REPT(0,4)&amp;_xlfn.BASE(DB07_baselinesequence[[#This Row],[num]],36),4),2)</f>
        <v>07-00-64</v>
      </c>
      <c r="C208" s="1" t="s">
        <v>1456</v>
      </c>
      <c r="F208" s="1" t="s">
        <v>853</v>
      </c>
      <c r="G208" s="1" t="str">
        <f>_xlfn.XLOOKUP(DB07_baselinesequence[[#This Row],[basesequence-ID]],DB06_baseline[ID],DB06_baseline[Baseline],"",0)</f>
        <v>AGTCTTGTTTGTGCCT</v>
      </c>
      <c r="H208" s="1">
        <f>_xlfn.XLOOKUP(DB07_baselinesequence[[#This Row],[basesequence-ID]],DB06_baseline[ID],DB06_baseline[確認済],FALSE,0)</f>
        <v>0</v>
      </c>
      <c r="J208" s="1" t="s">
        <v>1782</v>
      </c>
      <c r="K208" s="4"/>
      <c r="L208" s="3"/>
    </row>
    <row r="209" spans="1:12" x14ac:dyDescent="0.45">
      <c r="A209" s="1">
        <v>221</v>
      </c>
      <c r="B209" s="1" t="str">
        <f>"07-"&amp;LEFT(RIGHTB(REPT(0,4)&amp;_xlfn.BASE(DB07_baselinesequence[[#This Row],[num]],36),4),2)&amp;"-"&amp;RIGHT(RIGHTB(REPT(0,4)&amp;_xlfn.BASE(DB07_baselinesequence[[#This Row],[num]],36),4),2)</f>
        <v>07-00-65</v>
      </c>
      <c r="C209" s="1" t="s">
        <v>1457</v>
      </c>
      <c r="F209" s="1" t="s">
        <v>856</v>
      </c>
      <c r="G209" s="1" t="str">
        <f>_xlfn.XLOOKUP(DB07_baselinesequence[[#This Row],[basesequence-ID]],DB06_baseline[ID],DB06_baseline[Baseline],"",0)</f>
        <v>ACATCAGTCTTGTTTG</v>
      </c>
      <c r="H209" s="1">
        <f>_xlfn.XLOOKUP(DB07_baselinesequence[[#This Row],[basesequence-ID]],DB06_baseline[ID],DB06_baseline[確認済],FALSE,0)</f>
        <v>0</v>
      </c>
      <c r="J209" s="1" t="s">
        <v>1783</v>
      </c>
      <c r="K209" s="4"/>
      <c r="L209" s="3"/>
    </row>
    <row r="210" spans="1:12" x14ac:dyDescent="0.45">
      <c r="A210" s="1">
        <v>222</v>
      </c>
      <c r="B210" s="1" t="str">
        <f>"07-"&amp;LEFT(RIGHTB(REPT(0,4)&amp;_xlfn.BASE(DB07_baselinesequence[[#This Row],[num]],36),4),2)&amp;"-"&amp;RIGHT(RIGHTB(REPT(0,4)&amp;_xlfn.BASE(DB07_baselinesequence[[#This Row],[num]],36),4),2)</f>
        <v>07-00-66</v>
      </c>
      <c r="C210" s="1" t="s">
        <v>1458</v>
      </c>
      <c r="F210" s="1" t="s">
        <v>859</v>
      </c>
      <c r="G210" s="1" t="str">
        <f>_xlfn.XLOOKUP(DB07_baselinesequence[[#This Row],[basesequence-ID]],DB06_baseline[ID],DB06_baseline[Baseline],"",0)</f>
        <v>AGACAACATCAGTCTT</v>
      </c>
      <c r="H210" s="1">
        <f>_xlfn.XLOOKUP(DB07_baselinesequence[[#This Row],[basesequence-ID]],DB06_baseline[ID],DB06_baseline[確認済],FALSE,0)</f>
        <v>0</v>
      </c>
      <c r="J210" s="1" t="s">
        <v>1784</v>
      </c>
      <c r="K210" s="4"/>
      <c r="L210" s="3"/>
    </row>
    <row r="211" spans="1:12" x14ac:dyDescent="0.45">
      <c r="A211" s="1">
        <v>223</v>
      </c>
      <c r="B211" s="1" t="str">
        <f>"07-"&amp;LEFT(RIGHTB(REPT(0,4)&amp;_xlfn.BASE(DB07_baselinesequence[[#This Row],[num]],36),4),2)&amp;"-"&amp;RIGHT(RIGHTB(REPT(0,4)&amp;_xlfn.BASE(DB07_baselinesequence[[#This Row],[num]],36),4),2)</f>
        <v>07-00-67</v>
      </c>
      <c r="C211" s="1" t="s">
        <v>1459</v>
      </c>
      <c r="F211" s="1" t="s">
        <v>862</v>
      </c>
      <c r="G211" s="1" t="str">
        <f>_xlfn.XLOOKUP(DB07_baselinesequence[[#This Row],[basesequence-ID]],DB06_baseline[ID],DB06_baseline[Baseline],"",0)</f>
        <v>ACCACAGACAACATCA</v>
      </c>
      <c r="H211" s="1">
        <f>_xlfn.XLOOKUP(DB07_baselinesequence[[#This Row],[basesequence-ID]],DB06_baseline[ID],DB06_baseline[確認済],FALSE,0)</f>
        <v>0</v>
      </c>
      <c r="J211" s="1" t="s">
        <v>1785</v>
      </c>
      <c r="K211" s="4"/>
      <c r="L211" s="3"/>
    </row>
    <row r="212" spans="1:12" x14ac:dyDescent="0.45">
      <c r="A212" s="1">
        <v>224</v>
      </c>
      <c r="B212" s="1" t="str">
        <f>"07-"&amp;LEFT(RIGHTB(REPT(0,4)&amp;_xlfn.BASE(DB07_baselinesequence[[#This Row],[num]],36),4),2)&amp;"-"&amp;RIGHT(RIGHTB(REPT(0,4)&amp;_xlfn.BASE(DB07_baselinesequence[[#This Row],[num]],36),4),2)</f>
        <v>07-00-68</v>
      </c>
      <c r="C212" s="1" t="s">
        <v>1460</v>
      </c>
      <c r="F212" s="1" t="s">
        <v>865</v>
      </c>
      <c r="G212" s="1" t="str">
        <f>_xlfn.XLOOKUP(DB07_baselinesequence[[#This Row],[basesequence-ID]],DB06_baseline[ID],DB06_baseline[Baseline],"",0)</f>
        <v>TGGGGACCACAGACAA</v>
      </c>
      <c r="H212" s="1">
        <f>_xlfn.XLOOKUP(DB07_baselinesequence[[#This Row],[basesequence-ID]],DB06_baseline[ID],DB06_baseline[確認済],FALSE,0)</f>
        <v>0</v>
      </c>
      <c r="J212" s="1" t="s">
        <v>1786</v>
      </c>
      <c r="K212" s="4"/>
      <c r="L212" s="3"/>
    </row>
    <row r="213" spans="1:12" x14ac:dyDescent="0.45">
      <c r="A213" s="1">
        <v>225</v>
      </c>
      <c r="B213" s="1" t="str">
        <f>"07-"&amp;LEFT(RIGHTB(REPT(0,4)&amp;_xlfn.BASE(DB07_baselinesequence[[#This Row],[num]],36),4),2)&amp;"-"&amp;RIGHT(RIGHTB(REPT(0,4)&amp;_xlfn.BASE(DB07_baselinesequence[[#This Row],[num]],36),4),2)</f>
        <v>07-00-69</v>
      </c>
      <c r="C213" s="1" t="s">
        <v>1461</v>
      </c>
      <c r="F213" s="1" t="s">
        <v>868</v>
      </c>
      <c r="G213" s="1" t="str">
        <f>_xlfn.XLOOKUP(DB07_baselinesequence[[#This Row],[basesequence-ID]],DB06_baseline[ID],DB06_baseline[Baseline],"",0)</f>
        <v>GATCCTGGGGACCACA</v>
      </c>
      <c r="H213" s="1">
        <f>_xlfn.XLOOKUP(DB07_baselinesequence[[#This Row],[basesequence-ID]],DB06_baseline[ID],DB06_baseline[確認済],FALSE,0)</f>
        <v>0</v>
      </c>
      <c r="J213" s="1" t="s">
        <v>1787</v>
      </c>
      <c r="K213" s="4"/>
      <c r="L213" s="3"/>
    </row>
    <row r="214" spans="1:12" x14ac:dyDescent="0.45">
      <c r="A214" s="1">
        <v>226</v>
      </c>
      <c r="B214" s="1" t="str">
        <f>"07-"&amp;LEFT(RIGHTB(REPT(0,4)&amp;_xlfn.BASE(DB07_baselinesequence[[#This Row],[num]],36),4),2)&amp;"-"&amp;RIGHT(RIGHTB(REPT(0,4)&amp;_xlfn.BASE(DB07_baselinesequence[[#This Row],[num]],36),4),2)</f>
        <v>07-00-6A</v>
      </c>
      <c r="C214" s="1" t="s">
        <v>1462</v>
      </c>
      <c r="F214" s="1" t="s">
        <v>871</v>
      </c>
      <c r="G214" s="1" t="str">
        <f>_xlfn.XLOOKUP(DB07_baselinesequence[[#This Row],[basesequence-ID]],DB06_baseline[ID],DB06_baseline[Baseline],"",0)</f>
        <v>CAGCCGATCCTGGGGA</v>
      </c>
      <c r="H214" s="1">
        <f>_xlfn.XLOOKUP(DB07_baselinesequence[[#This Row],[basesequence-ID]],DB06_baseline[ID],DB06_baseline[確認済],FALSE,0)</f>
        <v>0</v>
      </c>
      <c r="J214" s="1" t="s">
        <v>1788</v>
      </c>
      <c r="K214" s="4"/>
      <c r="L214" s="3"/>
    </row>
    <row r="215" spans="1:12" x14ac:dyDescent="0.45">
      <c r="A215" s="1">
        <v>227</v>
      </c>
      <c r="B215" s="1" t="str">
        <f>"07-"&amp;LEFT(RIGHTB(REPT(0,4)&amp;_xlfn.BASE(DB07_baselinesequence[[#This Row],[num]],36),4),2)&amp;"-"&amp;RIGHT(RIGHTB(REPT(0,4)&amp;_xlfn.BASE(DB07_baselinesequence[[#This Row],[num]],36),4),2)</f>
        <v>07-00-6B</v>
      </c>
      <c r="C215" s="1" t="s">
        <v>1463</v>
      </c>
      <c r="F215" s="1" t="s">
        <v>874</v>
      </c>
      <c r="G215" s="1" t="str">
        <f>_xlfn.XLOOKUP(DB07_baselinesequence[[#This Row],[basesequence-ID]],DB06_baseline[ID],DB06_baseline[Baseline],"",0)</f>
        <v>GCTCTCAGCCGATCCT</v>
      </c>
      <c r="H215" s="1">
        <f>_xlfn.XLOOKUP(DB07_baselinesequence[[#This Row],[basesequence-ID]],DB06_baseline[ID],DB06_baseline[確認済],FALSE,0)</f>
        <v>0</v>
      </c>
      <c r="J215" s="1" t="s">
        <v>1789</v>
      </c>
      <c r="K215" s="4"/>
      <c r="L215" s="3"/>
    </row>
    <row r="216" spans="1:12" x14ac:dyDescent="0.45">
      <c r="A216" s="1">
        <v>228</v>
      </c>
      <c r="B216" s="1" t="str">
        <f>"07-"&amp;LEFT(RIGHTB(REPT(0,4)&amp;_xlfn.BASE(DB07_baselinesequence[[#This Row],[num]],36),4),2)&amp;"-"&amp;RIGHT(RIGHTB(REPT(0,4)&amp;_xlfn.BASE(DB07_baselinesequence[[#This Row],[num]],36),4),2)</f>
        <v>07-00-6C</v>
      </c>
      <c r="C216" s="1" t="s">
        <v>1464</v>
      </c>
      <c r="F216" s="1" t="s">
        <v>877</v>
      </c>
      <c r="G216" s="1" t="str">
        <f>_xlfn.XLOOKUP(DB07_baselinesequence[[#This Row],[basesequence-ID]],DB06_baseline[ID],DB06_baseline[Baseline],"",0)</f>
        <v>CCAGGGCTCTCAGCCG</v>
      </c>
      <c r="H216" s="1">
        <f>_xlfn.XLOOKUP(DB07_baselinesequence[[#This Row],[basesequence-ID]],DB06_baseline[ID],DB06_baseline[確認済],FALSE,0)</f>
        <v>0</v>
      </c>
      <c r="J216" s="1" t="s">
        <v>1790</v>
      </c>
      <c r="K216" s="4"/>
      <c r="L216" s="3"/>
    </row>
    <row r="217" spans="1:12" x14ac:dyDescent="0.45">
      <c r="A217" s="1">
        <v>229</v>
      </c>
      <c r="B217" s="1" t="str">
        <f>"07-"&amp;LEFT(RIGHTB(REPT(0,4)&amp;_xlfn.BASE(DB07_baselinesequence[[#This Row],[num]],36),4),2)&amp;"-"&amp;RIGHT(RIGHTB(REPT(0,4)&amp;_xlfn.BASE(DB07_baselinesequence[[#This Row],[num]],36),4),2)</f>
        <v>07-00-6D</v>
      </c>
      <c r="C217" s="1" t="s">
        <v>1465</v>
      </c>
      <c r="F217" s="1" t="s">
        <v>880</v>
      </c>
      <c r="G217" s="1" t="str">
        <f>_xlfn.XLOOKUP(DB07_baselinesequence[[#This Row],[basesequence-ID]],DB06_baseline[ID],DB06_baseline[Baseline],"",0)</f>
        <v>CACCACCAGGGCTCTC</v>
      </c>
      <c r="H217" s="1">
        <f>_xlfn.XLOOKUP(DB07_baselinesequence[[#This Row],[basesequence-ID]],DB06_baseline[ID],DB06_baseline[確認済],FALSE,0)</f>
        <v>0</v>
      </c>
      <c r="J217" s="1" t="s">
        <v>1791</v>
      </c>
      <c r="K217" s="4"/>
      <c r="L217" s="3"/>
    </row>
    <row r="218" spans="1:12" x14ac:dyDescent="0.45">
      <c r="A218" s="1">
        <v>230</v>
      </c>
      <c r="B218" s="1" t="str">
        <f>"07-"&amp;LEFT(RIGHTB(REPT(0,4)&amp;_xlfn.BASE(DB07_baselinesequence[[#This Row],[num]],36),4),2)&amp;"-"&amp;RIGHT(RIGHTB(REPT(0,4)&amp;_xlfn.BASE(DB07_baselinesequence[[#This Row],[num]],36),4),2)</f>
        <v>07-00-6E</v>
      </c>
      <c r="C218" s="1" t="s">
        <v>1466</v>
      </c>
      <c r="F218" s="1" t="s">
        <v>883</v>
      </c>
      <c r="G218" s="1" t="str">
        <f>_xlfn.XLOOKUP(DB07_baselinesequence[[#This Row],[basesequence-ID]],DB06_baseline[ID],DB06_baseline[Baseline],"",0)</f>
        <v>GGGATCACCACCAGGG</v>
      </c>
      <c r="H218" s="1">
        <f>_xlfn.XLOOKUP(DB07_baselinesequence[[#This Row],[basesequence-ID]],DB06_baseline[ID],DB06_baseline[確認済],FALSE,0)</f>
        <v>0</v>
      </c>
      <c r="J218" s="1" t="s">
        <v>1792</v>
      </c>
      <c r="K218" s="4"/>
      <c r="L218" s="3"/>
    </row>
    <row r="219" spans="1:12" x14ac:dyDescent="0.45">
      <c r="A219" s="1">
        <v>231</v>
      </c>
      <c r="B219" s="1" t="str">
        <f>"07-"&amp;LEFT(RIGHTB(REPT(0,4)&amp;_xlfn.BASE(DB07_baselinesequence[[#This Row],[num]],36),4),2)&amp;"-"&amp;RIGHT(RIGHTB(REPT(0,4)&amp;_xlfn.BASE(DB07_baselinesequence[[#This Row],[num]],36),4),2)</f>
        <v>07-00-6F</v>
      </c>
      <c r="C219" s="1" t="s">
        <v>1467</v>
      </c>
      <c r="F219" s="1" t="s">
        <v>886</v>
      </c>
      <c r="G219" s="1" t="str">
        <f>_xlfn.XLOOKUP(DB07_baselinesequence[[#This Row],[basesequence-ID]],DB06_baseline[ID],DB06_baseline[Baseline],"",0)</f>
        <v>TGATGGGGATCACCAC</v>
      </c>
      <c r="H219" s="1">
        <f>_xlfn.XLOOKUP(DB07_baselinesequence[[#This Row],[basesequence-ID]],DB06_baseline[ID],DB06_baseline[確認済],FALSE,0)</f>
        <v>0</v>
      </c>
      <c r="J219" s="1" t="s">
        <v>1793</v>
      </c>
      <c r="K219" s="4"/>
      <c r="L219" s="3"/>
    </row>
    <row r="220" spans="1:12" x14ac:dyDescent="0.45">
      <c r="A220" s="1">
        <v>232</v>
      </c>
      <c r="B220" s="1" t="str">
        <f>"07-"&amp;LEFT(RIGHTB(REPT(0,4)&amp;_xlfn.BASE(DB07_baselinesequence[[#This Row],[num]],36),4),2)&amp;"-"&amp;RIGHT(RIGHTB(REPT(0,4)&amp;_xlfn.BASE(DB07_baselinesequence[[#This Row],[num]],36),4),2)</f>
        <v>07-00-6G</v>
      </c>
      <c r="C220" s="1" t="s">
        <v>1468</v>
      </c>
      <c r="F220" s="1" t="s">
        <v>889</v>
      </c>
      <c r="G220" s="1" t="str">
        <f>_xlfn.XLOOKUP(DB07_baselinesequence[[#This Row],[basesequence-ID]],DB06_baseline[ID],DB06_baseline[Baseline],"",0)</f>
        <v>GAAGATGATGGGGATC</v>
      </c>
      <c r="H220" s="1">
        <f>_xlfn.XLOOKUP(DB07_baselinesequence[[#This Row],[basesequence-ID]],DB06_baseline[ID],DB06_baseline[確認済],FALSE,0)</f>
        <v>0</v>
      </c>
      <c r="J220" s="1" t="s">
        <v>1794</v>
      </c>
      <c r="K220" s="4"/>
      <c r="L220" s="3"/>
    </row>
    <row r="221" spans="1:12" x14ac:dyDescent="0.45">
      <c r="A221" s="1">
        <v>233</v>
      </c>
      <c r="B221" s="1" t="str">
        <f>"07-"&amp;LEFT(RIGHTB(REPT(0,4)&amp;_xlfn.BASE(DB07_baselinesequence[[#This Row],[num]],36),4),2)&amp;"-"&amp;RIGHT(RIGHTB(REPT(0,4)&amp;_xlfn.BASE(DB07_baselinesequence[[#This Row],[num]],36),4),2)</f>
        <v>07-00-6H</v>
      </c>
      <c r="C221" s="1" t="s">
        <v>1469</v>
      </c>
      <c r="F221" s="1" t="s">
        <v>892</v>
      </c>
      <c r="G221" s="1" t="str">
        <f>_xlfn.XLOOKUP(DB07_baselinesequence[[#This Row],[basesequence-ID]],DB06_baseline[ID],DB06_baseline[Baseline],"",0)</f>
        <v>ATCCCGAAGATGATGG</v>
      </c>
      <c r="H221" s="1">
        <f>_xlfn.XLOOKUP(DB07_baselinesequence[[#This Row],[basesequence-ID]],DB06_baseline[ID],DB06_baseline[確認済],FALSE,0)</f>
        <v>0</v>
      </c>
      <c r="J221" s="1" t="s">
        <v>1795</v>
      </c>
      <c r="K221" s="4"/>
      <c r="L221" s="3"/>
    </row>
    <row r="222" spans="1:12" x14ac:dyDescent="0.45">
      <c r="A222" s="1">
        <v>234</v>
      </c>
      <c r="B222" s="1" t="str">
        <f>"07-"&amp;LEFT(RIGHTB(REPT(0,4)&amp;_xlfn.BASE(DB07_baselinesequence[[#This Row],[num]],36),4),2)&amp;"-"&amp;RIGHT(RIGHTB(REPT(0,4)&amp;_xlfn.BASE(DB07_baselinesequence[[#This Row],[num]],36),4),2)</f>
        <v>07-00-6I</v>
      </c>
      <c r="C222" s="1" t="s">
        <v>1470</v>
      </c>
      <c r="F222" s="1" t="s">
        <v>895</v>
      </c>
      <c r="G222" s="1" t="str">
        <f>_xlfn.XLOOKUP(DB07_baselinesequence[[#This Row],[basesequence-ID]],DB06_baseline[ID],DB06_baseline[Baseline],"",0)</f>
        <v>ACAGGATCCCGAAGAT</v>
      </c>
      <c r="H222" s="1">
        <f>_xlfn.XLOOKUP(DB07_baselinesequence[[#This Row],[basesequence-ID]],DB06_baseline[ID],DB06_baseline[確認済],FALSE,0)</f>
        <v>0</v>
      </c>
      <c r="J222" s="1" t="s">
        <v>1796</v>
      </c>
      <c r="K222" s="4"/>
      <c r="L222" s="3"/>
    </row>
    <row r="223" spans="1:12" x14ac:dyDescent="0.45">
      <c r="A223" s="1">
        <v>235</v>
      </c>
      <c r="B223" s="1" t="str">
        <f>"07-"&amp;LEFT(RIGHTB(REPT(0,4)&amp;_xlfn.BASE(DB07_baselinesequence[[#This Row],[num]],36),4),2)&amp;"-"&amp;RIGHT(RIGHTB(REPT(0,4)&amp;_xlfn.BASE(DB07_baselinesequence[[#This Row],[num]],36),4),2)</f>
        <v>07-00-6J</v>
      </c>
      <c r="C223" s="1" t="s">
        <v>1471</v>
      </c>
      <c r="F223" s="1" t="s">
        <v>898</v>
      </c>
      <c r="G223" s="1" t="str">
        <f>_xlfn.XLOOKUP(DB07_baselinesequence[[#This Row],[basesequence-ID]],DB06_baseline[ID],DB06_baseline[Baseline],"",0)</f>
        <v>GGCAAACAGGATCCCG</v>
      </c>
      <c r="H223" s="1">
        <f>_xlfn.XLOOKUP(DB07_baselinesequence[[#This Row],[basesequence-ID]],DB06_baseline[ID],DB06_baseline[確認済],FALSE,0)</f>
        <v>0</v>
      </c>
      <c r="J223" s="1" t="s">
        <v>1797</v>
      </c>
      <c r="K223" s="4"/>
      <c r="L223" s="3"/>
    </row>
    <row r="224" spans="1:12" x14ac:dyDescent="0.45">
      <c r="A224" s="1">
        <v>236</v>
      </c>
      <c r="B224" s="1" t="str">
        <f>"07-"&amp;LEFT(RIGHTB(REPT(0,4)&amp;_xlfn.BASE(DB07_baselinesequence[[#This Row],[num]],36),4),2)&amp;"-"&amp;RIGHT(RIGHTB(REPT(0,4)&amp;_xlfn.BASE(DB07_baselinesequence[[#This Row],[num]],36),4),2)</f>
        <v>07-00-6K</v>
      </c>
      <c r="C224" s="1" t="s">
        <v>1472</v>
      </c>
      <c r="F224" s="1" t="s">
        <v>901</v>
      </c>
      <c r="G224" s="1" t="str">
        <f>_xlfn.XLOOKUP(DB07_baselinesequence[[#This Row],[basesequence-ID]],DB06_baseline[ID],DB06_baseline[Baseline],"",0)</f>
        <v>AGGATGGCAAACAGGA</v>
      </c>
      <c r="H224" s="1">
        <f>_xlfn.XLOOKUP(DB07_baselinesequence[[#This Row],[basesequence-ID]],DB06_baseline[ID],DB06_baseline[確認済],FALSE,0)</f>
        <v>0</v>
      </c>
      <c r="J224" s="1" t="s">
        <v>1798</v>
      </c>
      <c r="K224" s="4"/>
      <c r="L224" s="3"/>
    </row>
    <row r="225" spans="1:12" x14ac:dyDescent="0.45">
      <c r="A225" s="1">
        <v>237</v>
      </c>
      <c r="B225" s="1" t="str">
        <f>"07-"&amp;LEFT(RIGHTB(REPT(0,4)&amp;_xlfn.BASE(DB07_baselinesequence[[#This Row],[num]],36),4),2)&amp;"-"&amp;RIGHT(RIGHTB(REPT(0,4)&amp;_xlfn.BASE(DB07_baselinesequence[[#This Row],[num]],36),4),2)</f>
        <v>07-00-6L</v>
      </c>
      <c r="C225" s="1" t="s">
        <v>1473</v>
      </c>
      <c r="F225" s="1" t="s">
        <v>904</v>
      </c>
      <c r="G225" s="1" t="str">
        <f>_xlfn.XLOOKUP(DB07_baselinesequence[[#This Row],[basesequence-ID]],DB06_baseline[ID],DB06_baseline[Baseline],"",0)</f>
        <v>CCAAGAGGATGGCAAA</v>
      </c>
      <c r="H225" s="1">
        <f>_xlfn.XLOOKUP(DB07_baselinesequence[[#This Row],[basesequence-ID]],DB06_baseline[ID],DB06_baseline[確認済],FALSE,0)</f>
        <v>0</v>
      </c>
      <c r="J225" s="1" t="s">
        <v>1799</v>
      </c>
      <c r="K225" s="4"/>
      <c r="L225" s="3"/>
    </row>
    <row r="226" spans="1:12" x14ac:dyDescent="0.45">
      <c r="A226" s="1">
        <v>238</v>
      </c>
      <c r="B226" s="1" t="str">
        <f>"07-"&amp;LEFT(RIGHTB(REPT(0,4)&amp;_xlfn.BASE(DB07_baselinesequence[[#This Row],[num]],36),4),2)&amp;"-"&amp;RIGHT(RIGHTB(REPT(0,4)&amp;_xlfn.BASE(DB07_baselinesequence[[#This Row],[num]],36),4),2)</f>
        <v>07-00-6M</v>
      </c>
      <c r="C226" s="1" t="s">
        <v>1474</v>
      </c>
      <c r="F226" s="1" t="s">
        <v>907</v>
      </c>
      <c r="G226" s="1" t="str">
        <f>_xlfn.XLOOKUP(DB07_baselinesequence[[#This Row],[basesequence-ID]],DB06_baseline[ID],DB06_baseline[Baseline],"",0)</f>
        <v>CAGCACCAAGAGGATG</v>
      </c>
      <c r="H226" s="1">
        <f>_xlfn.XLOOKUP(DB07_baselinesequence[[#This Row],[basesequence-ID]],DB06_baseline[ID],DB06_baseline[確認済],FALSE,0)</f>
        <v>0</v>
      </c>
      <c r="J226" s="1" t="s">
        <v>1800</v>
      </c>
      <c r="K226" s="4"/>
      <c r="L226" s="3"/>
    </row>
    <row r="227" spans="1:12" x14ac:dyDescent="0.45">
      <c r="A227" s="1">
        <v>239</v>
      </c>
      <c r="B227" s="1" t="str">
        <f>"07-"&amp;LEFT(RIGHTB(REPT(0,4)&amp;_xlfn.BASE(DB07_baselinesequence[[#This Row],[num]],36),4),2)&amp;"-"&amp;RIGHT(RIGHTB(REPT(0,4)&amp;_xlfn.BASE(DB07_baselinesequence[[#This Row],[num]],36),4),2)</f>
        <v>07-00-6N</v>
      </c>
      <c r="C227" s="1" t="s">
        <v>1475</v>
      </c>
      <c r="F227" s="1" t="s">
        <v>910</v>
      </c>
      <c r="G227" s="1" t="str">
        <f>_xlfn.XLOOKUP(DB07_baselinesequence[[#This Row],[basesequence-ID]],DB06_baseline[ID],DB06_baseline[Baseline],"",0)</f>
        <v>AAGACCAGCACCAAGA</v>
      </c>
      <c r="H227" s="1">
        <f>_xlfn.XLOOKUP(DB07_baselinesequence[[#This Row],[basesequence-ID]],DB06_baseline[ID],DB06_baseline[確認済],FALSE,0)</f>
        <v>0</v>
      </c>
      <c r="J227" s="1" t="s">
        <v>1801</v>
      </c>
      <c r="K227" s="4"/>
      <c r="L227" s="3"/>
    </row>
    <row r="228" spans="1:12" x14ac:dyDescent="0.45">
      <c r="A228" s="1">
        <v>240</v>
      </c>
      <c r="B228" s="1" t="str">
        <f>"07-"&amp;LEFT(RIGHTB(REPT(0,4)&amp;_xlfn.BASE(DB07_baselinesequence[[#This Row],[num]],36),4),2)&amp;"-"&amp;RIGHT(RIGHTB(REPT(0,4)&amp;_xlfn.BASE(DB07_baselinesequence[[#This Row],[num]],36),4),2)</f>
        <v>07-00-6O</v>
      </c>
      <c r="C228" s="1" t="s">
        <v>1476</v>
      </c>
      <c r="F228" s="1" t="s">
        <v>913</v>
      </c>
      <c r="G228" s="1" t="str">
        <f>_xlfn.XLOOKUP(DB07_baselinesequence[[#This Row],[basesequence-ID]],DB06_baseline[ID],DB06_baseline[Baseline],"",0)</f>
        <v>TGATAAAGACCAGCAC</v>
      </c>
      <c r="H228" s="1">
        <f>_xlfn.XLOOKUP(DB07_baselinesequence[[#This Row],[basesequence-ID]],DB06_baseline[ID],DB06_baseline[確認済],FALSE,0)</f>
        <v>0</v>
      </c>
      <c r="J228" s="1" t="s">
        <v>1802</v>
      </c>
      <c r="K228" s="4"/>
      <c r="L228" s="3"/>
    </row>
    <row r="229" spans="1:12" x14ac:dyDescent="0.45">
      <c r="A229" s="1">
        <v>241</v>
      </c>
      <c r="B229" s="1" t="str">
        <f>"07-"&amp;LEFT(RIGHTB(REPT(0,4)&amp;_xlfn.BASE(DB07_baselinesequence[[#This Row],[num]],36),4),2)&amp;"-"&amp;RIGHT(RIGHTB(REPT(0,4)&amp;_xlfn.BASE(DB07_baselinesequence[[#This Row],[num]],36),4),2)</f>
        <v>07-00-6P</v>
      </c>
      <c r="C229" s="1" t="s">
        <v>1477</v>
      </c>
      <c r="F229" s="1" t="s">
        <v>916</v>
      </c>
      <c r="G229" s="1" t="str">
        <f>_xlfn.XLOOKUP(DB07_baselinesequence[[#This Row],[basesequence-ID]],DB06_baseline[ID],DB06_baseline[Baseline],"",0)</f>
        <v>CTTTTTGATAAAGACC</v>
      </c>
      <c r="H229" s="1">
        <f>_xlfn.XLOOKUP(DB07_baselinesequence[[#This Row],[basesequence-ID]],DB06_baseline[ID],DB06_baseline[確認済],FALSE,0)</f>
        <v>0</v>
      </c>
      <c r="J229" s="1" t="s">
        <v>1803</v>
      </c>
      <c r="K229" s="4"/>
      <c r="L229" s="3"/>
    </row>
    <row r="230" spans="1:12" x14ac:dyDescent="0.45">
      <c r="A230" s="1">
        <v>242</v>
      </c>
      <c r="B230" s="1" t="str">
        <f>"07-"&amp;LEFT(RIGHTB(REPT(0,4)&amp;_xlfn.BASE(DB07_baselinesequence[[#This Row],[num]],36),4),2)&amp;"-"&amp;RIGHT(RIGHTB(REPT(0,4)&amp;_xlfn.BASE(DB07_baselinesequence[[#This Row],[num]],36),4),2)</f>
        <v>07-00-6Q</v>
      </c>
      <c r="C230" s="1" t="s">
        <v>1478</v>
      </c>
      <c r="F230" s="1" t="s">
        <v>919</v>
      </c>
      <c r="G230" s="1" t="str">
        <f>_xlfn.XLOOKUP(DB07_baselinesequence[[#This Row],[basesequence-ID]],DB06_baseline[ID],DB06_baseline[Baseline],"",0)</f>
        <v>GCCACCTTTTTGATAA</v>
      </c>
      <c r="H230" s="1">
        <f>_xlfn.XLOOKUP(DB07_baselinesequence[[#This Row],[basesequence-ID]],DB06_baseline[ID],DB06_baseline[確認済],FALSE,0)</f>
        <v>0</v>
      </c>
      <c r="J230" s="1" t="s">
        <v>1804</v>
      </c>
      <c r="K230" s="4"/>
      <c r="L230" s="3"/>
    </row>
    <row r="231" spans="1:12" x14ac:dyDescent="0.45">
      <c r="A231" s="1">
        <v>243</v>
      </c>
      <c r="B231" s="1" t="str">
        <f>"07-"&amp;LEFT(RIGHTB(REPT(0,4)&amp;_xlfn.BASE(DB07_baselinesequence[[#This Row],[num]],36),4),2)&amp;"-"&amp;RIGHT(RIGHTB(REPT(0,4)&amp;_xlfn.BASE(DB07_baselinesequence[[#This Row],[num]],36),4),2)</f>
        <v>07-00-6R</v>
      </c>
      <c r="C231" s="1" t="s">
        <v>1479</v>
      </c>
      <c r="F231" s="1" t="s">
        <v>922</v>
      </c>
      <c r="G231" s="1" t="str">
        <f>_xlfn.XLOOKUP(DB07_baselinesequence[[#This Row],[basesequence-ID]],DB06_baseline[ID],DB06_baseline[Baseline],"",0)</f>
        <v>TCTTGGCCACCTTTTT</v>
      </c>
      <c r="H231" s="1">
        <f>_xlfn.XLOOKUP(DB07_baselinesequence[[#This Row],[basesequence-ID]],DB06_baseline[ID],DB06_baseline[確認済],FALSE,0)</f>
        <v>0</v>
      </c>
      <c r="J231" s="1" t="s">
        <v>1805</v>
      </c>
      <c r="K231" s="4"/>
      <c r="L231" s="3"/>
    </row>
    <row r="232" spans="1:12" x14ac:dyDescent="0.45">
      <c r="A232" s="1">
        <v>244</v>
      </c>
      <c r="B232" s="1" t="str">
        <f>"07-"&amp;LEFT(RIGHTB(REPT(0,4)&amp;_xlfn.BASE(DB07_baselinesequence[[#This Row],[num]],36),4),2)&amp;"-"&amp;RIGHT(RIGHTB(REPT(0,4)&amp;_xlfn.BASE(DB07_baselinesequence[[#This Row],[num]],36),4),2)</f>
        <v>07-00-6S</v>
      </c>
      <c r="C232" s="1" t="s">
        <v>1480</v>
      </c>
      <c r="F232" s="1" t="s">
        <v>925</v>
      </c>
      <c r="G232" s="1" t="str">
        <f>_xlfn.XLOOKUP(DB07_baselinesequence[[#This Row],[basesequence-ID]],DB06_baseline[ID],DB06_baseline[Baseline],"",0)</f>
        <v>TGGCTTCTTGGCCACC</v>
      </c>
      <c r="H232" s="1">
        <f>_xlfn.XLOOKUP(DB07_baselinesequence[[#This Row],[basesequence-ID]],DB06_baseline[ID],DB06_baseline[確認済],FALSE,0)</f>
        <v>0</v>
      </c>
      <c r="J232" s="1" t="s">
        <v>1806</v>
      </c>
      <c r="K232" s="4"/>
      <c r="L232" s="3"/>
    </row>
    <row r="233" spans="1:12" x14ac:dyDescent="0.45">
      <c r="A233" s="1">
        <v>245</v>
      </c>
      <c r="B233" s="1" t="str">
        <f>"07-"&amp;LEFT(RIGHTB(REPT(0,4)&amp;_xlfn.BASE(DB07_baselinesequence[[#This Row],[num]],36),4),2)&amp;"-"&amp;RIGHT(RIGHTB(REPT(0,4)&amp;_xlfn.BASE(DB07_baselinesequence[[#This Row],[num]],36),4),2)</f>
        <v>07-00-6T</v>
      </c>
      <c r="C233" s="1" t="s">
        <v>1481</v>
      </c>
      <c r="F233" s="1" t="s">
        <v>928</v>
      </c>
      <c r="G233" s="1" t="str">
        <f>_xlfn.XLOOKUP(DB07_baselinesequence[[#This Row],[basesequence-ID]],DB06_baseline[ID],DB06_baseline[Baseline],"",0)</f>
        <v>TTGGTTGGCTTCTTGG</v>
      </c>
      <c r="H233" s="1">
        <f>_xlfn.XLOOKUP(DB07_baselinesequence[[#This Row],[basesequence-ID]],DB06_baseline[ID],DB06_baseline[確認済],FALSE,0)</f>
        <v>0</v>
      </c>
      <c r="J233" s="1" t="s">
        <v>1807</v>
      </c>
      <c r="K233" s="4"/>
      <c r="L233" s="3"/>
    </row>
    <row r="234" spans="1:12" x14ac:dyDescent="0.45">
      <c r="A234" s="1">
        <v>246</v>
      </c>
      <c r="B234" s="1" t="str">
        <f>"07-"&amp;LEFT(RIGHTB(REPT(0,4)&amp;_xlfn.BASE(DB07_baselinesequence[[#This Row],[num]],36),4),2)&amp;"-"&amp;RIGHT(RIGHTB(REPT(0,4)&amp;_xlfn.BASE(DB07_baselinesequence[[#This Row],[num]],36),4),2)</f>
        <v>07-00-6U</v>
      </c>
      <c r="C234" s="1" t="s">
        <v>1482</v>
      </c>
      <c r="F234" s="1" t="s">
        <v>931</v>
      </c>
      <c r="G234" s="1" t="str">
        <f>_xlfn.XLOOKUP(DB07_baselinesequence[[#This Row],[basesequence-ID]],DB06_baseline[ID],DB06_baseline[Baseline],"",0)</f>
        <v>CCTTATTGGTTGGCTT</v>
      </c>
      <c r="H234" s="1">
        <f>_xlfn.XLOOKUP(DB07_baselinesequence[[#This Row],[basesequence-ID]],DB06_baseline[ID],DB06_baseline[確認済],FALSE,0)</f>
        <v>0</v>
      </c>
      <c r="J234" s="1" t="s">
        <v>1808</v>
      </c>
      <c r="K234" s="4"/>
      <c r="L234" s="3"/>
    </row>
    <row r="235" spans="1:12" x14ac:dyDescent="0.45">
      <c r="A235" s="1">
        <v>247</v>
      </c>
      <c r="B235" s="1" t="str">
        <f>"07-"&amp;LEFT(RIGHTB(REPT(0,4)&amp;_xlfn.BASE(DB07_baselinesequence[[#This Row],[num]],36),4),2)&amp;"-"&amp;RIGHT(RIGHTB(REPT(0,4)&amp;_xlfn.BASE(DB07_baselinesequence[[#This Row],[num]],36),4),2)</f>
        <v>07-00-6V</v>
      </c>
      <c r="C235" s="1" t="s">
        <v>1483</v>
      </c>
      <c r="F235" s="1" t="s">
        <v>934</v>
      </c>
      <c r="G235" s="1" t="str">
        <f>_xlfn.XLOOKUP(DB07_baselinesequence[[#This Row],[basesequence-ID]],DB06_baseline[ID],DB06_baseline[Baseline],"",0)</f>
        <v>GGGGGCCTTATTGGTT</v>
      </c>
      <c r="H235" s="1">
        <f>_xlfn.XLOOKUP(DB07_baselinesequence[[#This Row],[basesequence-ID]],DB06_baseline[ID],DB06_baseline[確認済],FALSE,0)</f>
        <v>0</v>
      </c>
      <c r="J235" s="1" t="s">
        <v>1809</v>
      </c>
      <c r="K235" s="4"/>
      <c r="L235" s="3"/>
    </row>
    <row r="236" spans="1:12" x14ac:dyDescent="0.45">
      <c r="A236" s="1">
        <v>248</v>
      </c>
      <c r="B236" s="1" t="str">
        <f>"07-"&amp;LEFT(RIGHTB(REPT(0,4)&amp;_xlfn.BASE(DB07_baselinesequence[[#This Row],[num]],36),4),2)&amp;"-"&amp;RIGHT(RIGHTB(REPT(0,4)&amp;_xlfn.BASE(DB07_baselinesequence[[#This Row],[num]],36),4),2)</f>
        <v>07-00-6W</v>
      </c>
      <c r="C236" s="1" t="s">
        <v>1484</v>
      </c>
      <c r="F236" s="1" t="s">
        <v>937</v>
      </c>
      <c r="G236" s="1" t="str">
        <f>_xlfn.XLOOKUP(DB07_baselinesequence[[#This Row],[basesequence-ID]],DB06_baseline[ID],DB06_baseline[Baseline],"",0)</f>
        <v>GGGTGGGGGGCCTTAT</v>
      </c>
      <c r="H236" s="1">
        <f>_xlfn.XLOOKUP(DB07_baselinesequence[[#This Row],[basesequence-ID]],DB06_baseline[ID],DB06_baseline[確認済],FALSE,0)</f>
        <v>0</v>
      </c>
      <c r="J236" s="1" t="s">
        <v>1810</v>
      </c>
      <c r="K236" s="4"/>
      <c r="L236" s="3"/>
    </row>
    <row r="237" spans="1:12" x14ac:dyDescent="0.45">
      <c r="A237" s="1">
        <v>249</v>
      </c>
      <c r="B237" s="1" t="str">
        <f>"07-"&amp;LEFT(RIGHTB(REPT(0,4)&amp;_xlfn.BASE(DB07_baselinesequence[[#This Row],[num]],36),4),2)&amp;"-"&amp;RIGHT(RIGHTB(REPT(0,4)&amp;_xlfn.BASE(DB07_baselinesequence[[#This Row],[num]],36),4),2)</f>
        <v>07-00-6X</v>
      </c>
      <c r="C237" s="1" t="s">
        <v>1485</v>
      </c>
      <c r="F237" s="1" t="s">
        <v>940</v>
      </c>
      <c r="G237" s="1" t="str">
        <f>_xlfn.XLOOKUP(DB07_baselinesequence[[#This Row],[basesequence-ID]],DB06_baseline[ID],DB06_baseline[Baseline],"",0)</f>
        <v>GCTTGGGGTGGGGGGC</v>
      </c>
      <c r="H237" s="1">
        <f>_xlfn.XLOOKUP(DB07_baselinesequence[[#This Row],[basesequence-ID]],DB06_baseline[ID],DB06_baseline[確認済],FALSE,0)</f>
        <v>0</v>
      </c>
      <c r="J237" s="1" t="s">
        <v>1811</v>
      </c>
      <c r="K237" s="4"/>
      <c r="L237" s="3"/>
    </row>
    <row r="238" spans="1:12" x14ac:dyDescent="0.45">
      <c r="A238" s="1">
        <v>250</v>
      </c>
      <c r="B238" s="1" t="str">
        <f>"07-"&amp;LEFT(RIGHTB(REPT(0,4)&amp;_xlfn.BASE(DB07_baselinesequence[[#This Row],[num]],36),4),2)&amp;"-"&amp;RIGHT(RIGHTB(REPT(0,4)&amp;_xlfn.BASE(DB07_baselinesequence[[#This Row],[num]],36),4),2)</f>
        <v>07-00-6Y</v>
      </c>
      <c r="C238" s="1" t="s">
        <v>1486</v>
      </c>
      <c r="F238" s="1" t="s">
        <v>943</v>
      </c>
      <c r="G238" s="1" t="str">
        <f>_xlfn.XLOOKUP(DB07_baselinesequence[[#This Row],[basesequence-ID]],DB06_baseline[ID],DB06_baseline[Baseline],"",0)</f>
        <v>TTCCTGCTTGGGGTGG</v>
      </c>
      <c r="H238" s="1">
        <f>_xlfn.XLOOKUP(DB07_baselinesequence[[#This Row],[basesequence-ID]],DB06_baseline[ID],DB06_baseline[確認済],FALSE,0)</f>
        <v>0</v>
      </c>
      <c r="J238" s="1" t="s">
        <v>1812</v>
      </c>
      <c r="K238" s="4"/>
      <c r="L238" s="3"/>
    </row>
    <row r="239" spans="1:12" x14ac:dyDescent="0.45">
      <c r="A239" s="1">
        <v>251</v>
      </c>
      <c r="B239" s="1" t="str">
        <f>"07-"&amp;LEFT(RIGHTB(REPT(0,4)&amp;_xlfn.BASE(DB07_baselinesequence[[#This Row],[num]],36),4),2)&amp;"-"&amp;RIGHT(RIGHTB(REPT(0,4)&amp;_xlfn.BASE(DB07_baselinesequence[[#This Row],[num]],36),4),2)</f>
        <v>07-00-6Z</v>
      </c>
      <c r="C239" s="1" t="s">
        <v>1487</v>
      </c>
      <c r="F239" s="1" t="s">
        <v>946</v>
      </c>
      <c r="G239" s="1" t="str">
        <f>_xlfn.XLOOKUP(DB07_baselinesequence[[#This Row],[basesequence-ID]],DB06_baseline[ID],DB06_baseline[Baseline],"",0)</f>
        <v>TGGGGTTCCTGCTTGG</v>
      </c>
      <c r="H239" s="1">
        <f>_xlfn.XLOOKUP(DB07_baselinesequence[[#This Row],[basesequence-ID]],DB06_baseline[ID],DB06_baseline[確認済],FALSE,0)</f>
        <v>0</v>
      </c>
      <c r="J239" s="1" t="s">
        <v>1813</v>
      </c>
      <c r="K239" s="4"/>
      <c r="L239" s="3"/>
    </row>
    <row r="240" spans="1:12" x14ac:dyDescent="0.45">
      <c r="A240" s="1">
        <v>252</v>
      </c>
      <c r="B240" s="1" t="str">
        <f>"07-"&amp;LEFT(RIGHTB(REPT(0,4)&amp;_xlfn.BASE(DB07_baselinesequence[[#This Row],[num]],36),4),2)&amp;"-"&amp;RIGHT(RIGHTB(REPT(0,4)&amp;_xlfn.BASE(DB07_baselinesequence[[#This Row],[num]],36),4),2)</f>
        <v>07-00-70</v>
      </c>
      <c r="C240" s="1" t="s">
        <v>1488</v>
      </c>
      <c r="F240" s="1" t="s">
        <v>949</v>
      </c>
      <c r="G240" s="1" t="str">
        <f>_xlfn.XLOOKUP(DB07_baselinesequence[[#This Row],[basesequence-ID]],DB06_baseline[ID],DB06_baseline[Baseline],"",0)</f>
        <v>TCTCCTGGGGTTCCTG</v>
      </c>
      <c r="H240" s="1">
        <f>_xlfn.XLOOKUP(DB07_baselinesequence[[#This Row],[basesequence-ID]],DB06_baseline[ID],DB06_baseline[確認済],FALSE,0)</f>
        <v>0</v>
      </c>
      <c r="J240" s="1" t="s">
        <v>1814</v>
      </c>
      <c r="K240" s="4"/>
      <c r="L240" s="3"/>
    </row>
    <row r="241" spans="1:12" x14ac:dyDescent="0.45">
      <c r="A241" s="1">
        <v>253</v>
      </c>
      <c r="B241" s="1" t="str">
        <f>"07-"&amp;LEFT(RIGHTB(REPT(0,4)&amp;_xlfn.BASE(DB07_baselinesequence[[#This Row],[num]],36),4),2)&amp;"-"&amp;RIGHT(RIGHTB(REPT(0,4)&amp;_xlfn.BASE(DB07_baselinesequence[[#This Row],[num]],36),4),2)</f>
        <v>07-00-71</v>
      </c>
      <c r="C241" s="1" t="s">
        <v>1489</v>
      </c>
      <c r="F241" s="1" t="s">
        <v>952</v>
      </c>
      <c r="G241" s="1" t="str">
        <f>_xlfn.XLOOKUP(DB07_baselinesequence[[#This Row],[basesequence-ID]],DB06_baseline[ID],DB06_baseline[Baseline],"",0)</f>
        <v>ATTGATCTCCTGGGGT</v>
      </c>
      <c r="H241" s="1">
        <f>_xlfn.XLOOKUP(DB07_baselinesequence[[#This Row],[basesequence-ID]],DB06_baseline[ID],DB06_baseline[確認済],FALSE,0)</f>
        <v>0</v>
      </c>
      <c r="J241" s="1" t="s">
        <v>1815</v>
      </c>
      <c r="K241" s="4"/>
      <c r="L241" s="3"/>
    </row>
    <row r="242" spans="1:12" x14ac:dyDescent="0.45">
      <c r="A242" s="1">
        <v>254</v>
      </c>
      <c r="B242" s="1" t="str">
        <f>"07-"&amp;LEFT(RIGHTB(REPT(0,4)&amp;_xlfn.BASE(DB07_baselinesequence[[#This Row],[num]],36),4),2)&amp;"-"&amp;RIGHT(RIGHTB(REPT(0,4)&amp;_xlfn.BASE(DB07_baselinesequence[[#This Row],[num]],36),4),2)</f>
        <v>07-00-72</v>
      </c>
      <c r="C242" s="1" t="s">
        <v>1490</v>
      </c>
      <c r="F242" s="1" t="s">
        <v>955</v>
      </c>
      <c r="G242" s="1" t="str">
        <f>_xlfn.XLOOKUP(DB07_baselinesequence[[#This Row],[basesequence-ID]],DB06_baseline[ID],DB06_baseline[Baseline],"",0)</f>
        <v>GGAAAATTGATCTCCT</v>
      </c>
      <c r="H242" s="1">
        <f>_xlfn.XLOOKUP(DB07_baselinesequence[[#This Row],[basesequence-ID]],DB06_baseline[ID],DB06_baseline[確認済],FALSE,0)</f>
        <v>0</v>
      </c>
      <c r="J242" s="1" t="s">
        <v>1816</v>
      </c>
      <c r="K242" s="4"/>
      <c r="L242" s="3"/>
    </row>
    <row r="243" spans="1:12" x14ac:dyDescent="0.45">
      <c r="A243" s="1">
        <v>255</v>
      </c>
      <c r="B243" s="1" t="str">
        <f>"07-"&amp;LEFT(RIGHTB(REPT(0,4)&amp;_xlfn.BASE(DB07_baselinesequence[[#This Row],[num]],36),4),2)&amp;"-"&amp;RIGHT(RIGHTB(REPT(0,4)&amp;_xlfn.BASE(DB07_baselinesequence[[#This Row],[num]],36),4),2)</f>
        <v>07-00-73</v>
      </c>
      <c r="C243" s="1" t="s">
        <v>1491</v>
      </c>
      <c r="F243" s="1" t="s">
        <v>958</v>
      </c>
      <c r="G243" s="1" t="str">
        <f>_xlfn.XLOOKUP(DB07_baselinesequence[[#This Row],[basesequence-ID]],DB06_baseline[ID],DB06_baseline[Baseline],"",0)</f>
        <v>CGTCGGGAAAATTGAT</v>
      </c>
      <c r="H243" s="1">
        <f>_xlfn.XLOOKUP(DB07_baselinesequence[[#This Row],[basesequence-ID]],DB06_baseline[ID],DB06_baseline[確認済],FALSE,0)</f>
        <v>0</v>
      </c>
      <c r="J243" s="1" t="s">
        <v>1817</v>
      </c>
      <c r="K243" s="4"/>
      <c r="L243" s="3"/>
    </row>
    <row r="244" spans="1:12" x14ac:dyDescent="0.45">
      <c r="A244" s="1">
        <v>256</v>
      </c>
      <c r="B244" s="1" t="str">
        <f>"07-"&amp;LEFT(RIGHTB(REPT(0,4)&amp;_xlfn.BASE(DB07_baselinesequence[[#This Row],[num]],36),4),2)&amp;"-"&amp;RIGHT(RIGHTB(REPT(0,4)&amp;_xlfn.BASE(DB07_baselinesequence[[#This Row],[num]],36),4),2)</f>
        <v>07-00-74</v>
      </c>
      <c r="C244" s="1" t="s">
        <v>1492</v>
      </c>
      <c r="F244" s="1" t="s">
        <v>961</v>
      </c>
      <c r="G244" s="1" t="str">
        <f>_xlfn.XLOOKUP(DB07_baselinesequence[[#This Row],[basesequence-ID]],DB06_baseline[ID],DB06_baseline[Baseline],"",0)</f>
        <v>AAGATCGTCGGGAAAA</v>
      </c>
      <c r="H244" s="1">
        <f>_xlfn.XLOOKUP(DB07_baselinesequence[[#This Row],[basesequence-ID]],DB06_baseline[ID],DB06_baseline[確認済],FALSE,0)</f>
        <v>0</v>
      </c>
      <c r="J244" s="1" t="s">
        <v>1818</v>
      </c>
      <c r="K244" s="4"/>
      <c r="L244" s="3"/>
    </row>
    <row r="245" spans="1:12" x14ac:dyDescent="0.45">
      <c r="A245" s="1">
        <v>257</v>
      </c>
      <c r="B245" s="1" t="str">
        <f>"07-"&amp;LEFT(RIGHTB(REPT(0,4)&amp;_xlfn.BASE(DB07_baselinesequence[[#This Row],[num]],36),4),2)&amp;"-"&amp;RIGHT(RIGHTB(REPT(0,4)&amp;_xlfn.BASE(DB07_baselinesequence[[#This Row],[num]],36),4),2)</f>
        <v>07-00-75</v>
      </c>
      <c r="C245" s="1" t="s">
        <v>1493</v>
      </c>
      <c r="F245" s="1" t="s">
        <v>964</v>
      </c>
      <c r="G245" s="1" t="str">
        <f>_xlfn.XLOOKUP(DB07_baselinesequence[[#This Row],[basesequence-ID]],DB06_baseline[ID],DB06_baseline[Baseline],"",0)</f>
        <v>CCAGGAAGATCGTCGG</v>
      </c>
      <c r="H245" s="1">
        <f>_xlfn.XLOOKUP(DB07_baselinesequence[[#This Row],[basesequence-ID]],DB06_baseline[ID],DB06_baseline[確認済],FALSE,0)</f>
        <v>0</v>
      </c>
      <c r="J245" s="1" t="s">
        <v>1819</v>
      </c>
      <c r="K245" s="4"/>
      <c r="L245" s="3"/>
    </row>
    <row r="246" spans="1:12" x14ac:dyDescent="0.45">
      <c r="A246" s="1">
        <v>258</v>
      </c>
      <c r="B246" s="1" t="str">
        <f>"07-"&amp;LEFT(RIGHTB(REPT(0,4)&amp;_xlfn.BASE(DB07_baselinesequence[[#This Row],[num]],36),4),2)&amp;"-"&amp;RIGHT(RIGHTB(REPT(0,4)&amp;_xlfn.BASE(DB07_baselinesequence[[#This Row],[num]],36),4),2)</f>
        <v>07-00-76</v>
      </c>
      <c r="C246" s="1" t="s">
        <v>1494</v>
      </c>
      <c r="F246" s="1" t="s">
        <v>967</v>
      </c>
      <c r="G246" s="1" t="str">
        <f>_xlfn.XLOOKUP(DB07_baselinesequence[[#This Row],[basesequence-ID]],DB06_baseline[ID],DB06_baseline[Baseline],"",0)</f>
        <v>TGGAGCCAGGAAGATC</v>
      </c>
      <c r="H246" s="1">
        <f>_xlfn.XLOOKUP(DB07_baselinesequence[[#This Row],[basesequence-ID]],DB06_baseline[ID],DB06_baseline[確認済],FALSE,0)</f>
        <v>0</v>
      </c>
      <c r="J246" s="1" t="s">
        <v>1820</v>
      </c>
      <c r="K246" s="4"/>
      <c r="L246" s="3"/>
    </row>
    <row r="247" spans="1:12" x14ac:dyDescent="0.45">
      <c r="A247" s="1">
        <v>259</v>
      </c>
      <c r="B247" s="1" t="str">
        <f>"07-"&amp;LEFT(RIGHTB(REPT(0,4)&amp;_xlfn.BASE(DB07_baselinesequence[[#This Row],[num]],36),4),2)&amp;"-"&amp;RIGHT(RIGHTB(REPT(0,4)&amp;_xlfn.BASE(DB07_baselinesequence[[#This Row],[num]],36),4),2)</f>
        <v>07-00-77</v>
      </c>
      <c r="C247" s="1" t="s">
        <v>1495</v>
      </c>
      <c r="F247" s="1" t="s">
        <v>970</v>
      </c>
      <c r="G247" s="1" t="str">
        <f>_xlfn.XLOOKUP(DB07_baselinesequence[[#This Row],[basesequence-ID]],DB06_baseline[ID],DB06_baseline[Baseline],"",0)</f>
        <v>AGTGTTGGAGCCAGGA</v>
      </c>
      <c r="H247" s="1">
        <f>_xlfn.XLOOKUP(DB07_baselinesequence[[#This Row],[basesequence-ID]],DB06_baseline[ID],DB06_baseline[確認済],FALSE,0)</f>
        <v>0</v>
      </c>
      <c r="J247" s="1" t="s">
        <v>1821</v>
      </c>
      <c r="K247" s="4"/>
      <c r="L247" s="3"/>
    </row>
    <row r="248" spans="1:12" x14ac:dyDescent="0.45">
      <c r="A248" s="1">
        <v>260</v>
      </c>
      <c r="B248" s="1" t="str">
        <f>"07-"&amp;LEFT(RIGHTB(REPT(0,4)&amp;_xlfn.BASE(DB07_baselinesequence[[#This Row],[num]],36),4),2)&amp;"-"&amp;RIGHT(RIGHTB(REPT(0,4)&amp;_xlfn.BASE(DB07_baselinesequence[[#This Row],[num]],36),4),2)</f>
        <v>07-00-78</v>
      </c>
      <c r="C248" s="1" t="s">
        <v>1496</v>
      </c>
      <c r="F248" s="1" t="s">
        <v>973</v>
      </c>
      <c r="G248" s="1" t="str">
        <f>_xlfn.XLOOKUP(DB07_baselinesequence[[#This Row],[basesequence-ID]],DB06_baseline[ID],DB06_baseline[Baseline],"",0)</f>
        <v>GCAGCAGTGTTGGAGC</v>
      </c>
      <c r="H248" s="1">
        <f>_xlfn.XLOOKUP(DB07_baselinesequence[[#This Row],[basesequence-ID]],DB06_baseline[ID],DB06_baseline[確認済],FALSE,0)</f>
        <v>0</v>
      </c>
      <c r="J248" s="1" t="s">
        <v>1822</v>
      </c>
      <c r="K248" s="4"/>
      <c r="L248" s="3"/>
    </row>
    <row r="249" spans="1:12" x14ac:dyDescent="0.45">
      <c r="A249" s="1">
        <v>261</v>
      </c>
      <c r="B249" s="1" t="str">
        <f>"07-"&amp;LEFT(RIGHTB(REPT(0,4)&amp;_xlfn.BASE(DB07_baselinesequence[[#This Row],[num]],36),4),2)&amp;"-"&amp;RIGHT(RIGHTB(REPT(0,4)&amp;_xlfn.BASE(DB07_baselinesequence[[#This Row],[num]],36),4),2)</f>
        <v>07-00-79</v>
      </c>
      <c r="C249" s="1" t="s">
        <v>1497</v>
      </c>
      <c r="F249" s="1" t="s">
        <v>976</v>
      </c>
      <c r="G249" s="1" t="str">
        <f>_xlfn.XLOOKUP(DB07_baselinesequence[[#This Row],[basesequence-ID]],DB06_baseline[ID],DB06_baseline[Baseline],"",0)</f>
        <v>CTGGAGCAGCAGTGTT</v>
      </c>
      <c r="H249" s="1">
        <f>_xlfn.XLOOKUP(DB07_baselinesequence[[#This Row],[basesequence-ID]],DB06_baseline[ID],DB06_baseline[確認済],FALSE,0)</f>
        <v>0</v>
      </c>
      <c r="J249" s="1" t="s">
        <v>1823</v>
      </c>
      <c r="K249" s="4"/>
      <c r="L249" s="3"/>
    </row>
    <row r="250" spans="1:12" x14ac:dyDescent="0.45">
      <c r="A250" s="1">
        <v>262</v>
      </c>
      <c r="B250" s="1" t="str">
        <f>"07-"&amp;LEFT(RIGHTB(REPT(0,4)&amp;_xlfn.BASE(DB07_baselinesequence[[#This Row],[num]],36),4),2)&amp;"-"&amp;RIGHT(RIGHTB(REPT(0,4)&amp;_xlfn.BASE(DB07_baselinesequence[[#This Row],[num]],36),4),2)</f>
        <v>07-00-7A</v>
      </c>
      <c r="C250" s="1" t="s">
        <v>1498</v>
      </c>
      <c r="F250" s="1" t="s">
        <v>979</v>
      </c>
      <c r="G250" s="1" t="str">
        <f>_xlfn.XLOOKUP(DB07_baselinesequence[[#This Row],[basesequence-ID]],DB06_baseline[ID],DB06_baseline[Baseline],"",0)</f>
        <v>CTGCACTGGAGCAGCA</v>
      </c>
      <c r="H250" s="1">
        <f>_xlfn.XLOOKUP(DB07_baselinesequence[[#This Row],[basesequence-ID]],DB06_baseline[ID],DB06_baseline[確認済],FALSE,0)</f>
        <v>0</v>
      </c>
      <c r="J250" s="1" t="s">
        <v>1824</v>
      </c>
      <c r="K250" s="4"/>
      <c r="L250" s="3"/>
    </row>
    <row r="251" spans="1:12" x14ac:dyDescent="0.45">
      <c r="A251" s="1">
        <v>263</v>
      </c>
      <c r="B251" s="1" t="str">
        <f>"07-"&amp;LEFT(RIGHTB(REPT(0,4)&amp;_xlfn.BASE(DB07_baselinesequence[[#This Row],[num]],36),4),2)&amp;"-"&amp;RIGHT(RIGHTB(REPT(0,4)&amp;_xlfn.BASE(DB07_baselinesequence[[#This Row],[num]],36),4),2)</f>
        <v>07-00-7B</v>
      </c>
      <c r="C251" s="1" t="s">
        <v>1499</v>
      </c>
      <c r="F251" s="1" t="s">
        <v>982</v>
      </c>
      <c r="G251" s="1" t="str">
        <f>_xlfn.XLOOKUP(DB07_baselinesequence[[#This Row],[basesequence-ID]],DB06_baseline[ID],DB06_baseline[Baseline],"",0)</f>
        <v>GTCTCCTGCACTGGAG</v>
      </c>
      <c r="H251" s="1">
        <f>_xlfn.XLOOKUP(DB07_baselinesequence[[#This Row],[basesequence-ID]],DB06_baseline[ID],DB06_baseline[確認済],FALSE,0)</f>
        <v>0</v>
      </c>
      <c r="J251" s="1" t="s">
        <v>1825</v>
      </c>
      <c r="K251" s="4"/>
      <c r="L251" s="3"/>
    </row>
    <row r="252" spans="1:12" x14ac:dyDescent="0.45">
      <c r="A252" s="1">
        <v>264</v>
      </c>
      <c r="B252" s="1" t="str">
        <f>"07-"&amp;LEFT(RIGHTB(REPT(0,4)&amp;_xlfn.BASE(DB07_baselinesequence[[#This Row],[num]],36),4),2)&amp;"-"&amp;RIGHT(RIGHTB(REPT(0,4)&amp;_xlfn.BASE(DB07_baselinesequence[[#This Row],[num]],36),4),2)</f>
        <v>07-00-7C</v>
      </c>
      <c r="C252" s="1" t="s">
        <v>1500</v>
      </c>
      <c r="F252" s="1" t="s">
        <v>985</v>
      </c>
      <c r="G252" s="1" t="str">
        <f>_xlfn.XLOOKUP(DB07_baselinesequence[[#This Row],[basesequence-ID]],DB06_baseline[ID],DB06_baseline[Baseline],"",0)</f>
        <v>GTAAAGTCTCCTGCAC</v>
      </c>
      <c r="H252" s="1">
        <f>_xlfn.XLOOKUP(DB07_baselinesequence[[#This Row],[basesequence-ID]],DB06_baseline[ID],DB06_baseline[確認済],FALSE,0)</f>
        <v>0</v>
      </c>
      <c r="J252" s="1" t="s">
        <v>1826</v>
      </c>
      <c r="K252" s="4"/>
      <c r="L252" s="3"/>
    </row>
    <row r="253" spans="1:12" x14ac:dyDescent="0.45">
      <c r="A253" s="1">
        <v>265</v>
      </c>
      <c r="B253" s="1" t="str">
        <f>"07-"&amp;LEFT(RIGHTB(REPT(0,4)&amp;_xlfn.BASE(DB07_baselinesequence[[#This Row],[num]],36),4),2)&amp;"-"&amp;RIGHT(RIGHTB(REPT(0,4)&amp;_xlfn.BASE(DB07_baselinesequence[[#This Row],[num]],36),4),2)</f>
        <v>07-00-7D</v>
      </c>
      <c r="C253" s="1" t="s">
        <v>1501</v>
      </c>
      <c r="F253" s="1" t="s">
        <v>988</v>
      </c>
      <c r="G253" s="1" t="str">
        <f>_xlfn.XLOOKUP(DB07_baselinesequence[[#This Row],[basesequence-ID]],DB06_baseline[ID],DB06_baseline[Baseline],"",0)</f>
        <v>TCCATGTAAAGTCTCC</v>
      </c>
      <c r="H253" s="1">
        <f>_xlfn.XLOOKUP(DB07_baselinesequence[[#This Row],[basesequence-ID]],DB06_baseline[ID],DB06_baseline[確認済],FALSE,0)</f>
        <v>0</v>
      </c>
      <c r="J253" s="1" t="s">
        <v>1827</v>
      </c>
      <c r="K253" s="4"/>
      <c r="L253" s="3"/>
    </row>
    <row r="254" spans="1:12" x14ac:dyDescent="0.45">
      <c r="A254" s="1">
        <v>266</v>
      </c>
      <c r="B254" s="1" t="str">
        <f>"07-"&amp;LEFT(RIGHTB(REPT(0,4)&amp;_xlfn.BASE(DB07_baselinesequence[[#This Row],[num]],36),4),2)&amp;"-"&amp;RIGHT(RIGHTB(REPT(0,4)&amp;_xlfn.BASE(DB07_baselinesequence[[#This Row],[num]],36),4),2)</f>
        <v>07-00-7E</v>
      </c>
      <c r="C254" s="1" t="s">
        <v>1502</v>
      </c>
      <c r="F254" s="1" t="s">
        <v>991</v>
      </c>
      <c r="G254" s="1" t="str">
        <f>_xlfn.XLOOKUP(DB07_baselinesequence[[#This Row],[basesequence-ID]],DB06_baseline[ID],DB06_baseline[Baseline],"",0)</f>
        <v>TGGCATCCATGTAAAG</v>
      </c>
      <c r="H254" s="1">
        <f>_xlfn.XLOOKUP(DB07_baselinesequence[[#This Row],[basesequence-ID]],DB06_baseline[ID],DB06_baseline[確認済],FALSE,0)</f>
        <v>0</v>
      </c>
      <c r="J254" s="1" t="s">
        <v>1828</v>
      </c>
      <c r="K254" s="4"/>
      <c r="L254" s="3"/>
    </row>
    <row r="255" spans="1:12" x14ac:dyDescent="0.45">
      <c r="A255" s="1">
        <v>267</v>
      </c>
      <c r="B255" s="1" t="str">
        <f>"07-"&amp;LEFT(RIGHTB(REPT(0,4)&amp;_xlfn.BASE(DB07_baselinesequence[[#This Row],[num]],36),4),2)&amp;"-"&amp;RIGHT(RIGHTB(REPT(0,4)&amp;_xlfn.BASE(DB07_baselinesequence[[#This Row],[num]],36),4),2)</f>
        <v>07-00-7F</v>
      </c>
      <c r="C255" s="1" t="s">
        <v>1503</v>
      </c>
      <c r="F255" s="1" t="s">
        <v>994</v>
      </c>
      <c r="G255" s="1" t="str">
        <f>_xlfn.XLOOKUP(DB07_baselinesequence[[#This Row],[basesequence-ID]],DB06_baseline[ID],DB06_baseline[Baseline],"",0)</f>
        <v>CCGGTTGGCATCCATG</v>
      </c>
      <c r="H255" s="1">
        <f>_xlfn.XLOOKUP(DB07_baselinesequence[[#This Row],[basesequence-ID]],DB06_baseline[ID],DB06_baseline[確認済],FALSE,0)</f>
        <v>0</v>
      </c>
      <c r="J255" s="1" t="s">
        <v>1829</v>
      </c>
      <c r="K255" s="4"/>
      <c r="L255" s="3"/>
    </row>
    <row r="256" spans="1:12" x14ac:dyDescent="0.45">
      <c r="A256" s="1">
        <v>268</v>
      </c>
      <c r="B256" s="1" t="str">
        <f>"07-"&amp;LEFT(RIGHTB(REPT(0,4)&amp;_xlfn.BASE(DB07_baselinesequence[[#This Row],[num]],36),4),2)&amp;"-"&amp;RIGHT(RIGHTB(REPT(0,4)&amp;_xlfn.BASE(DB07_baselinesequence[[#This Row],[num]],36),4),2)</f>
        <v>07-00-7G</v>
      </c>
      <c r="C256" s="1" t="s">
        <v>1504</v>
      </c>
      <c r="F256" s="1" t="s">
        <v>997</v>
      </c>
      <c r="G256" s="1" t="str">
        <f>_xlfn.XLOOKUP(DB07_baselinesequence[[#This Row],[basesequence-ID]],DB06_baseline[ID],DB06_baseline[Baseline],"",0)</f>
        <v>GGTGACCGGTTGGCAT</v>
      </c>
      <c r="H256" s="1">
        <f>_xlfn.XLOOKUP(DB07_baselinesequence[[#This Row],[basesequence-ID]],DB06_baseline[ID],DB06_baseline[確認済],FALSE,0)</f>
        <v>0</v>
      </c>
      <c r="J256" s="1" t="s">
        <v>1830</v>
      </c>
      <c r="K256" s="4"/>
      <c r="L256" s="3"/>
    </row>
    <row r="257" spans="1:12" x14ac:dyDescent="0.45">
      <c r="A257" s="1">
        <v>269</v>
      </c>
      <c r="B257" s="1" t="str">
        <f>"07-"&amp;LEFT(RIGHTB(REPT(0,4)&amp;_xlfn.BASE(DB07_baselinesequence[[#This Row],[num]],36),4),2)&amp;"-"&amp;RIGHT(RIGHTB(REPT(0,4)&amp;_xlfn.BASE(DB07_baselinesequence[[#This Row],[num]],36),4),2)</f>
        <v>07-00-7H</v>
      </c>
      <c r="C257" s="1" t="s">
        <v>1505</v>
      </c>
      <c r="F257" s="1" t="s">
        <v>1000</v>
      </c>
      <c r="G257" s="1" t="str">
        <f>_xlfn.XLOOKUP(DB07_baselinesequence[[#This Row],[basesequence-ID]],DB06_baseline[ID],DB06_baseline[Baseline],"",0)</f>
        <v>TCCTGGGTGACCGGTT</v>
      </c>
      <c r="H257" s="1">
        <f>_xlfn.XLOOKUP(DB07_baselinesequence[[#This Row],[basesequence-ID]],DB06_baseline[ID],DB06_baseline[確認済],FALSE,0)</f>
        <v>0</v>
      </c>
      <c r="J257" s="1" t="s">
        <v>1831</v>
      </c>
      <c r="K257" s="4"/>
      <c r="L257" s="3"/>
    </row>
    <row r="258" spans="1:12" x14ac:dyDescent="0.45">
      <c r="A258" s="1">
        <v>270</v>
      </c>
      <c r="B258" s="1" t="str">
        <f>"07-"&amp;LEFT(RIGHTB(REPT(0,4)&amp;_xlfn.BASE(DB07_baselinesequence[[#This Row],[num]],36),4),2)&amp;"-"&amp;RIGHT(RIGHTB(REPT(0,4)&amp;_xlfn.BASE(DB07_baselinesequence[[#This Row],[num]],36),4),2)</f>
        <v>07-00-7I</v>
      </c>
      <c r="C258" s="1" t="s">
        <v>1506</v>
      </c>
      <c r="F258" s="1" t="s">
        <v>1003</v>
      </c>
      <c r="G258" s="1" t="str">
        <f>_xlfn.XLOOKUP(DB07_baselinesequence[[#This Row],[basesequence-ID]],DB06_baseline[ID],DB06_baseline[Baseline],"",0)</f>
        <v>CATCCTCCTGGGTGAC</v>
      </c>
      <c r="H258" s="1">
        <f>_xlfn.XLOOKUP(DB07_baselinesequence[[#This Row],[basesequence-ID]],DB06_baseline[ID],DB06_baseline[確認済],FALSE,0)</f>
        <v>0</v>
      </c>
      <c r="J258" s="1" t="s">
        <v>1832</v>
      </c>
      <c r="K258" s="4"/>
      <c r="L258" s="3"/>
    </row>
    <row r="259" spans="1:12" x14ac:dyDescent="0.45">
      <c r="A259" s="1">
        <v>271</v>
      </c>
      <c r="B259" s="1" t="str">
        <f>"07-"&amp;LEFT(RIGHTB(REPT(0,4)&amp;_xlfn.BASE(DB07_baselinesequence[[#This Row],[num]],36),4),2)&amp;"-"&amp;RIGHT(RIGHTB(REPT(0,4)&amp;_xlfn.BASE(DB07_baselinesequence[[#This Row],[num]],36),4),2)</f>
        <v>07-00-7J</v>
      </c>
      <c r="C259" s="1" t="s">
        <v>1507</v>
      </c>
      <c r="F259" s="1" t="s">
        <v>1006</v>
      </c>
      <c r="G259" s="1" t="str">
        <f>_xlfn.XLOOKUP(DB07_baselinesequence[[#This Row],[basesequence-ID]],DB06_baseline[ID],DB06_baseline[Baseline],"",0)</f>
        <v>TTTGCCATCCTCCTGG</v>
      </c>
      <c r="H259" s="1">
        <f>_xlfn.XLOOKUP(DB07_baselinesequence[[#This Row],[basesequence-ID]],DB06_baseline[ID],DB06_baseline[確認済],FALSE,0)</f>
        <v>0</v>
      </c>
      <c r="J259" s="1" t="s">
        <v>1833</v>
      </c>
      <c r="K259" s="4"/>
      <c r="L259" s="3"/>
    </row>
    <row r="260" spans="1:12" x14ac:dyDescent="0.45">
      <c r="A260" s="1">
        <v>272</v>
      </c>
      <c r="B260" s="1" t="str">
        <f>"07-"&amp;LEFT(RIGHTB(REPT(0,4)&amp;_xlfn.BASE(DB07_baselinesequence[[#This Row],[num]],36),4),2)&amp;"-"&amp;RIGHT(RIGHTB(REPT(0,4)&amp;_xlfn.BASE(DB07_baselinesequence[[#This Row],[num]],36),4),2)</f>
        <v>07-00-7K</v>
      </c>
      <c r="C260" s="1" t="s">
        <v>1508</v>
      </c>
      <c r="F260" s="1" t="s">
        <v>1009</v>
      </c>
      <c r="G260" s="1" t="str">
        <f>_xlfn.XLOOKUP(DB07_baselinesequence[[#This Row],[basesequence-ID]],DB06_baseline[ID],DB06_baseline[Baseline],"",0)</f>
        <v>CTCTCTTTGCCATCCT</v>
      </c>
      <c r="H260" s="1">
        <f>_xlfn.XLOOKUP(DB07_baselinesequence[[#This Row],[basesequence-ID]],DB06_baseline[ID],DB06_baseline[確認済],FALSE,0)</f>
        <v>0</v>
      </c>
      <c r="J260" s="1" t="s">
        <v>1834</v>
      </c>
      <c r="K260" s="4"/>
      <c r="L260" s="3"/>
    </row>
    <row r="261" spans="1:12" x14ac:dyDescent="0.45">
      <c r="A261" s="1">
        <v>273</v>
      </c>
      <c r="B261" s="1" t="str">
        <f>"07-"&amp;LEFT(RIGHTB(REPT(0,4)&amp;_xlfn.BASE(DB07_baselinesequence[[#This Row],[num]],36),4),2)&amp;"-"&amp;RIGHT(RIGHTB(REPT(0,4)&amp;_xlfn.BASE(DB07_baselinesequence[[#This Row],[num]],36),4),2)</f>
        <v>07-00-7L</v>
      </c>
      <c r="C261" s="1" t="s">
        <v>1509</v>
      </c>
      <c r="F261" s="1" t="s">
        <v>1012</v>
      </c>
      <c r="G261" s="1" t="str">
        <f>_xlfn.XLOOKUP(DB07_baselinesequence[[#This Row],[basesequence-ID]],DB06_baseline[ID],DB06_baseline[Baseline],"",0)</f>
        <v>TGCGACTCTCTTTGCC</v>
      </c>
      <c r="H261" s="1">
        <f>_xlfn.XLOOKUP(DB07_baselinesequence[[#This Row],[basesequence-ID]],DB06_baseline[ID],DB06_baseline[確認済],FALSE,0)</f>
        <v>0</v>
      </c>
      <c r="J261" s="1" t="s">
        <v>1835</v>
      </c>
      <c r="K261" s="4"/>
      <c r="L261" s="3"/>
    </row>
    <row r="262" spans="1:12" x14ac:dyDescent="0.45">
      <c r="A262" s="1">
        <v>274</v>
      </c>
      <c r="B262" s="1" t="str">
        <f>"07-"&amp;LEFT(RIGHTB(REPT(0,4)&amp;_xlfn.BASE(DB07_baselinesequence[[#This Row],[num]],36),4),2)&amp;"-"&amp;RIGHT(RIGHTB(REPT(0,4)&amp;_xlfn.BASE(DB07_baselinesequence[[#This Row],[num]],36),4),2)</f>
        <v>07-00-7M</v>
      </c>
      <c r="C262" s="1" t="s">
        <v>1510</v>
      </c>
      <c r="F262" s="1" t="s">
        <v>1015</v>
      </c>
      <c r="G262" s="1" t="str">
        <f>_xlfn.XLOOKUP(DB07_baselinesequence[[#This Row],[basesequence-ID]],DB06_baseline[ID],DB06_baseline[Baseline],"",0)</f>
        <v>TGAGATGCGACTCTCT</v>
      </c>
      <c r="H262" s="1">
        <f>_xlfn.XLOOKUP(DB07_baselinesequence[[#This Row],[basesequence-ID]],DB06_baseline[ID],DB06_baseline[確認済],FALSE,0)</f>
        <v>0</v>
      </c>
      <c r="J262" s="1" t="s">
        <v>1836</v>
      </c>
      <c r="K262" s="4"/>
      <c r="L262" s="3"/>
    </row>
    <row r="263" spans="1:12" x14ac:dyDescent="0.45">
      <c r="A263" s="1">
        <v>275</v>
      </c>
      <c r="B263" s="1" t="str">
        <f>"07-"&amp;LEFT(RIGHTB(REPT(0,4)&amp;_xlfn.BASE(DB07_baselinesequence[[#This Row],[num]],36),4),2)&amp;"-"&amp;RIGHT(RIGHTB(REPT(0,4)&amp;_xlfn.BASE(DB07_baselinesequence[[#This Row],[num]],36),4),2)</f>
        <v>07-00-7N</v>
      </c>
      <c r="C263" s="1" t="s">
        <v>1511</v>
      </c>
      <c r="F263" s="1" t="s">
        <v>1018</v>
      </c>
      <c r="G263" s="1" t="str">
        <f>_xlfn.XLOOKUP(DB07_baselinesequence[[#This Row],[basesequence-ID]],DB06_baseline[ID],DB06_baseline[Baseline],"",0)</f>
        <v>TGCACTGAGATGCGAC</v>
      </c>
      <c r="H263" s="1">
        <f>_xlfn.XLOOKUP(DB07_baselinesequence[[#This Row],[basesequence-ID]],DB06_baseline[ID],DB06_baseline[確認済],FALSE,0)</f>
        <v>0</v>
      </c>
      <c r="J263" s="1" t="s">
        <v>1837</v>
      </c>
      <c r="K263" s="4"/>
      <c r="L263" s="3"/>
    </row>
    <row r="264" spans="1:12" x14ac:dyDescent="0.45">
      <c r="A264" s="1">
        <v>276</v>
      </c>
      <c r="B264" s="1" t="str">
        <f>"07-"&amp;LEFT(RIGHTB(REPT(0,4)&amp;_xlfn.BASE(DB07_baselinesequence[[#This Row],[num]],36),4),2)&amp;"-"&amp;RIGHT(RIGHTB(REPT(0,4)&amp;_xlfn.BASE(DB07_baselinesequence[[#This Row],[num]],36),4),2)</f>
        <v>07-00-7O</v>
      </c>
      <c r="C264" s="1" t="s">
        <v>1512</v>
      </c>
      <c r="F264" s="1" t="s">
        <v>1021</v>
      </c>
      <c r="G264" s="1" t="str">
        <f>_xlfn.XLOOKUP(DB07_baselinesequence[[#This Row],[basesequence-ID]],DB06_baseline[ID],DB06_baseline[Baseline],"",0)</f>
        <v>TCTCCTGCACTGAGAT</v>
      </c>
      <c r="H264" s="1">
        <f>_xlfn.XLOOKUP(DB07_baselinesequence[[#This Row],[basesequence-ID]],DB06_baseline[ID],DB06_baseline[確認済],FALSE,0)</f>
        <v>0</v>
      </c>
      <c r="J264" s="1" t="s">
        <v>1838</v>
      </c>
      <c r="K264" s="4"/>
      <c r="L264" s="3"/>
    </row>
    <row r="265" spans="1:12" x14ac:dyDescent="0.45">
      <c r="A265" s="1">
        <v>277</v>
      </c>
      <c r="B265" s="1" t="str">
        <f>"07-"&amp;LEFT(RIGHTB(REPT(0,4)&amp;_xlfn.BASE(DB07_baselinesequence[[#This Row],[num]],36),4),2)&amp;"-"&amp;RIGHT(RIGHTB(REPT(0,4)&amp;_xlfn.BASE(DB07_baselinesequence[[#This Row],[num]],36),4),2)</f>
        <v>07-00-7P</v>
      </c>
      <c r="C265" s="1" t="s">
        <v>1513</v>
      </c>
      <c r="F265" s="1" t="s">
        <v>1024</v>
      </c>
      <c r="G265" s="1" t="str">
        <f>_xlfn.XLOOKUP(DB07_baselinesequence[[#This Row],[basesequence-ID]],DB06_baseline[ID],DB06_baseline[Baseline],"",0)</f>
        <v>TGCAGAGGCAGACGAACCAT</v>
      </c>
      <c r="H265" s="1">
        <f>_xlfn.XLOOKUP(DB07_baselinesequence[[#This Row],[basesequence-ID]],DB06_baseline[ID],DB06_baseline[確認済],FALSE,0)</f>
        <v>0</v>
      </c>
      <c r="J265" s="1" t="s">
        <v>1839</v>
      </c>
      <c r="K265" s="4"/>
      <c r="L265" s="3"/>
    </row>
    <row r="266" spans="1:12" x14ac:dyDescent="0.45">
      <c r="A266" s="1">
        <v>278</v>
      </c>
      <c r="B266" s="1" t="str">
        <f>"07-"&amp;LEFT(RIGHTB(REPT(0,4)&amp;_xlfn.BASE(DB07_baselinesequence[[#This Row],[num]],36),4),2)&amp;"-"&amp;RIGHT(RIGHTB(REPT(0,4)&amp;_xlfn.BASE(DB07_baselinesequence[[#This Row],[num]],36),4),2)</f>
        <v>07-00-7Q</v>
      </c>
      <c r="C266" s="1" t="s">
        <v>1514</v>
      </c>
      <c r="F266" s="1" t="s">
        <v>1026</v>
      </c>
      <c r="G266" s="1" t="str">
        <f>_xlfn.XLOOKUP(DB07_baselinesequence[[#This Row],[basesequence-ID]],DB06_baseline[ID],DB06_baseline[Baseline],"",0)</f>
        <v>CGCACTGCAGAGGCAGACGA</v>
      </c>
      <c r="H266" s="1">
        <f>_xlfn.XLOOKUP(DB07_baselinesequence[[#This Row],[basesequence-ID]],DB06_baseline[ID],DB06_baseline[確認済],FALSE,0)</f>
        <v>0</v>
      </c>
      <c r="J266" s="1" t="s">
        <v>1840</v>
      </c>
      <c r="K266" s="4"/>
      <c r="L266" s="3"/>
    </row>
    <row r="267" spans="1:12" x14ac:dyDescent="0.45">
      <c r="A267" s="1">
        <v>279</v>
      </c>
      <c r="B267" s="1" t="str">
        <f>"07-"&amp;LEFT(RIGHTB(REPT(0,4)&amp;_xlfn.BASE(DB07_baselinesequence[[#This Row],[num]],36),4),2)&amp;"-"&amp;RIGHT(RIGHTB(REPT(0,4)&amp;_xlfn.BASE(DB07_baselinesequence[[#This Row],[num]],36),4),2)</f>
        <v>07-00-7R</v>
      </c>
      <c r="C267" s="1" t="s">
        <v>1515</v>
      </c>
      <c r="F267" s="1" t="s">
        <v>1028</v>
      </c>
      <c r="G267" s="1" t="str">
        <f>_xlfn.XLOOKUP(DB07_baselinesequence[[#This Row],[basesequence-ID]],DB06_baseline[ID],DB06_baseline[Baseline],"",0)</f>
        <v>GAGGACGCACTGCAGAGGCA</v>
      </c>
      <c r="H267" s="1">
        <f>_xlfn.XLOOKUP(DB07_baselinesequence[[#This Row],[basesequence-ID]],DB06_baseline[ID],DB06_baseline[確認済],FALSE,0)</f>
        <v>0</v>
      </c>
      <c r="J267" s="1" t="s">
        <v>1841</v>
      </c>
      <c r="K267" s="4"/>
      <c r="L267" s="3"/>
    </row>
    <row r="268" spans="1:12" x14ac:dyDescent="0.45">
      <c r="A268" s="1">
        <v>280</v>
      </c>
      <c r="B268" s="1" t="str">
        <f>"07-"&amp;LEFT(RIGHTB(REPT(0,4)&amp;_xlfn.BASE(DB07_baselinesequence[[#This Row],[num]],36),4),2)&amp;"-"&amp;RIGHT(RIGHTB(REPT(0,4)&amp;_xlfn.BASE(DB07_baselinesequence[[#This Row],[num]],36),4),2)</f>
        <v>07-00-7S</v>
      </c>
      <c r="C268" s="1" t="s">
        <v>1516</v>
      </c>
      <c r="F268" s="1" t="s">
        <v>1030</v>
      </c>
      <c r="G268" s="1" t="str">
        <f>_xlfn.XLOOKUP(DB07_baselinesequence[[#This Row],[basesequence-ID]],DB06_baseline[ID],DB06_baseline[Baseline],"",0)</f>
        <v>CCCCAGAGGACGCACTGCAG</v>
      </c>
      <c r="H268" s="1">
        <f>_xlfn.XLOOKUP(DB07_baselinesequence[[#This Row],[basesequence-ID]],DB06_baseline[ID],DB06_baseline[確認済],FALSE,0)</f>
        <v>0</v>
      </c>
      <c r="J268" s="1" t="s">
        <v>1842</v>
      </c>
      <c r="K268" s="4"/>
      <c r="L268" s="3"/>
    </row>
    <row r="269" spans="1:12" x14ac:dyDescent="0.45">
      <c r="A269" s="1">
        <v>281</v>
      </c>
      <c r="B269" s="1" t="str">
        <f>"07-"&amp;LEFT(RIGHTB(REPT(0,4)&amp;_xlfn.BASE(DB07_baselinesequence[[#This Row],[num]],36),4),2)&amp;"-"&amp;RIGHT(RIGHTB(REPT(0,4)&amp;_xlfn.BASE(DB07_baselinesequence[[#This Row],[num]],36),4),2)</f>
        <v>07-00-7T</v>
      </c>
      <c r="C269" s="1" t="s">
        <v>1517</v>
      </c>
      <c r="F269" s="1" t="s">
        <v>1032</v>
      </c>
      <c r="G269" s="1" t="str">
        <f>_xlfn.XLOOKUP(DB07_baselinesequence[[#This Row],[basesequence-ID]],DB06_baseline[ID],DB06_baseline[Baseline],"",0)</f>
        <v>AGCAGCCCCAGAGGACGCAC</v>
      </c>
      <c r="H269" s="1">
        <f>_xlfn.XLOOKUP(DB07_baselinesequence[[#This Row],[basesequence-ID]],DB06_baseline[ID],DB06_baseline[確認済],FALSE,0)</f>
        <v>0</v>
      </c>
      <c r="J269" s="1" t="s">
        <v>1843</v>
      </c>
      <c r="K269" s="4"/>
      <c r="L269" s="3"/>
    </row>
    <row r="270" spans="1:12" x14ac:dyDescent="0.45">
      <c r="A270" s="1">
        <v>282</v>
      </c>
      <c r="B270" s="1" t="str">
        <f>"07-"&amp;LEFT(RIGHTB(REPT(0,4)&amp;_xlfn.BASE(DB07_baselinesequence[[#This Row],[num]],36),4),2)&amp;"-"&amp;RIGHT(RIGHTB(REPT(0,4)&amp;_xlfn.BASE(DB07_baselinesequence[[#This Row],[num]],36),4),2)</f>
        <v>07-00-7U</v>
      </c>
      <c r="C270" s="1" t="s">
        <v>1518</v>
      </c>
      <c r="F270" s="1" t="s">
        <v>1034</v>
      </c>
      <c r="G270" s="1" t="str">
        <f>_xlfn.XLOOKUP(DB07_baselinesequence[[#This Row],[basesequence-ID]],DB06_baseline[ID],DB06_baseline[Baseline],"",0)</f>
        <v>CAGCAAGCAGCCCCAGAGGA</v>
      </c>
      <c r="H270" s="1">
        <f>_xlfn.XLOOKUP(DB07_baselinesequence[[#This Row],[basesequence-ID]],DB06_baseline[ID],DB06_baseline[確認済],FALSE,0)</f>
        <v>0</v>
      </c>
      <c r="J270" s="1" t="s">
        <v>1844</v>
      </c>
      <c r="K270" s="4"/>
      <c r="L270" s="3"/>
    </row>
    <row r="271" spans="1:12" x14ac:dyDescent="0.45">
      <c r="A271" s="1">
        <v>283</v>
      </c>
      <c r="B271" s="1" t="str">
        <f>"07-"&amp;LEFT(RIGHTB(REPT(0,4)&amp;_xlfn.BASE(DB07_baselinesequence[[#This Row],[num]],36),4),2)&amp;"-"&amp;RIGHT(RIGHTB(REPT(0,4)&amp;_xlfn.BASE(DB07_baselinesequence[[#This Row],[num]],36),4),2)</f>
        <v>07-00-7V</v>
      </c>
      <c r="C271" s="1" t="s">
        <v>1519</v>
      </c>
      <c r="F271" s="1" t="s">
        <v>1036</v>
      </c>
      <c r="G271" s="1" t="str">
        <f>_xlfn.XLOOKUP(DB07_baselinesequence[[#This Row],[basesequence-ID]],DB06_baseline[ID],DB06_baseline[Baseline],"",0)</f>
        <v>GCGGTCAGCAAGCAGCCCCA</v>
      </c>
      <c r="H271" s="1">
        <f>_xlfn.XLOOKUP(DB07_baselinesequence[[#This Row],[basesequence-ID]],DB06_baseline[ID],DB06_baseline[確認済],FALSE,0)</f>
        <v>0</v>
      </c>
      <c r="J271" s="1" t="s">
        <v>1845</v>
      </c>
      <c r="K271" s="4"/>
      <c r="L271" s="3"/>
    </row>
    <row r="272" spans="1:12" x14ac:dyDescent="0.45">
      <c r="A272" s="1">
        <v>284</v>
      </c>
      <c r="B272" s="1" t="str">
        <f>"07-"&amp;LEFT(RIGHTB(REPT(0,4)&amp;_xlfn.BASE(DB07_baselinesequence[[#This Row],[num]],36),4),2)&amp;"-"&amp;RIGHT(RIGHTB(REPT(0,4)&amp;_xlfn.BASE(DB07_baselinesequence[[#This Row],[num]],36),4),2)</f>
        <v>07-00-7W</v>
      </c>
      <c r="C272" s="1" t="s">
        <v>1520</v>
      </c>
      <c r="F272" s="1" t="s">
        <v>1038</v>
      </c>
      <c r="G272" s="1" t="str">
        <f>_xlfn.XLOOKUP(DB07_baselinesequence[[#This Row],[basesequence-ID]],DB06_baseline[ID],DB06_baseline[Baseline],"",0)</f>
        <v>GGACAGCGGTCAGCAAGCAG</v>
      </c>
      <c r="H272" s="1">
        <f>_xlfn.XLOOKUP(DB07_baselinesequence[[#This Row],[basesequence-ID]],DB06_baseline[ID],DB06_baseline[確認済],FALSE,0)</f>
        <v>0</v>
      </c>
      <c r="J272" s="1" t="s">
        <v>1846</v>
      </c>
      <c r="K272" s="4"/>
      <c r="L272" s="3"/>
    </row>
    <row r="273" spans="1:12" x14ac:dyDescent="0.45">
      <c r="A273" s="1">
        <v>285</v>
      </c>
      <c r="B273" s="1" t="str">
        <f>"07-"&amp;LEFT(RIGHTB(REPT(0,4)&amp;_xlfn.BASE(DB07_baselinesequence[[#This Row],[num]],36),4),2)&amp;"-"&amp;RIGHT(RIGHTB(REPT(0,4)&amp;_xlfn.BASE(DB07_baselinesequence[[#This Row],[num]],36),4),2)</f>
        <v>07-00-7X</v>
      </c>
      <c r="C273" s="1" t="s">
        <v>1521</v>
      </c>
      <c r="F273" s="1" t="s">
        <v>1040</v>
      </c>
      <c r="G273" s="1" t="str">
        <f>_xlfn.XLOOKUP(DB07_baselinesequence[[#This Row],[basesequence-ID]],DB06_baseline[ID],DB06_baseline[Baseline],"",0)</f>
        <v>TGGATGGACAGCGGTCAGCA</v>
      </c>
      <c r="H273" s="1">
        <f>_xlfn.XLOOKUP(DB07_baselinesequence[[#This Row],[basesequence-ID]],DB06_baseline[ID],DB06_baseline[確認済],FALSE,0)</f>
        <v>0</v>
      </c>
      <c r="J273" s="1" t="s">
        <v>1847</v>
      </c>
      <c r="K273" s="4"/>
      <c r="L273" s="3"/>
    </row>
    <row r="274" spans="1:12" x14ac:dyDescent="0.45">
      <c r="A274" s="1">
        <v>286</v>
      </c>
      <c r="B274" s="1" t="str">
        <f>"07-"&amp;LEFT(RIGHTB(REPT(0,4)&amp;_xlfn.BASE(DB07_baselinesequence[[#This Row],[num]],36),4),2)&amp;"-"&amp;RIGHT(RIGHTB(REPT(0,4)&amp;_xlfn.BASE(DB07_baselinesequence[[#This Row],[num]],36),4),2)</f>
        <v>07-00-7Y</v>
      </c>
      <c r="C274" s="1" t="s">
        <v>1522</v>
      </c>
      <c r="F274" s="1" t="s">
        <v>1042</v>
      </c>
      <c r="G274" s="1" t="str">
        <f>_xlfn.XLOOKUP(DB07_baselinesequence[[#This Row],[basesequence-ID]],DB06_baseline[ID],DB06_baseline[Baseline],"",0)</f>
        <v>GGTTCTGGATGGACAGCGGT</v>
      </c>
      <c r="H274" s="1">
        <f>_xlfn.XLOOKUP(DB07_baselinesequence[[#This Row],[basesequence-ID]],DB06_baseline[ID],DB06_baseline[確認済],FALSE,0)</f>
        <v>0</v>
      </c>
      <c r="J274" s="1" t="s">
        <v>1848</v>
      </c>
      <c r="K274" s="4"/>
      <c r="L274" s="3"/>
    </row>
    <row r="275" spans="1:12" x14ac:dyDescent="0.45">
      <c r="A275" s="1">
        <v>287</v>
      </c>
      <c r="B275" s="1" t="str">
        <f>"07-"&amp;LEFT(RIGHTB(REPT(0,4)&amp;_xlfn.BASE(DB07_baselinesequence[[#This Row],[num]],36),4),2)&amp;"-"&amp;RIGHT(RIGHTB(REPT(0,4)&amp;_xlfn.BASE(DB07_baselinesequence[[#This Row],[num]],36),4),2)</f>
        <v>07-00-7Z</v>
      </c>
      <c r="C275" s="1" t="s">
        <v>1523</v>
      </c>
      <c r="F275" s="1" t="s">
        <v>1044</v>
      </c>
      <c r="G275" s="1" t="str">
        <f>_xlfn.XLOOKUP(DB07_baselinesequence[[#This Row],[basesequence-ID]],DB06_baseline[ID],DB06_baseline[Baseline],"",0)</f>
        <v>TGGGTGGTTCTGGATGGACA</v>
      </c>
      <c r="H275" s="1">
        <f>_xlfn.XLOOKUP(DB07_baselinesequence[[#This Row],[basesequence-ID]],DB06_baseline[ID],DB06_baseline[確認済],FALSE,0)</f>
        <v>0</v>
      </c>
      <c r="J275" s="1" t="s">
        <v>1849</v>
      </c>
      <c r="K275" s="4"/>
      <c r="L275" s="3"/>
    </row>
    <row r="276" spans="1:12" x14ac:dyDescent="0.45">
      <c r="A276" s="1">
        <v>288</v>
      </c>
      <c r="B276" s="1" t="str">
        <f>"07-"&amp;LEFT(RIGHTB(REPT(0,4)&amp;_xlfn.BASE(DB07_baselinesequence[[#This Row],[num]],36),4),2)&amp;"-"&amp;RIGHT(RIGHTB(REPT(0,4)&amp;_xlfn.BASE(DB07_baselinesequence[[#This Row],[num]],36),4),2)</f>
        <v>07-00-80</v>
      </c>
      <c r="C276" s="1" t="s">
        <v>1524</v>
      </c>
      <c r="F276" s="1" t="s">
        <v>1046</v>
      </c>
      <c r="G276" s="1" t="str">
        <f>_xlfn.XLOOKUP(DB07_baselinesequence[[#This Row],[basesequence-ID]],DB06_baseline[ID],DB06_baseline[Baseline],"",0)</f>
        <v>TGCAGTGGGTGGTTCTGGAT</v>
      </c>
      <c r="H276" s="1">
        <f>_xlfn.XLOOKUP(DB07_baselinesequence[[#This Row],[basesequence-ID]],DB06_baseline[ID],DB06_baseline[確認済],FALSE,0)</f>
        <v>0</v>
      </c>
      <c r="J276" s="1" t="s">
        <v>1850</v>
      </c>
      <c r="K276" s="4"/>
      <c r="L276" s="3"/>
    </row>
    <row r="277" spans="1:12" x14ac:dyDescent="0.45">
      <c r="A277" s="1">
        <v>289</v>
      </c>
      <c r="B277" s="1" t="str">
        <f>"07-"&amp;LEFT(RIGHTB(REPT(0,4)&amp;_xlfn.BASE(DB07_baselinesequence[[#This Row],[num]],36),4),2)&amp;"-"&amp;RIGHT(RIGHTB(REPT(0,4)&amp;_xlfn.BASE(DB07_baselinesequence[[#This Row],[num]],36),4),2)</f>
        <v>07-00-81</v>
      </c>
      <c r="C277" s="1" t="s">
        <v>1525</v>
      </c>
      <c r="F277" s="1" t="s">
        <v>1048</v>
      </c>
      <c r="G277" s="1" t="str">
        <f>_xlfn.XLOOKUP(DB07_baselinesequence[[#This Row],[basesequence-ID]],DB06_baseline[ID],DB06_baseline[Baseline],"",0)</f>
        <v>CTGCATGCAGTGGGTGGTTC</v>
      </c>
      <c r="H277" s="1">
        <f>_xlfn.XLOOKUP(DB07_baselinesequence[[#This Row],[basesequence-ID]],DB06_baseline[ID],DB06_baseline[確認済],FALSE,0)</f>
        <v>0</v>
      </c>
      <c r="J277" s="1" t="s">
        <v>1851</v>
      </c>
      <c r="K277" s="4"/>
      <c r="L277" s="3"/>
    </row>
    <row r="278" spans="1:12" x14ac:dyDescent="0.45">
      <c r="A278" s="1">
        <v>290</v>
      </c>
      <c r="B278" s="1" t="str">
        <f>"07-"&amp;LEFT(RIGHTB(REPT(0,4)&amp;_xlfn.BASE(DB07_baselinesequence[[#This Row],[num]],36),4),2)&amp;"-"&amp;RIGHT(RIGHTB(REPT(0,4)&amp;_xlfn.BASE(DB07_baselinesequence[[#This Row],[num]],36),4),2)</f>
        <v>07-00-82</v>
      </c>
      <c r="C278" s="1" t="s">
        <v>1526</v>
      </c>
      <c r="F278" s="1" t="s">
        <v>1050</v>
      </c>
      <c r="G278" s="1" t="str">
        <f>_xlfn.XLOOKUP(DB07_baselinesequence[[#This Row],[basesequence-ID]],DB06_baseline[ID],DB06_baseline[Baseline],"",0)</f>
        <v>TTTCTCTGCATGCAGTGGGT</v>
      </c>
      <c r="H278" s="1">
        <f>_xlfn.XLOOKUP(DB07_baselinesequence[[#This Row],[basesequence-ID]],DB06_baseline[ID],DB06_baseline[確認済],FALSE,0)</f>
        <v>0</v>
      </c>
      <c r="J278" s="1" t="s">
        <v>1852</v>
      </c>
      <c r="K278" s="4"/>
      <c r="L278" s="3"/>
    </row>
    <row r="279" spans="1:12" x14ac:dyDescent="0.45">
      <c r="A279" s="1">
        <v>291</v>
      </c>
      <c r="B279" s="1" t="str">
        <f>"07-"&amp;LEFT(RIGHTB(REPT(0,4)&amp;_xlfn.BASE(DB07_baselinesequence[[#This Row],[num]],36),4),2)&amp;"-"&amp;RIGHT(RIGHTB(REPT(0,4)&amp;_xlfn.BASE(DB07_baselinesequence[[#This Row],[num]],36),4),2)</f>
        <v>07-00-83</v>
      </c>
      <c r="C279" s="1" t="s">
        <v>1527</v>
      </c>
      <c r="F279" s="1" t="s">
        <v>1052</v>
      </c>
      <c r="G279" s="1" t="str">
        <f>_xlfn.XLOOKUP(DB07_baselinesequence[[#This Row],[basesequence-ID]],DB06_baseline[ID],DB06_baseline[Baseline],"",0)</f>
        <v>CTGTTTTTCTCTGCATGCAG</v>
      </c>
      <c r="H279" s="1">
        <f>_xlfn.XLOOKUP(DB07_baselinesequence[[#This Row],[basesequence-ID]],DB06_baseline[ID],DB06_baseline[確認済],FALSE,0)</f>
        <v>0</v>
      </c>
      <c r="J279" s="1" t="s">
        <v>1853</v>
      </c>
      <c r="K279" s="4"/>
      <c r="L279" s="3"/>
    </row>
    <row r="280" spans="1:12" x14ac:dyDescent="0.45">
      <c r="A280" s="1">
        <v>292</v>
      </c>
      <c r="B280" s="1" t="str">
        <f>"07-"&amp;LEFT(RIGHTB(REPT(0,4)&amp;_xlfn.BASE(DB07_baselinesequence[[#This Row],[num]],36),4),2)&amp;"-"&amp;RIGHT(RIGHTB(REPT(0,4)&amp;_xlfn.BASE(DB07_baselinesequence[[#This Row],[num]],36),4),2)</f>
        <v>07-00-84</v>
      </c>
      <c r="C280" s="1" t="s">
        <v>1528</v>
      </c>
      <c r="F280" s="1" t="s">
        <v>1054</v>
      </c>
      <c r="G280" s="1" t="str">
        <f>_xlfn.XLOOKUP(DB07_baselinesequence[[#This Row],[basesequence-ID]],DB06_baseline[ID],DB06_baseline[Baseline],"",0)</f>
        <v>AGGTACTGTTTTTCTCTGCA</v>
      </c>
      <c r="H280" s="1">
        <f>_xlfn.XLOOKUP(DB07_baselinesequence[[#This Row],[basesequence-ID]],DB06_baseline[ID],DB06_baseline[確認済],FALSE,0)</f>
        <v>0</v>
      </c>
      <c r="J280" s="1" t="s">
        <v>1854</v>
      </c>
      <c r="K280" s="4"/>
      <c r="L280" s="3"/>
    </row>
    <row r="281" spans="1:12" x14ac:dyDescent="0.45">
      <c r="A281" s="1">
        <v>293</v>
      </c>
      <c r="B281" s="1" t="str">
        <f>"07-"&amp;LEFT(RIGHTB(REPT(0,4)&amp;_xlfn.BASE(DB07_baselinesequence[[#This Row],[num]],36),4),2)&amp;"-"&amp;RIGHT(RIGHTB(REPT(0,4)&amp;_xlfn.BASE(DB07_baselinesequence[[#This Row],[num]],36),4),2)</f>
        <v>07-00-85</v>
      </c>
      <c r="C281" s="1" t="s">
        <v>1529</v>
      </c>
      <c r="F281" s="1" t="s">
        <v>1056</v>
      </c>
      <c r="G281" s="1" t="str">
        <f>_xlfn.XLOOKUP(DB07_baselinesequence[[#This Row],[basesequence-ID]],DB06_baseline[ID],DB06_baseline[Baseline],"",0)</f>
        <v>TTATTAGGTACTGTTTTTCT</v>
      </c>
      <c r="H281" s="1">
        <f>_xlfn.XLOOKUP(DB07_baselinesequence[[#This Row],[basesequence-ID]],DB06_baseline[ID],DB06_baseline[確認済],FALSE,0)</f>
        <v>0</v>
      </c>
      <c r="J281" s="1" t="s">
        <v>1855</v>
      </c>
      <c r="K281" s="4"/>
      <c r="L281" s="3"/>
    </row>
    <row r="282" spans="1:12" x14ac:dyDescent="0.45">
      <c r="A282" s="1">
        <v>294</v>
      </c>
      <c r="B282" s="1" t="str">
        <f>"07-"&amp;LEFT(RIGHTB(REPT(0,4)&amp;_xlfn.BASE(DB07_baselinesequence[[#This Row],[num]],36),4),2)&amp;"-"&amp;RIGHT(RIGHTB(REPT(0,4)&amp;_xlfn.BASE(DB07_baselinesequence[[#This Row],[num]],36),4),2)</f>
        <v>07-00-86</v>
      </c>
      <c r="C282" s="1" t="s">
        <v>1530</v>
      </c>
      <c r="F282" s="1" t="s">
        <v>1058</v>
      </c>
      <c r="G282" s="1" t="str">
        <f>_xlfn.XLOOKUP(DB07_baselinesequence[[#This Row],[basesequence-ID]],DB06_baseline[ID],DB06_baseline[Baseline],"",0)</f>
        <v>ACTGTTTATTAGGTACTGTT</v>
      </c>
      <c r="H282" s="1">
        <f>_xlfn.XLOOKUP(DB07_baselinesequence[[#This Row],[basesequence-ID]],DB06_baseline[ID],DB06_baseline[確認済],FALSE,0)</f>
        <v>0</v>
      </c>
      <c r="J282" s="1" t="s">
        <v>1856</v>
      </c>
      <c r="K282" s="4"/>
      <c r="L282" s="3"/>
    </row>
    <row r="283" spans="1:12" x14ac:dyDescent="0.45">
      <c r="A283" s="1">
        <v>295</v>
      </c>
      <c r="B283" s="1" t="str">
        <f>"07-"&amp;LEFT(RIGHTB(REPT(0,4)&amp;_xlfn.BASE(DB07_baselinesequence[[#This Row],[num]],36),4),2)&amp;"-"&amp;RIGHT(RIGHTB(REPT(0,4)&amp;_xlfn.BASE(DB07_baselinesequence[[#This Row],[num]],36),4),2)</f>
        <v>07-00-87</v>
      </c>
      <c r="C283" s="1" t="s">
        <v>1531</v>
      </c>
      <c r="F283" s="1" t="s">
        <v>1060</v>
      </c>
      <c r="G283" s="1" t="str">
        <f>_xlfn.XLOOKUP(DB07_baselinesequence[[#This Row],[basesequence-ID]],DB06_baseline[ID],DB06_baseline[Baseline],"",0)</f>
        <v>CACTGACTGTTTATTAGGTA</v>
      </c>
      <c r="H283" s="1">
        <f>_xlfn.XLOOKUP(DB07_baselinesequence[[#This Row],[basesequence-ID]],DB06_baseline[ID],DB06_baseline[確認済],FALSE,0)</f>
        <v>0</v>
      </c>
      <c r="J283" s="1" t="s">
        <v>1857</v>
      </c>
      <c r="K283" s="4"/>
      <c r="L283" s="3"/>
    </row>
    <row r="284" spans="1:12" x14ac:dyDescent="0.45">
      <c r="A284" s="1">
        <v>296</v>
      </c>
      <c r="B284" s="1" t="str">
        <f>"07-"&amp;LEFT(RIGHTB(REPT(0,4)&amp;_xlfn.BASE(DB07_baselinesequence[[#This Row],[num]],36),4),2)&amp;"-"&amp;RIGHT(RIGHTB(REPT(0,4)&amp;_xlfn.BASE(DB07_baselinesequence[[#This Row],[num]],36),4),2)</f>
        <v>07-00-88</v>
      </c>
      <c r="C284" s="1" t="s">
        <v>1532</v>
      </c>
      <c r="F284" s="1" t="s">
        <v>1062</v>
      </c>
      <c r="G284" s="1" t="str">
        <f>_xlfn.XLOOKUP(DB07_baselinesequence[[#This Row],[basesequence-ID]],DB06_baseline[ID],DB06_baseline[Baseline],"",0)</f>
        <v>AACAGCACTGACTGTTTATT</v>
      </c>
      <c r="H284" s="1">
        <f>_xlfn.XLOOKUP(DB07_baselinesequence[[#This Row],[basesequence-ID]],DB06_baseline[ID],DB06_baseline[確認済],FALSE,0)</f>
        <v>0</v>
      </c>
      <c r="J284" s="1" t="s">
        <v>1858</v>
      </c>
      <c r="K284" s="4"/>
      <c r="L284" s="3"/>
    </row>
    <row r="285" spans="1:12" x14ac:dyDescent="0.45">
      <c r="A285" s="1">
        <v>297</v>
      </c>
      <c r="B285" s="1" t="str">
        <f>"07-"&amp;LEFT(RIGHTB(REPT(0,4)&amp;_xlfn.BASE(DB07_baselinesequence[[#This Row],[num]],36),4),2)&amp;"-"&amp;RIGHT(RIGHTB(REPT(0,4)&amp;_xlfn.BASE(DB07_baselinesequence[[#This Row],[num]],36),4),2)</f>
        <v>07-00-89</v>
      </c>
      <c r="C285" s="1" t="s">
        <v>1533</v>
      </c>
      <c r="F285" s="1" t="s">
        <v>1064</v>
      </c>
      <c r="G285" s="1" t="str">
        <f>_xlfn.XLOOKUP(DB07_baselinesequence[[#This Row],[basesequence-ID]],DB06_baseline[ID],DB06_baseline[Baseline],"",0)</f>
        <v>CAAAGAACAGCACTGACTGT</v>
      </c>
      <c r="H285" s="1">
        <f>_xlfn.XLOOKUP(DB07_baselinesequence[[#This Row],[basesequence-ID]],DB06_baseline[ID],DB06_baseline[確認済],FALSE,0)</f>
        <v>0</v>
      </c>
      <c r="J285" s="1" t="s">
        <v>1859</v>
      </c>
      <c r="K285" s="4"/>
      <c r="L285" s="3"/>
    </row>
    <row r="286" spans="1:12" x14ac:dyDescent="0.45">
      <c r="A286" s="1">
        <v>298</v>
      </c>
      <c r="B286" s="1" t="str">
        <f>"07-"&amp;LEFT(RIGHTB(REPT(0,4)&amp;_xlfn.BASE(DB07_baselinesequence[[#This Row],[num]],36),4),2)&amp;"-"&amp;RIGHT(RIGHTB(REPT(0,4)&amp;_xlfn.BASE(DB07_baselinesequence[[#This Row],[num]],36),4),2)</f>
        <v>07-00-8A</v>
      </c>
      <c r="C286" s="1" t="s">
        <v>1534</v>
      </c>
      <c r="F286" s="1" t="s">
        <v>1066</v>
      </c>
      <c r="G286" s="1" t="str">
        <f>_xlfn.XLOOKUP(DB07_baselinesequence[[#This Row],[basesequence-ID]],DB06_baseline[ID],DB06_baseline[Baseline],"",0)</f>
        <v>TGGCACAAAGAACAGCACTG</v>
      </c>
      <c r="H286" s="1">
        <f>_xlfn.XLOOKUP(DB07_baselinesequence[[#This Row],[basesequence-ID]],DB06_baseline[ID],DB06_baseline[確認済],FALSE,0)</f>
        <v>0</v>
      </c>
      <c r="J286" s="1" t="s">
        <v>1860</v>
      </c>
      <c r="K286" s="4"/>
      <c r="L286" s="3"/>
    </row>
    <row r="287" spans="1:12" x14ac:dyDescent="0.45">
      <c r="A287" s="1">
        <v>299</v>
      </c>
      <c r="B287" s="1" t="str">
        <f>"07-"&amp;LEFT(RIGHTB(REPT(0,4)&amp;_xlfn.BASE(DB07_baselinesequence[[#This Row],[num]],36),4),2)&amp;"-"&amp;RIGHT(RIGHTB(REPT(0,4)&amp;_xlfn.BASE(DB07_baselinesequence[[#This Row],[num]],36),4),2)</f>
        <v>07-00-8B</v>
      </c>
      <c r="C287" s="1" t="s">
        <v>1535</v>
      </c>
      <c r="F287" s="1" t="s">
        <v>1068</v>
      </c>
      <c r="G287" s="1" t="str">
        <f>_xlfn.XLOOKUP(DB07_baselinesequence[[#This Row],[basesequence-ID]],DB06_baseline[ID],DB06_baseline[Baseline],"",0)</f>
        <v>CTGGCTGGCACAAAGAACAG</v>
      </c>
      <c r="H287" s="1">
        <f>_xlfn.XLOOKUP(DB07_baselinesequence[[#This Row],[basesequence-ID]],DB06_baseline[ID],DB06_baseline[確認済],FALSE,0)</f>
        <v>0</v>
      </c>
      <c r="J287" s="1" t="s">
        <v>1861</v>
      </c>
      <c r="K287" s="4"/>
      <c r="L287" s="3"/>
    </row>
    <row r="288" spans="1:12" x14ac:dyDescent="0.45">
      <c r="A288" s="1">
        <v>300</v>
      </c>
      <c r="B288" s="1" t="str">
        <f>"07-"&amp;LEFT(RIGHTB(REPT(0,4)&amp;_xlfn.BASE(DB07_baselinesequence[[#This Row],[num]],36),4),2)&amp;"-"&amp;RIGHT(RIGHTB(REPT(0,4)&amp;_xlfn.BASE(DB07_baselinesequence[[#This Row],[num]],36),4),2)</f>
        <v>07-00-8C</v>
      </c>
      <c r="C288" s="1" t="s">
        <v>1536</v>
      </c>
      <c r="F288" s="1" t="s">
        <v>1070</v>
      </c>
      <c r="G288" s="1" t="str">
        <f>_xlfn.XLOOKUP(DB07_baselinesequence[[#This Row],[basesequence-ID]],DB06_baseline[ID],DB06_baseline[Baseline],"",0)</f>
        <v>CTGTCCTGGCTGGCACAAAG</v>
      </c>
      <c r="H288" s="1">
        <f>_xlfn.XLOOKUP(DB07_baselinesequence[[#This Row],[basesequence-ID]],DB06_baseline[ID],DB06_baseline[確認済],FALSE,0)</f>
        <v>0</v>
      </c>
      <c r="J288" s="1" t="s">
        <v>1862</v>
      </c>
      <c r="K288" s="4"/>
      <c r="L288" s="3"/>
    </row>
    <row r="289" spans="1:12" x14ac:dyDescent="0.45">
      <c r="A289" s="1">
        <v>301</v>
      </c>
      <c r="B289" s="1" t="str">
        <f>"07-"&amp;LEFT(RIGHTB(REPT(0,4)&amp;_xlfn.BASE(DB07_baselinesequence[[#This Row],[num]],36),4),2)&amp;"-"&amp;RIGHT(RIGHTB(REPT(0,4)&amp;_xlfn.BASE(DB07_baselinesequence[[#This Row],[num]],36),4),2)</f>
        <v>07-00-8D</v>
      </c>
      <c r="C289" s="1" t="s">
        <v>1537</v>
      </c>
      <c r="F289" s="1" t="s">
        <v>1072</v>
      </c>
      <c r="G289" s="1" t="str">
        <f>_xlfn.XLOOKUP(DB07_baselinesequence[[#This Row],[basesequence-ID]],DB06_baseline[ID],DB06_baseline[Baseline],"",0)</f>
        <v>AGTTTCTGTCCTGGCTGGCA</v>
      </c>
      <c r="H289" s="1">
        <f>_xlfn.XLOOKUP(DB07_baselinesequence[[#This Row],[basesequence-ID]],DB06_baseline[ID],DB06_baseline[確認済],FALSE,0)</f>
        <v>0</v>
      </c>
      <c r="J289" s="1" t="s">
        <v>1863</v>
      </c>
      <c r="K289" s="4"/>
      <c r="L289" s="3"/>
    </row>
    <row r="290" spans="1:12" x14ac:dyDescent="0.45">
      <c r="A290" s="1">
        <v>302</v>
      </c>
      <c r="B290" s="1" t="str">
        <f>"07-"&amp;LEFT(RIGHTB(REPT(0,4)&amp;_xlfn.BASE(DB07_baselinesequence[[#This Row],[num]],36),4),2)&amp;"-"&amp;RIGHT(RIGHTB(REPT(0,4)&amp;_xlfn.BASE(DB07_baselinesequence[[#This Row],[num]],36),4),2)</f>
        <v>07-00-8E</v>
      </c>
      <c r="C290" s="1" t="s">
        <v>1538</v>
      </c>
      <c r="F290" s="1" t="s">
        <v>1074</v>
      </c>
      <c r="G290" s="1" t="str">
        <f>_xlfn.XLOOKUP(DB07_baselinesequence[[#This Row],[basesequence-ID]],DB06_baseline[ID],DB06_baseline[Baseline],"",0)</f>
        <v>TCACCAGTTTCTGTCCTGGC</v>
      </c>
      <c r="H290" s="1">
        <f>_xlfn.XLOOKUP(DB07_baselinesequence[[#This Row],[basesequence-ID]],DB06_baseline[ID],DB06_baseline[確認済],FALSE,0)</f>
        <v>0</v>
      </c>
      <c r="J290" s="1" t="s">
        <v>1864</v>
      </c>
      <c r="K290" s="4"/>
      <c r="L290" s="3"/>
    </row>
    <row r="291" spans="1:12" x14ac:dyDescent="0.45">
      <c r="A291" s="1">
        <v>303</v>
      </c>
      <c r="B291" s="1" t="str">
        <f>"07-"&amp;LEFT(RIGHTB(REPT(0,4)&amp;_xlfn.BASE(DB07_baselinesequence[[#This Row],[num]],36),4),2)&amp;"-"&amp;RIGHT(RIGHTB(REPT(0,4)&amp;_xlfn.BASE(DB07_baselinesequence[[#This Row],[num]],36),4),2)</f>
        <v>07-00-8F</v>
      </c>
      <c r="C291" s="1" t="s">
        <v>1539</v>
      </c>
      <c r="F291" s="1" t="s">
        <v>1076</v>
      </c>
      <c r="G291" s="1" t="str">
        <f>_xlfn.XLOOKUP(DB07_baselinesequence[[#This Row],[basesequence-ID]],DB06_baseline[ID],DB06_baseline[Baseline],"",0)</f>
        <v>GTCACTCACCAGTTTCTGTC</v>
      </c>
      <c r="H291" s="1">
        <f>_xlfn.XLOOKUP(DB07_baselinesequence[[#This Row],[basesequence-ID]],DB06_baseline[ID],DB06_baseline[確認済],FALSE,0)</f>
        <v>0</v>
      </c>
      <c r="J291" s="1" t="s">
        <v>1865</v>
      </c>
      <c r="K291" s="4"/>
      <c r="L291" s="3"/>
    </row>
    <row r="292" spans="1:12" x14ac:dyDescent="0.45">
      <c r="A292" s="1">
        <v>304</v>
      </c>
      <c r="B292" s="1" t="str">
        <f>"07-"&amp;LEFT(RIGHTB(REPT(0,4)&amp;_xlfn.BASE(DB07_baselinesequence[[#This Row],[num]],36),4),2)&amp;"-"&amp;RIGHT(RIGHTB(REPT(0,4)&amp;_xlfn.BASE(DB07_baselinesequence[[#This Row],[num]],36),4),2)</f>
        <v>07-00-8G</v>
      </c>
      <c r="C292" s="1" t="s">
        <v>1540</v>
      </c>
      <c r="F292" s="1" t="s">
        <v>1078</v>
      </c>
      <c r="G292" s="1" t="str">
        <f>_xlfn.XLOOKUP(DB07_baselinesequence[[#This Row],[basesequence-ID]],DB06_baseline[ID],DB06_baseline[Baseline],"",0)</f>
        <v>GTGCAGTCACTCACCAGTTT</v>
      </c>
      <c r="H292" s="1">
        <f>_xlfn.XLOOKUP(DB07_baselinesequence[[#This Row],[basesequence-ID]],DB06_baseline[ID],DB06_baseline[確認済],FALSE,0)</f>
        <v>0</v>
      </c>
      <c r="J292" s="1" t="s">
        <v>1866</v>
      </c>
      <c r="K292" s="4"/>
      <c r="L292" s="3"/>
    </row>
    <row r="293" spans="1:12" x14ac:dyDescent="0.45">
      <c r="A293" s="1">
        <v>305</v>
      </c>
      <c r="B293" s="1" t="str">
        <f>"07-"&amp;LEFT(RIGHTB(REPT(0,4)&amp;_xlfn.BASE(DB07_baselinesequence[[#This Row],[num]],36),4),2)&amp;"-"&amp;RIGHT(RIGHTB(REPT(0,4)&amp;_xlfn.BASE(DB07_baselinesequence[[#This Row],[num]],36),4),2)</f>
        <v>07-00-8H</v>
      </c>
      <c r="C293" s="1" t="s">
        <v>1541</v>
      </c>
      <c r="F293" s="1" t="s">
        <v>1080</v>
      </c>
      <c r="G293" s="1" t="str">
        <f>_xlfn.XLOOKUP(DB07_baselinesequence[[#This Row],[basesequence-ID]],DB06_baseline[ID],DB06_baseline[Baseline],"",0)</f>
        <v>ACTCTGTGCAGTCACTCACC</v>
      </c>
      <c r="H293" s="1">
        <f>_xlfn.XLOOKUP(DB07_baselinesequence[[#This Row],[basesequence-ID]],DB06_baseline[ID],DB06_baseline[確認済],FALSE,0)</f>
        <v>0</v>
      </c>
      <c r="J293" s="1" t="s">
        <v>1867</v>
      </c>
      <c r="K293" s="4"/>
      <c r="L293" s="3"/>
    </row>
    <row r="294" spans="1:12" x14ac:dyDescent="0.45">
      <c r="A294" s="1">
        <v>306</v>
      </c>
      <c r="B294" s="1" t="str">
        <f>"07-"&amp;LEFT(RIGHTB(REPT(0,4)&amp;_xlfn.BASE(DB07_baselinesequence[[#This Row],[num]],36),4),2)&amp;"-"&amp;RIGHT(RIGHTB(REPT(0,4)&amp;_xlfn.BASE(DB07_baselinesequence[[#This Row],[num]],36),4),2)</f>
        <v>07-00-8I</v>
      </c>
      <c r="C294" s="1" t="s">
        <v>1542</v>
      </c>
      <c r="F294" s="1" t="s">
        <v>1082</v>
      </c>
      <c r="G294" s="1" t="str">
        <f>_xlfn.XLOOKUP(DB07_baselinesequence[[#This Row],[basesequence-ID]],DB06_baseline[ID],DB06_baseline[Baseline],"",0)</f>
        <v>AGTGAACTCTGTGCAGTCAC</v>
      </c>
      <c r="H294" s="1">
        <f>_xlfn.XLOOKUP(DB07_baselinesequence[[#This Row],[basesequence-ID]],DB06_baseline[ID],DB06_baseline[確認済],FALSE,0)</f>
        <v>0</v>
      </c>
      <c r="J294" s="1" t="s">
        <v>1868</v>
      </c>
      <c r="K294" s="4"/>
      <c r="L294" s="3"/>
    </row>
    <row r="295" spans="1:12" x14ac:dyDescent="0.45">
      <c r="A295" s="1">
        <v>307</v>
      </c>
      <c r="B295" s="1" t="str">
        <f>"07-"&amp;LEFT(RIGHTB(REPT(0,4)&amp;_xlfn.BASE(DB07_baselinesequence[[#This Row],[num]],36),4),2)&amp;"-"&amp;RIGHT(RIGHTB(REPT(0,4)&amp;_xlfn.BASE(DB07_baselinesequence[[#This Row],[num]],36),4),2)</f>
        <v>07-00-8J</v>
      </c>
      <c r="C295" s="1" t="s">
        <v>1543</v>
      </c>
      <c r="F295" s="1" t="s">
        <v>1084</v>
      </c>
      <c r="G295" s="1" t="str">
        <f>_xlfn.XLOOKUP(DB07_baselinesequence[[#This Row],[basesequence-ID]],DB06_baseline[ID],DB06_baseline[Baseline],"",0)</f>
        <v>GTTTCAGTGAACTCTGTGCA</v>
      </c>
      <c r="H295" s="1">
        <f>_xlfn.XLOOKUP(DB07_baselinesequence[[#This Row],[basesequence-ID]],DB06_baseline[ID],DB06_baseline[確認済],FALSE,0)</f>
        <v>0</v>
      </c>
      <c r="J295" s="1" t="s">
        <v>1869</v>
      </c>
      <c r="K295" s="4"/>
      <c r="L295" s="3"/>
    </row>
    <row r="296" spans="1:12" x14ac:dyDescent="0.45">
      <c r="A296" s="1">
        <v>308</v>
      </c>
      <c r="B296" s="1" t="str">
        <f>"07-"&amp;LEFT(RIGHTB(REPT(0,4)&amp;_xlfn.BASE(DB07_baselinesequence[[#This Row],[num]],36),4),2)&amp;"-"&amp;RIGHT(RIGHTB(REPT(0,4)&amp;_xlfn.BASE(DB07_baselinesequence[[#This Row],[num]],36),4),2)</f>
        <v>07-00-8K</v>
      </c>
      <c r="C296" s="1" t="s">
        <v>1544</v>
      </c>
      <c r="F296" s="1" t="s">
        <v>1086</v>
      </c>
      <c r="G296" s="1" t="str">
        <f>_xlfn.XLOOKUP(DB07_baselinesequence[[#This Row],[basesequence-ID]],DB06_baseline[ID],DB06_baseline[Baseline],"",0)</f>
        <v>ATTCCGTTTCAGTGAACTCT</v>
      </c>
      <c r="H296" s="1">
        <f>_xlfn.XLOOKUP(DB07_baselinesequence[[#This Row],[basesequence-ID]],DB06_baseline[ID],DB06_baseline[確認済],FALSE,0)</f>
        <v>0</v>
      </c>
      <c r="J296" s="1" t="s">
        <v>1870</v>
      </c>
      <c r="K296" s="4"/>
      <c r="L296" s="3"/>
    </row>
    <row r="297" spans="1:12" x14ac:dyDescent="0.45">
      <c r="A297" s="1">
        <v>309</v>
      </c>
      <c r="B297" s="1" t="str">
        <f>"07-"&amp;LEFT(RIGHTB(REPT(0,4)&amp;_xlfn.BASE(DB07_baselinesequence[[#This Row],[num]],36),4),2)&amp;"-"&amp;RIGHT(RIGHTB(REPT(0,4)&amp;_xlfn.BASE(DB07_baselinesequence[[#This Row],[num]],36),4),2)</f>
        <v>07-00-8L</v>
      </c>
      <c r="C297" s="1" t="s">
        <v>1545</v>
      </c>
      <c r="F297" s="1" t="s">
        <v>1088</v>
      </c>
      <c r="G297" s="1" t="str">
        <f>_xlfn.XLOOKUP(DB07_baselinesequence[[#This Row],[basesequence-ID]],DB06_baseline[ID],DB06_baseline[Baseline],"",0)</f>
        <v>AAGGCATTCCGTTTCAGTGA</v>
      </c>
      <c r="H297" s="1">
        <f>_xlfn.XLOOKUP(DB07_baselinesequence[[#This Row],[basesequence-ID]],DB06_baseline[ID],DB06_baseline[確認済],FALSE,0)</f>
        <v>0</v>
      </c>
      <c r="J297" s="1" t="s">
        <v>1871</v>
      </c>
      <c r="K297" s="4"/>
      <c r="L297" s="3"/>
    </row>
    <row r="298" spans="1:12" x14ac:dyDescent="0.45">
      <c r="A298" s="1">
        <v>310</v>
      </c>
      <c r="B298" s="1" t="str">
        <f>"07-"&amp;LEFT(RIGHTB(REPT(0,4)&amp;_xlfn.BASE(DB07_baselinesequence[[#This Row],[num]],36),4),2)&amp;"-"&amp;RIGHT(RIGHTB(REPT(0,4)&amp;_xlfn.BASE(DB07_baselinesequence[[#This Row],[num]],36),4),2)</f>
        <v>07-00-8M</v>
      </c>
      <c r="C298" s="1" t="s">
        <v>1546</v>
      </c>
      <c r="F298" s="1" t="s">
        <v>1090</v>
      </c>
      <c r="G298" s="1" t="str">
        <f>_xlfn.XLOOKUP(DB07_baselinesequence[[#This Row],[basesequence-ID]],DB06_baseline[ID],DB06_baseline[Baseline],"",0)</f>
        <v>CAAGGAAGGCATTCCGTTTC</v>
      </c>
      <c r="H298" s="1">
        <f>_xlfn.XLOOKUP(DB07_baselinesequence[[#This Row],[basesequence-ID]],DB06_baseline[ID],DB06_baseline[確認済],FALSE,0)</f>
        <v>0</v>
      </c>
      <c r="J298" s="1" t="s">
        <v>1872</v>
      </c>
      <c r="K298" s="4"/>
      <c r="L298" s="3"/>
    </row>
    <row r="299" spans="1:12" x14ac:dyDescent="0.45">
      <c r="A299" s="1">
        <v>311</v>
      </c>
      <c r="B299" s="1" t="str">
        <f>"07-"&amp;LEFT(RIGHTB(REPT(0,4)&amp;_xlfn.BASE(DB07_baselinesequence[[#This Row],[num]],36),4),2)&amp;"-"&amp;RIGHT(RIGHTB(REPT(0,4)&amp;_xlfn.BASE(DB07_baselinesequence[[#This Row],[num]],36),4),2)</f>
        <v>07-00-8N</v>
      </c>
      <c r="C299" s="1" t="s">
        <v>1547</v>
      </c>
      <c r="F299" s="1" t="s">
        <v>1092</v>
      </c>
      <c r="G299" s="1" t="str">
        <f>_xlfn.XLOOKUP(DB07_baselinesequence[[#This Row],[basesequence-ID]],DB06_baseline[ID],DB06_baseline[Baseline],"",0)</f>
        <v>CACCGCAAGGAAGGCATTCC</v>
      </c>
      <c r="H299" s="1">
        <f>_xlfn.XLOOKUP(DB07_baselinesequence[[#This Row],[basesequence-ID]],DB06_baseline[ID],DB06_baseline[確認済],FALSE,0)</f>
        <v>0</v>
      </c>
      <c r="J299" s="1" t="s">
        <v>1873</v>
      </c>
      <c r="K299" s="4"/>
      <c r="L299" s="3"/>
    </row>
    <row r="300" spans="1:12" x14ac:dyDescent="0.45">
      <c r="A300" s="1">
        <v>312</v>
      </c>
      <c r="B300" s="1" t="str">
        <f>"07-"&amp;LEFT(RIGHTB(REPT(0,4)&amp;_xlfn.BASE(DB07_baselinesequence[[#This Row],[num]],36),4),2)&amp;"-"&amp;RIGHT(RIGHTB(REPT(0,4)&amp;_xlfn.BASE(DB07_baselinesequence[[#This Row],[num]],36),4),2)</f>
        <v>07-00-8O</v>
      </c>
      <c r="C300" s="1" t="s">
        <v>1548</v>
      </c>
      <c r="F300" s="1" t="s">
        <v>1094</v>
      </c>
      <c r="G300" s="1" t="str">
        <f>_xlfn.XLOOKUP(DB07_baselinesequence[[#This Row],[basesequence-ID]],DB06_baseline[ID],DB06_baseline[Baseline],"",0)</f>
        <v>GCTTTCACCGCAAGGAAGGC</v>
      </c>
      <c r="H300" s="1">
        <f>_xlfn.XLOOKUP(DB07_baselinesequence[[#This Row],[basesequence-ID]],DB06_baseline[ID],DB06_baseline[確認済],FALSE,0)</f>
        <v>0</v>
      </c>
      <c r="J300" s="1" t="s">
        <v>1874</v>
      </c>
      <c r="K300" s="4"/>
      <c r="L300" s="3"/>
    </row>
    <row r="301" spans="1:12" x14ac:dyDescent="0.45">
      <c r="A301" s="1">
        <v>313</v>
      </c>
      <c r="B301" s="1" t="str">
        <f>"07-"&amp;LEFT(RIGHTB(REPT(0,4)&amp;_xlfn.BASE(DB07_baselinesequence[[#This Row],[num]],36),4),2)&amp;"-"&amp;RIGHT(RIGHTB(REPT(0,4)&amp;_xlfn.BASE(DB07_baselinesequence[[#This Row],[num]],36),4),2)</f>
        <v>07-00-8P</v>
      </c>
      <c r="C301" s="1" t="s">
        <v>1549</v>
      </c>
      <c r="F301" s="1" t="s">
        <v>1096</v>
      </c>
      <c r="G301" s="1" t="str">
        <f>_xlfn.XLOOKUP(DB07_baselinesequence[[#This Row],[basesequence-ID]],DB06_baseline[ID],DB06_baseline[Baseline],"",0)</f>
        <v>AATTCGCTTTCACCGCAAGG</v>
      </c>
      <c r="H301" s="1">
        <f>_xlfn.XLOOKUP(DB07_baselinesequence[[#This Row],[basesequence-ID]],DB06_baseline[ID],DB06_baseline[確認済],FALSE,0)</f>
        <v>0</v>
      </c>
      <c r="J301" s="1" t="s">
        <v>1875</v>
      </c>
      <c r="K301" s="4"/>
      <c r="L301" s="3"/>
    </row>
    <row r="302" spans="1:12" x14ac:dyDescent="0.45">
      <c r="A302" s="1">
        <v>314</v>
      </c>
      <c r="B302" s="1" t="str">
        <f>"07-"&amp;LEFT(RIGHTB(REPT(0,4)&amp;_xlfn.BASE(DB07_baselinesequence[[#This Row],[num]],36),4),2)&amp;"-"&amp;RIGHT(RIGHTB(REPT(0,4)&amp;_xlfn.BASE(DB07_baselinesequence[[#This Row],[num]],36),4),2)</f>
        <v>07-00-8Q</v>
      </c>
      <c r="C302" s="1" t="s">
        <v>1550</v>
      </c>
      <c r="F302" s="1" t="s">
        <v>1098</v>
      </c>
      <c r="G302" s="1" t="str">
        <f>_xlfn.XLOOKUP(DB07_baselinesequence[[#This Row],[basesequence-ID]],DB06_baseline[ID],DB06_baseline[Baseline],"",0)</f>
        <v>CTAGGAATTCGCTTTCACCG</v>
      </c>
      <c r="H302" s="1">
        <f>_xlfn.XLOOKUP(DB07_baselinesequence[[#This Row],[basesequence-ID]],DB06_baseline[ID],DB06_baseline[確認済],FALSE,0)</f>
        <v>0</v>
      </c>
      <c r="J302" s="1" t="s">
        <v>1876</v>
      </c>
      <c r="K302" s="4"/>
      <c r="L302" s="3"/>
    </row>
    <row r="303" spans="1:12" x14ac:dyDescent="0.45">
      <c r="A303" s="1">
        <v>315</v>
      </c>
      <c r="B303" s="1" t="str">
        <f>"07-"&amp;LEFT(RIGHTB(REPT(0,4)&amp;_xlfn.BASE(DB07_baselinesequence[[#This Row],[num]],36),4),2)&amp;"-"&amp;RIGHT(RIGHTB(REPT(0,4)&amp;_xlfn.BASE(DB07_baselinesequence[[#This Row],[num]],36),4),2)</f>
        <v>07-00-8R</v>
      </c>
      <c r="C303" s="1" t="s">
        <v>1551</v>
      </c>
      <c r="F303" s="1" t="s">
        <v>1100</v>
      </c>
      <c r="G303" s="1" t="str">
        <f>_xlfn.XLOOKUP(DB07_baselinesequence[[#This Row],[basesequence-ID]],DB06_baseline[ID],DB06_baseline[Baseline],"",0)</f>
        <v>GGTGTCTAGGAATTCGCTTT</v>
      </c>
      <c r="H303" s="1">
        <f>_xlfn.XLOOKUP(DB07_baselinesequence[[#This Row],[basesequence-ID]],DB06_baseline[ID],DB06_baseline[確認済],FALSE,0)</f>
        <v>0</v>
      </c>
      <c r="J303" s="1" t="s">
        <v>1877</v>
      </c>
      <c r="K303" s="4"/>
      <c r="L303" s="3"/>
    </row>
    <row r="304" spans="1:12" x14ac:dyDescent="0.45">
      <c r="A304" s="1">
        <v>316</v>
      </c>
      <c r="B304" s="1" t="str">
        <f>"07-"&amp;LEFT(RIGHTB(REPT(0,4)&amp;_xlfn.BASE(DB07_baselinesequence[[#This Row],[num]],36),4),2)&amp;"-"&amp;RIGHT(RIGHTB(REPT(0,4)&amp;_xlfn.BASE(DB07_baselinesequence[[#This Row],[num]],36),4),2)</f>
        <v>07-00-8S</v>
      </c>
      <c r="C304" s="1" t="s">
        <v>1552</v>
      </c>
      <c r="F304" s="1" t="s">
        <v>1102</v>
      </c>
      <c r="G304" s="1" t="str">
        <f>_xlfn.XLOOKUP(DB07_baselinesequence[[#This Row],[basesequence-ID]],DB06_baseline[ID],DB06_baseline[Baseline],"",0)</f>
        <v>TTCCAGGTGTCTAGGAATTC</v>
      </c>
      <c r="H304" s="1">
        <f>_xlfn.XLOOKUP(DB07_baselinesequence[[#This Row],[basesequence-ID]],DB06_baseline[ID],DB06_baseline[確認済],FALSE,0)</f>
        <v>0</v>
      </c>
      <c r="J304" s="1" t="s">
        <v>1878</v>
      </c>
      <c r="K304" s="4"/>
      <c r="L304" s="3"/>
    </row>
    <row r="305" spans="1:12" x14ac:dyDescent="0.45">
      <c r="A305" s="1">
        <v>317</v>
      </c>
      <c r="B305" s="1" t="str">
        <f>"07-"&amp;LEFT(RIGHTB(REPT(0,4)&amp;_xlfn.BASE(DB07_baselinesequence[[#This Row],[num]],36),4),2)&amp;"-"&amp;RIGHT(RIGHTB(REPT(0,4)&amp;_xlfn.BASE(DB07_baselinesequence[[#This Row],[num]],36),4),2)</f>
        <v>07-00-8T</v>
      </c>
      <c r="C305" s="1" t="s">
        <v>1553</v>
      </c>
      <c r="F305" s="1" t="s">
        <v>1104</v>
      </c>
      <c r="G305" s="1" t="str">
        <f>_xlfn.XLOOKUP(DB07_baselinesequence[[#This Row],[basesequence-ID]],DB06_baseline[ID],DB06_baseline[Baseline],"",0)</f>
        <v>CTCTGTTCCAGGTGTCTAGG</v>
      </c>
      <c r="H305" s="1">
        <f>_xlfn.XLOOKUP(DB07_baselinesequence[[#This Row],[basesequence-ID]],DB06_baseline[ID],DB06_baseline[確認済],FALSE,0)</f>
        <v>0</v>
      </c>
      <c r="J305" s="1" t="s">
        <v>1879</v>
      </c>
      <c r="K305" s="4"/>
      <c r="L305" s="3"/>
    </row>
    <row r="306" spans="1:12" x14ac:dyDescent="0.45">
      <c r="A306" s="1">
        <v>318</v>
      </c>
      <c r="B306" s="1" t="str">
        <f>"07-"&amp;LEFT(RIGHTB(REPT(0,4)&amp;_xlfn.BASE(DB07_baselinesequence[[#This Row],[num]],36),4),2)&amp;"-"&amp;RIGHT(RIGHTB(REPT(0,4)&amp;_xlfn.BASE(DB07_baselinesequence[[#This Row],[num]],36),4),2)</f>
        <v>07-00-8U</v>
      </c>
      <c r="C306" s="1" t="s">
        <v>1554</v>
      </c>
      <c r="F306" s="1" t="s">
        <v>1106</v>
      </c>
      <c r="G306" s="1" t="str">
        <f>_xlfn.XLOOKUP(DB07_baselinesequence[[#This Row],[basesequence-ID]],DB06_baseline[ID],DB06_baseline[Baseline],"",0)</f>
        <v>TGTCTCTCTGTTCCAGGTGT</v>
      </c>
      <c r="H306" s="1">
        <f>_xlfn.XLOOKUP(DB07_baselinesequence[[#This Row],[basesequence-ID]],DB06_baseline[ID],DB06_baseline[確認済],FALSE,0)</f>
        <v>0</v>
      </c>
      <c r="J306" s="1" t="s">
        <v>1880</v>
      </c>
      <c r="K306" s="4"/>
      <c r="L306" s="3"/>
    </row>
    <row r="307" spans="1:12" x14ac:dyDescent="0.45">
      <c r="A307" s="1">
        <v>319</v>
      </c>
      <c r="B307" s="1" t="str">
        <f>"07-"&amp;LEFT(RIGHTB(REPT(0,4)&amp;_xlfn.BASE(DB07_baselinesequence[[#This Row],[num]],36),4),2)&amp;"-"&amp;RIGHT(RIGHTB(REPT(0,4)&amp;_xlfn.BASE(DB07_baselinesequence[[#This Row],[num]],36),4),2)</f>
        <v>07-00-8V</v>
      </c>
      <c r="C307" s="1" t="s">
        <v>1555</v>
      </c>
      <c r="F307" s="1" t="s">
        <v>1108</v>
      </c>
      <c r="G307" s="1" t="str">
        <f>_xlfn.XLOOKUP(DB07_baselinesequence[[#This Row],[basesequence-ID]],DB06_baseline[ID],DB06_baseline[Baseline],"",0)</f>
        <v>CAGTGTGTCTCTCTGTTCCA</v>
      </c>
      <c r="H307" s="1">
        <f>_xlfn.XLOOKUP(DB07_baselinesequence[[#This Row],[basesequence-ID]],DB06_baseline[ID],DB06_baseline[確認済],FALSE,0)</f>
        <v>0</v>
      </c>
      <c r="J307" s="1" t="s">
        <v>1881</v>
      </c>
      <c r="K307" s="4"/>
      <c r="L307" s="3"/>
    </row>
    <row r="308" spans="1:12" x14ac:dyDescent="0.45">
      <c r="A308" s="1">
        <v>320</v>
      </c>
      <c r="B308" s="1" t="str">
        <f>"07-"&amp;LEFT(RIGHTB(REPT(0,4)&amp;_xlfn.BASE(DB07_baselinesequence[[#This Row],[num]],36),4),2)&amp;"-"&amp;RIGHT(RIGHTB(REPT(0,4)&amp;_xlfn.BASE(DB07_baselinesequence[[#This Row],[num]],36),4),2)</f>
        <v>07-00-8W</v>
      </c>
      <c r="C308" s="1" t="s">
        <v>1556</v>
      </c>
      <c r="F308" s="1" t="s">
        <v>1110</v>
      </c>
      <c r="G308" s="1" t="str">
        <f>_xlfn.XLOOKUP(DB07_baselinesequence[[#This Row],[basesequence-ID]],DB06_baseline[ID],DB06_baseline[Baseline],"",0)</f>
        <v>GGTGGCAGTGTGTCTCTCTG</v>
      </c>
      <c r="H308" s="1">
        <f>_xlfn.XLOOKUP(DB07_baselinesequence[[#This Row],[basesequence-ID]],DB06_baseline[ID],DB06_baseline[確認済],FALSE,0)</f>
        <v>0</v>
      </c>
      <c r="J308" s="1" t="s">
        <v>1882</v>
      </c>
      <c r="K308" s="4"/>
      <c r="L308" s="3"/>
    </row>
    <row r="309" spans="1:12" x14ac:dyDescent="0.45">
      <c r="A309" s="1">
        <v>321</v>
      </c>
      <c r="B309" s="1" t="str">
        <f>"07-"&amp;LEFT(RIGHTB(REPT(0,4)&amp;_xlfn.BASE(DB07_baselinesequence[[#This Row],[num]],36),4),2)&amp;"-"&amp;RIGHT(RIGHTB(REPT(0,4)&amp;_xlfn.BASE(DB07_baselinesequence[[#This Row],[num]],36),4),2)</f>
        <v>07-00-8X</v>
      </c>
      <c r="C309" s="1" t="s">
        <v>1557</v>
      </c>
      <c r="F309" s="1" t="s">
        <v>1112</v>
      </c>
      <c r="G309" s="1" t="str">
        <f>_xlfn.XLOOKUP(DB07_baselinesequence[[#This Row],[basesequence-ID]],DB06_baseline[ID],DB06_baseline[Baseline],"",0)</f>
        <v>GTGCTGGTGGCAGTGTGTCT</v>
      </c>
      <c r="H309" s="1">
        <f>_xlfn.XLOOKUP(DB07_baselinesequence[[#This Row],[basesequence-ID]],DB06_baseline[ID],DB06_baseline[確認済],FALSE,0)</f>
        <v>0</v>
      </c>
      <c r="J309" s="1" t="s">
        <v>1883</v>
      </c>
      <c r="K309" s="4"/>
      <c r="L309" s="3"/>
    </row>
    <row r="310" spans="1:12" x14ac:dyDescent="0.45">
      <c r="A310" s="1">
        <v>322</v>
      </c>
      <c r="B310" s="1" t="str">
        <f>"07-"&amp;LEFT(RIGHTB(REPT(0,4)&amp;_xlfn.BASE(DB07_baselinesequence[[#This Row],[num]],36),4),2)&amp;"-"&amp;RIGHT(RIGHTB(REPT(0,4)&amp;_xlfn.BASE(DB07_baselinesequence[[#This Row],[num]],36),4),2)</f>
        <v>07-00-8Y</v>
      </c>
      <c r="C310" s="1" t="s">
        <v>1558</v>
      </c>
      <c r="F310" s="1" t="s">
        <v>1114</v>
      </c>
      <c r="G310" s="1" t="str">
        <f>_xlfn.XLOOKUP(DB07_baselinesequence[[#This Row],[basesequence-ID]],DB06_baseline[ID],DB06_baseline[Baseline],"",0)</f>
        <v>TATTTGTGCTGGTGGCAGTG</v>
      </c>
      <c r="H310" s="1">
        <f>_xlfn.XLOOKUP(DB07_baselinesequence[[#This Row],[basesequence-ID]],DB06_baseline[ID],DB06_baseline[確認済],FALSE,0)</f>
        <v>0</v>
      </c>
      <c r="J310" s="1" t="s">
        <v>1884</v>
      </c>
      <c r="K310" s="4"/>
      <c r="L310" s="3"/>
    </row>
    <row r="311" spans="1:12" x14ac:dyDescent="0.45">
      <c r="A311" s="1">
        <v>323</v>
      </c>
      <c r="B311" s="1" t="str">
        <f>"07-"&amp;LEFT(RIGHTB(REPT(0,4)&amp;_xlfn.BASE(DB07_baselinesequence[[#This Row],[num]],36),4),2)&amp;"-"&amp;RIGHT(RIGHTB(REPT(0,4)&amp;_xlfn.BASE(DB07_baselinesequence[[#This Row],[num]],36),4),2)</f>
        <v>07-00-8Z</v>
      </c>
      <c r="C311" s="1" t="s">
        <v>1559</v>
      </c>
      <c r="F311" s="1" t="s">
        <v>1116</v>
      </c>
      <c r="G311" s="1" t="str">
        <f>_xlfn.XLOOKUP(DB07_baselinesequence[[#This Row],[basesequence-ID]],DB06_baseline[ID],DB06_baseline[Baseline],"",0)</f>
        <v>CGCAGTATTTGTGCTGGTGG</v>
      </c>
      <c r="H311" s="1">
        <f>_xlfn.XLOOKUP(DB07_baselinesequence[[#This Row],[basesequence-ID]],DB06_baseline[ID],DB06_baseline[確認済],FALSE,0)</f>
        <v>0</v>
      </c>
      <c r="J311" s="1" t="s">
        <v>1885</v>
      </c>
      <c r="K311" s="4"/>
      <c r="L311" s="3"/>
    </row>
    <row r="312" spans="1:12" x14ac:dyDescent="0.45">
      <c r="A312" s="1">
        <v>324</v>
      </c>
      <c r="B312" s="1" t="str">
        <f>"07-"&amp;LEFT(RIGHTB(REPT(0,4)&amp;_xlfn.BASE(DB07_baselinesequence[[#This Row],[num]],36),4),2)&amp;"-"&amp;RIGHT(RIGHTB(REPT(0,4)&amp;_xlfn.BASE(DB07_baselinesequence[[#This Row],[num]],36),4),2)</f>
        <v>07-00-90</v>
      </c>
      <c r="C312" s="1" t="s">
        <v>1560</v>
      </c>
      <c r="F312" s="1" t="s">
        <v>1118</v>
      </c>
      <c r="G312" s="1" t="str">
        <f>_xlfn.XLOOKUP(DB07_baselinesequence[[#This Row],[basesequence-ID]],DB06_baseline[ID],DB06_baseline[Baseline],"",0)</f>
        <v>GGGGTCGCAGTATTTGTGCT</v>
      </c>
      <c r="H312" s="1">
        <f>_xlfn.XLOOKUP(DB07_baselinesequence[[#This Row],[basesequence-ID]],DB06_baseline[ID],DB06_baseline[確認済],FALSE,0)</f>
        <v>0</v>
      </c>
      <c r="J312" s="1" t="s">
        <v>1886</v>
      </c>
      <c r="K312" s="4"/>
      <c r="L312" s="3"/>
    </row>
    <row r="313" spans="1:12" x14ac:dyDescent="0.45">
      <c r="A313" s="1">
        <v>325</v>
      </c>
      <c r="B313" s="1" t="str">
        <f>"07-"&amp;LEFT(RIGHTB(REPT(0,4)&amp;_xlfn.BASE(DB07_baselinesequence[[#This Row],[num]],36),4),2)&amp;"-"&amp;RIGHT(RIGHTB(REPT(0,4)&amp;_xlfn.BASE(DB07_baselinesequence[[#This Row],[num]],36),4),2)</f>
        <v>07-00-91</v>
      </c>
      <c r="C313" s="1" t="s">
        <v>1561</v>
      </c>
      <c r="F313" s="1" t="s">
        <v>1120</v>
      </c>
      <c r="G313" s="1" t="str">
        <f>_xlfn.XLOOKUP(DB07_baselinesequence[[#This Row],[basesequence-ID]],DB06_baseline[ID],DB06_baseline[Baseline],"",0)</f>
        <v>AGGTTGGGGTCGCAGTATTT</v>
      </c>
      <c r="H313" s="1">
        <f>_xlfn.XLOOKUP(DB07_baselinesequence[[#This Row],[basesequence-ID]],DB06_baseline[ID],DB06_baseline[確認済],FALSE,0)</f>
        <v>0</v>
      </c>
      <c r="J313" s="1" t="s">
        <v>1887</v>
      </c>
      <c r="K313" s="4"/>
      <c r="L313" s="3"/>
    </row>
    <row r="314" spans="1:12" x14ac:dyDescent="0.45">
      <c r="A314" s="1">
        <v>326</v>
      </c>
      <c r="B314" s="1" t="str">
        <f>"07-"&amp;LEFT(RIGHTB(REPT(0,4)&amp;_xlfn.BASE(DB07_baselinesequence[[#This Row],[num]],36),4),2)&amp;"-"&amp;RIGHT(RIGHTB(REPT(0,4)&amp;_xlfn.BASE(DB07_baselinesequence[[#This Row],[num]],36),4),2)</f>
        <v>07-00-92</v>
      </c>
      <c r="C314" s="1" t="s">
        <v>1562</v>
      </c>
      <c r="F314" s="1" t="s">
        <v>1122</v>
      </c>
      <c r="G314" s="1" t="str">
        <f>_xlfn.XLOOKUP(DB07_baselinesequence[[#This Row],[basesequence-ID]],DB06_baseline[ID],DB06_baseline[Baseline],"",0)</f>
        <v>GCCCTAGGTTGGGGTCGCAG</v>
      </c>
      <c r="H314" s="1">
        <f>_xlfn.XLOOKUP(DB07_baselinesequence[[#This Row],[basesequence-ID]],DB06_baseline[ID],DB06_baseline[確認済],FALSE,0)</f>
        <v>0</v>
      </c>
      <c r="J314" s="1" t="s">
        <v>1888</v>
      </c>
      <c r="K314" s="4"/>
      <c r="L314" s="3"/>
    </row>
    <row r="315" spans="1:12" x14ac:dyDescent="0.45">
      <c r="A315" s="1">
        <v>327</v>
      </c>
      <c r="B315" s="1" t="str">
        <f>"07-"&amp;LEFT(RIGHTB(REPT(0,4)&amp;_xlfn.BASE(DB07_baselinesequence[[#This Row],[num]],36),4),2)&amp;"-"&amp;RIGHT(RIGHTB(REPT(0,4)&amp;_xlfn.BASE(DB07_baselinesequence[[#This Row],[num]],36),4),2)</f>
        <v>07-00-93</v>
      </c>
      <c r="C315" s="1" t="s">
        <v>1563</v>
      </c>
      <c r="F315" s="1" t="s">
        <v>1124</v>
      </c>
      <c r="G315" s="1" t="str">
        <f>_xlfn.XLOOKUP(DB07_baselinesequence[[#This Row],[basesequence-ID]],DB06_baseline[ID],DB06_baseline[Baseline],"",0)</f>
        <v>CCGAAGCCCTAGGTTGGGGT</v>
      </c>
      <c r="H315" s="1">
        <f>_xlfn.XLOOKUP(DB07_baselinesequence[[#This Row],[basesequence-ID]],DB06_baseline[ID],DB06_baseline[確認済],FALSE,0)</f>
        <v>0</v>
      </c>
      <c r="J315" s="1" t="s">
        <v>1889</v>
      </c>
      <c r="K315" s="4"/>
      <c r="L315" s="3"/>
    </row>
    <row r="316" spans="1:12" x14ac:dyDescent="0.45">
      <c r="A316" s="1">
        <v>328</v>
      </c>
      <c r="B316" s="1" t="str">
        <f>"07-"&amp;LEFT(RIGHTB(REPT(0,4)&amp;_xlfn.BASE(DB07_baselinesequence[[#This Row],[num]],36),4),2)&amp;"-"&amp;RIGHT(RIGHTB(REPT(0,4)&amp;_xlfn.BASE(DB07_baselinesequence[[#This Row],[num]],36),4),2)</f>
        <v>07-00-94</v>
      </c>
      <c r="C316" s="1" t="s">
        <v>1564</v>
      </c>
      <c r="F316" s="1" t="s">
        <v>1126</v>
      </c>
      <c r="G316" s="1" t="str">
        <f>_xlfn.XLOOKUP(DB07_baselinesequence[[#This Row],[basesequence-ID]],DB06_baseline[ID],DB06_baseline[Baseline],"",0)</f>
        <v>TGGACCCGAAGCCCTAGGTT</v>
      </c>
      <c r="H316" s="1">
        <f>_xlfn.XLOOKUP(DB07_baselinesequence[[#This Row],[basesequence-ID]],DB06_baseline[ID],DB06_baseline[確認済],FALSE,0)</f>
        <v>0</v>
      </c>
      <c r="J316" s="1" t="s">
        <v>1890</v>
      </c>
      <c r="K316" s="4"/>
      <c r="L316" s="3"/>
    </row>
    <row r="317" spans="1:12" x14ac:dyDescent="0.45">
      <c r="A317" s="1">
        <v>329</v>
      </c>
      <c r="B317" s="1" t="str">
        <f>"07-"&amp;LEFT(RIGHTB(REPT(0,4)&amp;_xlfn.BASE(DB07_baselinesequence[[#This Row],[num]],36),4),2)&amp;"-"&amp;RIGHT(RIGHTB(REPT(0,4)&amp;_xlfn.BASE(DB07_baselinesequence[[#This Row],[num]],36),4),2)</f>
        <v>07-00-95</v>
      </c>
      <c r="C317" s="1" t="s">
        <v>1565</v>
      </c>
      <c r="F317" s="1" t="s">
        <v>1128</v>
      </c>
      <c r="G317" s="1" t="str">
        <f>_xlfn.XLOOKUP(DB07_baselinesequence[[#This Row],[basesequence-ID]],DB06_baseline[ID],DB06_baseline[Baseline],"",0)</f>
        <v>TCTGCTGGACCCGAAGCCCT</v>
      </c>
      <c r="H317" s="1">
        <f>_xlfn.XLOOKUP(DB07_baselinesequence[[#This Row],[basesequence-ID]],DB06_baseline[ID],DB06_baseline[確認済],FALSE,0)</f>
        <v>0</v>
      </c>
      <c r="J317" s="1" t="s">
        <v>1891</v>
      </c>
      <c r="K317" s="4"/>
      <c r="L317" s="3"/>
    </row>
    <row r="318" spans="1:12" x14ac:dyDescent="0.45">
      <c r="A318" s="1">
        <v>330</v>
      </c>
      <c r="B318" s="1" t="str">
        <f>"07-"&amp;LEFT(RIGHTB(REPT(0,4)&amp;_xlfn.BASE(DB07_baselinesequence[[#This Row],[num]],36),4),2)&amp;"-"&amp;RIGHT(RIGHTB(REPT(0,4)&amp;_xlfn.BASE(DB07_baselinesequence[[#This Row],[num]],36),4),2)</f>
        <v>07-00-96</v>
      </c>
      <c r="C318" s="1" t="s">
        <v>1566</v>
      </c>
      <c r="F318" s="1" t="s">
        <v>1130</v>
      </c>
      <c r="G318" s="1" t="str">
        <f>_xlfn.XLOOKUP(DB07_baselinesequence[[#This Row],[basesequence-ID]],DB06_baseline[ID],DB06_baseline[Baseline],"",0)</f>
        <v>GCCCTTCTGCTGGACCCGAA</v>
      </c>
      <c r="H318" s="1">
        <f>_xlfn.XLOOKUP(DB07_baselinesequence[[#This Row],[basesequence-ID]],DB06_baseline[ID],DB06_baseline[確認済],FALSE,0)</f>
        <v>0</v>
      </c>
      <c r="J318" s="1" t="s">
        <v>1892</v>
      </c>
      <c r="K318" s="4"/>
      <c r="L318" s="3"/>
    </row>
    <row r="319" spans="1:12" x14ac:dyDescent="0.45">
      <c r="A319" s="1">
        <v>331</v>
      </c>
      <c r="B319" s="1" t="str">
        <f>"07-"&amp;LEFT(RIGHTB(REPT(0,4)&amp;_xlfn.BASE(DB07_baselinesequence[[#This Row],[num]],36),4),2)&amp;"-"&amp;RIGHT(RIGHTB(REPT(0,4)&amp;_xlfn.BASE(DB07_baselinesequence[[#This Row],[num]],36),4),2)</f>
        <v>07-00-97</v>
      </c>
      <c r="C319" s="1" t="s">
        <v>1567</v>
      </c>
      <c r="F319" s="1" t="s">
        <v>1132</v>
      </c>
      <c r="G319" s="1" t="str">
        <f>_xlfn.XLOOKUP(DB07_baselinesequence[[#This Row],[basesequence-ID]],DB06_baseline[ID],DB06_baseline[Baseline],"",0)</f>
        <v>GAGGTGCCCTTCTGCTGGAC</v>
      </c>
      <c r="H319" s="1">
        <f>_xlfn.XLOOKUP(DB07_baselinesequence[[#This Row],[basesequence-ID]],DB06_baseline[ID],DB06_baseline[確認済],FALSE,0)</f>
        <v>0</v>
      </c>
      <c r="J319" s="1" t="s">
        <v>1893</v>
      </c>
      <c r="K319" s="4"/>
      <c r="L319" s="3"/>
    </row>
    <row r="320" spans="1:12" x14ac:dyDescent="0.45">
      <c r="A320" s="1">
        <v>332</v>
      </c>
      <c r="B320" s="1" t="str">
        <f>"07-"&amp;LEFT(RIGHTB(REPT(0,4)&amp;_xlfn.BASE(DB07_baselinesequence[[#This Row],[num]],36),4),2)&amp;"-"&amp;RIGHT(RIGHTB(REPT(0,4)&amp;_xlfn.BASE(DB07_baselinesequence[[#This Row],[num]],36),4),2)</f>
        <v>07-00-98</v>
      </c>
      <c r="C320" s="1" t="s">
        <v>1568</v>
      </c>
      <c r="F320" s="1" t="s">
        <v>1134</v>
      </c>
      <c r="G320" s="1" t="str">
        <f>_xlfn.XLOOKUP(DB07_baselinesequence[[#This Row],[basesequence-ID]],DB06_baseline[ID],DB06_baseline[Baseline],"",0)</f>
        <v>TTTCTGAGGTGCCCTTCTGC</v>
      </c>
      <c r="H320" s="1">
        <f>_xlfn.XLOOKUP(DB07_baselinesequence[[#This Row],[basesequence-ID]],DB06_baseline[ID],DB06_baseline[確認済],FALSE,0)</f>
        <v>0</v>
      </c>
      <c r="J320" s="1" t="s">
        <v>1894</v>
      </c>
      <c r="K320" s="4"/>
      <c r="L320" s="3"/>
    </row>
    <row r="321" spans="1:12" x14ac:dyDescent="0.45">
      <c r="A321" s="1">
        <v>333</v>
      </c>
      <c r="B321" s="1" t="str">
        <f>"07-"&amp;LEFT(RIGHTB(REPT(0,4)&amp;_xlfn.BASE(DB07_baselinesequence[[#This Row],[num]],36),4),2)&amp;"-"&amp;RIGHT(RIGHTB(REPT(0,4)&amp;_xlfn.BASE(DB07_baselinesequence[[#This Row],[num]],36),4),2)</f>
        <v>07-00-99</v>
      </c>
      <c r="C321" s="1" t="s">
        <v>1569</v>
      </c>
      <c r="F321" s="1" t="s">
        <v>1136</v>
      </c>
      <c r="G321" s="1" t="str">
        <f>_xlfn.XLOOKUP(DB07_baselinesequence[[#This Row],[basesequence-ID]],DB06_baseline[ID],DB06_baseline[Baseline],"",0)</f>
        <v>GTCTGTTTCTGAGGTGCCCT</v>
      </c>
      <c r="H321" s="1">
        <f>_xlfn.XLOOKUP(DB07_baselinesequence[[#This Row],[basesequence-ID]],DB06_baseline[ID],DB06_baseline[確認済],FALSE,0)</f>
        <v>0</v>
      </c>
      <c r="J321" s="1" t="s">
        <v>1895</v>
      </c>
      <c r="K321" s="4"/>
      <c r="L321" s="3"/>
    </row>
    <row r="322" spans="1:12" x14ac:dyDescent="0.45">
      <c r="A322" s="1">
        <v>334</v>
      </c>
      <c r="B322" s="1" t="str">
        <f>"07-"&amp;LEFT(RIGHTB(REPT(0,4)&amp;_xlfn.BASE(DB07_baselinesequence[[#This Row],[num]],36),4),2)&amp;"-"&amp;RIGHT(RIGHTB(REPT(0,4)&amp;_xlfn.BASE(DB07_baselinesequence[[#This Row],[num]],36),4),2)</f>
        <v>07-00-9A</v>
      </c>
      <c r="C322" s="1" t="s">
        <v>1570</v>
      </c>
      <c r="F322" s="1" t="s">
        <v>1138</v>
      </c>
      <c r="G322" s="1" t="str">
        <f>_xlfn.XLOOKUP(DB07_baselinesequence[[#This Row],[basesequence-ID]],DB06_baseline[ID],DB06_baseline[Baseline],"",0)</f>
        <v>ATGGTGTCTGTTTCTGAGGT</v>
      </c>
      <c r="H322" s="1">
        <f>_xlfn.XLOOKUP(DB07_baselinesequence[[#This Row],[basesequence-ID]],DB06_baseline[ID],DB06_baseline[確認済],FALSE,0)</f>
        <v>0</v>
      </c>
      <c r="J322" s="1" t="s">
        <v>1896</v>
      </c>
      <c r="K322" s="4"/>
      <c r="L322" s="3"/>
    </row>
    <row r="323" spans="1:12" x14ac:dyDescent="0.45">
      <c r="A323" s="1">
        <v>335</v>
      </c>
      <c r="B323" s="1" t="str">
        <f>"07-"&amp;LEFT(RIGHTB(REPT(0,4)&amp;_xlfn.BASE(DB07_baselinesequence[[#This Row],[num]],36),4),2)&amp;"-"&amp;RIGHT(RIGHTB(REPT(0,4)&amp;_xlfn.BASE(DB07_baselinesequence[[#This Row],[num]],36),4),2)</f>
        <v>07-00-9B</v>
      </c>
      <c r="C323" s="1" t="s">
        <v>1571</v>
      </c>
      <c r="F323" s="1" t="s">
        <v>1140</v>
      </c>
      <c r="G323" s="1" t="str">
        <f>_xlfn.XLOOKUP(DB07_baselinesequence[[#This Row],[basesequence-ID]],DB06_baseline[ID],DB06_baseline[Baseline],"",0)</f>
        <v>TGCAGATGGTGTCTGTTTCT</v>
      </c>
      <c r="H323" s="1">
        <f>_xlfn.XLOOKUP(DB07_baselinesequence[[#This Row],[basesequence-ID]],DB06_baseline[ID],DB06_baseline[確認済],FALSE,0)</f>
        <v>0</v>
      </c>
      <c r="J323" s="1" t="s">
        <v>1897</v>
      </c>
      <c r="K323" s="4"/>
      <c r="L323" s="3"/>
    </row>
    <row r="324" spans="1:12" x14ac:dyDescent="0.45">
      <c r="A324" s="1">
        <v>336</v>
      </c>
      <c r="B324" s="1" t="str">
        <f>"07-"&amp;LEFT(RIGHTB(REPT(0,4)&amp;_xlfn.BASE(DB07_baselinesequence[[#This Row],[num]],36),4),2)&amp;"-"&amp;RIGHT(RIGHTB(REPT(0,4)&amp;_xlfn.BASE(DB07_baselinesequence[[#This Row],[num]],36),4),2)</f>
        <v>07-00-9C</v>
      </c>
      <c r="C324" s="1" t="s">
        <v>1572</v>
      </c>
      <c r="F324" s="1" t="s">
        <v>1142</v>
      </c>
      <c r="G324" s="1" t="str">
        <f>_xlfn.XLOOKUP(DB07_baselinesequence[[#This Row],[basesequence-ID]],DB06_baseline[ID],DB06_baseline[Baseline],"",0)</f>
        <v>ACAGGTGCAGATGGTGTCTG</v>
      </c>
      <c r="H324" s="1">
        <f>_xlfn.XLOOKUP(DB07_baselinesequence[[#This Row],[basesequence-ID]],DB06_baseline[ID],DB06_baseline[確認済],FALSE,0)</f>
        <v>0</v>
      </c>
      <c r="J324" s="1" t="s">
        <v>1898</v>
      </c>
      <c r="K324" s="4"/>
      <c r="L324" s="3"/>
    </row>
    <row r="325" spans="1:12" x14ac:dyDescent="0.45">
      <c r="A325" s="1">
        <v>337</v>
      </c>
      <c r="B325" s="1" t="str">
        <f>"07-"&amp;LEFT(RIGHTB(REPT(0,4)&amp;_xlfn.BASE(DB07_baselinesequence[[#This Row],[num]],36),4),2)&amp;"-"&amp;RIGHT(RIGHTB(REPT(0,4)&amp;_xlfn.BASE(DB07_baselinesequence[[#This Row],[num]],36),4),2)</f>
        <v>07-00-9D</v>
      </c>
      <c r="C325" s="1" t="s">
        <v>1573</v>
      </c>
      <c r="F325" s="1" t="s">
        <v>1144</v>
      </c>
      <c r="G325" s="1" t="str">
        <f>_xlfn.XLOOKUP(DB07_baselinesequence[[#This Row],[basesequence-ID]],DB06_baseline[ID],DB06_baseline[Baseline],"",0)</f>
        <v>TCTTCACAGGTGCAGATGGT</v>
      </c>
      <c r="H325" s="1">
        <f>_xlfn.XLOOKUP(DB07_baselinesequence[[#This Row],[basesequence-ID]],DB06_baseline[ID],DB06_baseline[確認済],FALSE,0)</f>
        <v>0</v>
      </c>
      <c r="J325" s="1" t="s">
        <v>1899</v>
      </c>
      <c r="K325" s="4"/>
      <c r="L325" s="3"/>
    </row>
    <row r="326" spans="1:12" x14ac:dyDescent="0.45">
      <c r="A326" s="1">
        <v>338</v>
      </c>
      <c r="B326" s="1" t="str">
        <f>"07-"&amp;LEFT(RIGHTB(REPT(0,4)&amp;_xlfn.BASE(DB07_baselinesequence[[#This Row],[num]],36),4),2)&amp;"-"&amp;RIGHT(RIGHTB(REPT(0,4)&amp;_xlfn.BASE(DB07_baselinesequence[[#This Row],[num]],36),4),2)</f>
        <v>07-00-9E</v>
      </c>
      <c r="C326" s="1" t="s">
        <v>1574</v>
      </c>
      <c r="F326" s="1" t="s">
        <v>1146</v>
      </c>
      <c r="G326" s="1" t="str">
        <f>_xlfn.XLOOKUP(DB07_baselinesequence[[#This Row],[basesequence-ID]],DB06_baseline[ID],DB06_baseline[Baseline],"",0)</f>
        <v>AGCCTTCTTCACAGGTGCAG</v>
      </c>
      <c r="H326" s="1">
        <f>_xlfn.XLOOKUP(DB07_baselinesequence[[#This Row],[basesequence-ID]],DB06_baseline[ID],DB06_baseline[確認済],FALSE,0)</f>
        <v>0</v>
      </c>
      <c r="J326" s="1" t="s">
        <v>1900</v>
      </c>
      <c r="K326" s="4"/>
      <c r="L326" s="3"/>
    </row>
    <row r="327" spans="1:12" x14ac:dyDescent="0.45">
      <c r="A327" s="1">
        <v>339</v>
      </c>
      <c r="B327" s="1" t="str">
        <f>"07-"&amp;LEFT(RIGHTB(REPT(0,4)&amp;_xlfn.BASE(DB07_baselinesequence[[#This Row],[num]],36),4),2)&amp;"-"&amp;RIGHT(RIGHTB(REPT(0,4)&amp;_xlfn.BASE(DB07_baselinesequence[[#This Row],[num]],36),4),2)</f>
        <v>07-00-9F</v>
      </c>
      <c r="C327" s="1" t="s">
        <v>1575</v>
      </c>
      <c r="F327" s="1" t="s">
        <v>1148</v>
      </c>
      <c r="G327" s="1" t="str">
        <f>_xlfn.XLOOKUP(DB07_baselinesequence[[#This Row],[basesequence-ID]],DB06_baseline[ID],DB06_baseline[Baseline],"",0)</f>
        <v>GTGCCAGCCTTCTTCACAGG</v>
      </c>
      <c r="H327" s="1">
        <f>_xlfn.XLOOKUP(DB07_baselinesequence[[#This Row],[basesequence-ID]],DB06_baseline[ID],DB06_baseline[確認済],FALSE,0)</f>
        <v>0</v>
      </c>
      <c r="J327" s="1" t="s">
        <v>1901</v>
      </c>
      <c r="K327" s="4"/>
      <c r="L327" s="3"/>
    </row>
    <row r="328" spans="1:12" x14ac:dyDescent="0.45">
      <c r="A328" s="1">
        <v>340</v>
      </c>
      <c r="B328" s="1" t="str">
        <f>"07-"&amp;LEFT(RIGHTB(REPT(0,4)&amp;_xlfn.BASE(DB07_baselinesequence[[#This Row],[num]],36),4),2)&amp;"-"&amp;RIGHT(RIGHTB(REPT(0,4)&amp;_xlfn.BASE(DB07_baselinesequence[[#This Row],[num]],36),4),2)</f>
        <v>07-00-9G</v>
      </c>
      <c r="C328" s="1" t="s">
        <v>1576</v>
      </c>
      <c r="F328" s="1" t="s">
        <v>1150</v>
      </c>
      <c r="G328" s="1" t="str">
        <f>_xlfn.XLOOKUP(DB07_baselinesequence[[#This Row],[basesequence-ID]],DB06_baseline[ID],DB06_baseline[Baseline],"",0)</f>
        <v>GTACAGTGCCAGCCTTCTTC</v>
      </c>
      <c r="H328" s="1">
        <f>_xlfn.XLOOKUP(DB07_baselinesequence[[#This Row],[basesequence-ID]],DB06_baseline[ID],DB06_baseline[確認済],FALSE,0)</f>
        <v>0</v>
      </c>
      <c r="J328" s="1" t="s">
        <v>1902</v>
      </c>
      <c r="K328" s="4"/>
      <c r="L328" s="3"/>
    </row>
    <row r="329" spans="1:12" x14ac:dyDescent="0.45">
      <c r="A329" s="1">
        <v>341</v>
      </c>
      <c r="B329" s="1" t="str">
        <f>"07-"&amp;LEFT(RIGHTB(REPT(0,4)&amp;_xlfn.BASE(DB07_baselinesequence[[#This Row],[num]],36),4),2)&amp;"-"&amp;RIGHT(RIGHTB(REPT(0,4)&amp;_xlfn.BASE(DB07_baselinesequence[[#This Row],[num]],36),4),2)</f>
        <v>07-00-9H</v>
      </c>
      <c r="C329" s="1" t="s">
        <v>1577</v>
      </c>
      <c r="F329" s="1" t="s">
        <v>1152</v>
      </c>
      <c r="G329" s="1" t="str">
        <f>_xlfn.XLOOKUP(DB07_baselinesequence[[#This Row],[basesequence-ID]],DB06_baseline[ID],DB06_baseline[Baseline],"",0)</f>
        <v>CACTCGTACAGTGCCAGCCT</v>
      </c>
      <c r="H329" s="1">
        <f>_xlfn.XLOOKUP(DB07_baselinesequence[[#This Row],[basesequence-ID]],DB06_baseline[ID],DB06_baseline[確認済],FALSE,0)</f>
        <v>0</v>
      </c>
      <c r="J329" s="1" t="s">
        <v>1903</v>
      </c>
      <c r="K329" s="4"/>
      <c r="L329" s="3"/>
    </row>
    <row r="330" spans="1:12" x14ac:dyDescent="0.45">
      <c r="A330" s="1">
        <v>342</v>
      </c>
      <c r="B330" s="1" t="str">
        <f>"07-"&amp;LEFT(RIGHTB(REPT(0,4)&amp;_xlfn.BASE(DB07_baselinesequence[[#This Row],[num]],36),4),2)&amp;"-"&amp;RIGHT(RIGHTB(REPT(0,4)&amp;_xlfn.BASE(DB07_baselinesequence[[#This Row],[num]],36),4),2)</f>
        <v>07-00-9I</v>
      </c>
      <c r="C330" s="1" t="s">
        <v>1578</v>
      </c>
      <c r="F330" s="1" t="s">
        <v>1154</v>
      </c>
      <c r="G330" s="1" t="str">
        <f>_xlfn.XLOOKUP(DB07_baselinesequence[[#This Row],[basesequence-ID]],DB06_baseline[ID],DB06_baseline[Baseline],"",0)</f>
        <v>GGCCTCACTCGTACAGTGCC</v>
      </c>
      <c r="H330" s="1">
        <f>_xlfn.XLOOKUP(DB07_baselinesequence[[#This Row],[basesequence-ID]],DB06_baseline[ID],DB06_baseline[確認済],FALSE,0)</f>
        <v>0</v>
      </c>
      <c r="J330" s="1" t="s">
        <v>1904</v>
      </c>
      <c r="K330" s="4"/>
      <c r="L330" s="3"/>
    </row>
    <row r="331" spans="1:12" x14ac:dyDescent="0.45">
      <c r="A331" s="1">
        <v>343</v>
      </c>
      <c r="B331" s="1" t="str">
        <f>"07-"&amp;LEFT(RIGHTB(REPT(0,4)&amp;_xlfn.BASE(DB07_baselinesequence[[#This Row],[num]],36),4),2)&amp;"-"&amp;RIGHT(RIGHTB(REPT(0,4)&amp;_xlfn.BASE(DB07_baselinesequence[[#This Row],[num]],36),4),2)</f>
        <v>07-00-9J</v>
      </c>
      <c r="C331" s="1" t="s">
        <v>1579</v>
      </c>
      <c r="F331" s="1" t="s">
        <v>1156</v>
      </c>
      <c r="G331" s="1" t="str">
        <f>_xlfn.XLOOKUP(DB07_baselinesequence[[#This Row],[basesequence-ID]],DB06_baseline[ID],DB06_baseline[Baseline],"",0)</f>
        <v>TCACAGGCCTCACTCGTACA</v>
      </c>
      <c r="H331" s="1">
        <f>_xlfn.XLOOKUP(DB07_baselinesequence[[#This Row],[basesequence-ID]],DB06_baseline[ID],DB06_baseline[確認済],FALSE,0)</f>
        <v>0</v>
      </c>
      <c r="J331" s="1" t="s">
        <v>1905</v>
      </c>
      <c r="K331" s="4"/>
      <c r="L331" s="3"/>
    </row>
    <row r="332" spans="1:12" x14ac:dyDescent="0.45">
      <c r="A332" s="1">
        <v>344</v>
      </c>
      <c r="B332" s="1" t="str">
        <f>"07-"&amp;LEFT(RIGHTB(REPT(0,4)&amp;_xlfn.BASE(DB07_baselinesequence[[#This Row],[num]],36),4),2)&amp;"-"&amp;RIGHT(RIGHTB(REPT(0,4)&amp;_xlfn.BASE(DB07_baselinesequence[[#This Row],[num]],36),4),2)</f>
        <v>07-00-9K</v>
      </c>
      <c r="C332" s="1" t="s">
        <v>1580</v>
      </c>
      <c r="F332" s="1" t="s">
        <v>1158</v>
      </c>
      <c r="G332" s="1" t="str">
        <f>_xlfn.XLOOKUP(DB07_baselinesequence[[#This Row],[basesequence-ID]],DB06_baseline[ID],DB06_baseline[Baseline],"",0)</f>
        <v>AGCTCTCACAGGCCTCACTC</v>
      </c>
      <c r="H332" s="1">
        <f>_xlfn.XLOOKUP(DB07_baselinesequence[[#This Row],[basesequence-ID]],DB06_baseline[ID],DB06_baseline[確認済],FALSE,0)</f>
        <v>0</v>
      </c>
      <c r="J332" s="1" t="s">
        <v>1906</v>
      </c>
      <c r="K332" s="4"/>
      <c r="L332" s="3"/>
    </row>
    <row r="333" spans="1:12" x14ac:dyDescent="0.45">
      <c r="A333" s="1">
        <v>345</v>
      </c>
      <c r="B333" s="1" t="str">
        <f>"07-"&amp;LEFT(RIGHTB(REPT(0,4)&amp;_xlfn.BASE(DB07_baselinesequence[[#This Row],[num]],36),4),2)&amp;"-"&amp;RIGHT(RIGHTB(REPT(0,4)&amp;_xlfn.BASE(DB07_baselinesequence[[#This Row],[num]],36),4),2)</f>
        <v>07-00-9L</v>
      </c>
      <c r="C333" s="1" t="s">
        <v>1581</v>
      </c>
      <c r="F333" s="1" t="s">
        <v>1160</v>
      </c>
      <c r="G333" s="1" t="str">
        <f>_xlfn.XLOOKUP(DB07_baselinesequence[[#This Row],[basesequence-ID]],DB06_baseline[ID],DB06_baseline[Baseline],"",0)</f>
        <v>GACACAGCTCTCACAGGCCT</v>
      </c>
      <c r="H333" s="1">
        <f>_xlfn.XLOOKUP(DB07_baselinesequence[[#This Row],[basesequence-ID]],DB06_baseline[ID],DB06_baseline[確認済],FALSE,0)</f>
        <v>0</v>
      </c>
      <c r="J333" s="1" t="s">
        <v>1907</v>
      </c>
      <c r="K333" s="4"/>
      <c r="L333" s="3"/>
    </row>
    <row r="334" spans="1:12" x14ac:dyDescent="0.45">
      <c r="A334" s="1">
        <v>346</v>
      </c>
      <c r="B334" s="1" t="str">
        <f>"07-"&amp;LEFT(RIGHTB(REPT(0,4)&amp;_xlfn.BASE(DB07_baselinesequence[[#This Row],[num]],36),4),2)&amp;"-"&amp;RIGHT(RIGHTB(REPT(0,4)&amp;_xlfn.BASE(DB07_baselinesequence[[#This Row],[num]],36),4),2)</f>
        <v>07-00-9M</v>
      </c>
      <c r="C334" s="1" t="s">
        <v>1582</v>
      </c>
      <c r="F334" s="1" t="s">
        <v>1162</v>
      </c>
      <c r="G334" s="1" t="str">
        <f>_xlfn.XLOOKUP(DB07_baselinesequence[[#This Row],[basesequence-ID]],DB06_baseline[ID],DB06_baseline[Baseline],"",0)</f>
        <v>TGCAGGACACAGCTCTCACA</v>
      </c>
      <c r="H334" s="1">
        <f>_xlfn.XLOOKUP(DB07_baselinesequence[[#This Row],[basesequence-ID]],DB06_baseline[ID],DB06_baseline[確認済],FALSE,0)</f>
        <v>0</v>
      </c>
      <c r="J334" s="1" t="s">
        <v>1908</v>
      </c>
      <c r="K334" s="4"/>
      <c r="L334" s="3"/>
    </row>
    <row r="335" spans="1:12" x14ac:dyDescent="0.45">
      <c r="A335" s="1">
        <v>347</v>
      </c>
      <c r="B335" s="1" t="str">
        <f>"07-"&amp;LEFT(RIGHTB(REPT(0,4)&amp;_xlfn.BASE(DB07_baselinesequence[[#This Row],[num]],36),4),2)&amp;"-"&amp;RIGHT(RIGHTB(REPT(0,4)&amp;_xlfn.BASE(DB07_baselinesequence[[#This Row],[num]],36),4),2)</f>
        <v>07-00-9N</v>
      </c>
      <c r="C335" s="1" t="s">
        <v>1583</v>
      </c>
      <c r="F335" s="1" t="s">
        <v>1164</v>
      </c>
      <c r="G335" s="1" t="str">
        <f>_xlfn.XLOOKUP(DB07_baselinesequence[[#This Row],[basesequence-ID]],DB06_baseline[ID],DB06_baseline[Baseline],"",0)</f>
        <v>AGCGGTGCAGGACACAGCTC</v>
      </c>
      <c r="H335" s="1">
        <f>_xlfn.XLOOKUP(DB07_baselinesequence[[#This Row],[basesequence-ID]],DB06_baseline[ID],DB06_baseline[確認済],FALSE,0)</f>
        <v>0</v>
      </c>
      <c r="J335" s="1" t="s">
        <v>1909</v>
      </c>
      <c r="K335" s="4"/>
      <c r="L335" s="3"/>
    </row>
    <row r="336" spans="1:12" x14ac:dyDescent="0.45">
      <c r="A336" s="1">
        <v>348</v>
      </c>
      <c r="B336" s="1" t="str">
        <f>"07-"&amp;LEFT(RIGHTB(REPT(0,4)&amp;_xlfn.BASE(DB07_baselinesequence[[#This Row],[num]],36),4),2)&amp;"-"&amp;RIGHT(RIGHTB(REPT(0,4)&amp;_xlfn.BASE(DB07_baselinesequence[[#This Row],[num]],36),4),2)</f>
        <v>07-00-9O</v>
      </c>
      <c r="C336" s="1" t="s">
        <v>1584</v>
      </c>
      <c r="F336" s="1" t="s">
        <v>1166</v>
      </c>
      <c r="G336" s="1" t="str">
        <f>_xlfn.XLOOKUP(DB07_baselinesequence[[#This Row],[basesequence-ID]],DB06_baseline[ID],DB06_baseline[Baseline],"",0)</f>
        <v>GCATGAGCGGTGCAGGACAC</v>
      </c>
      <c r="H336" s="1">
        <f>_xlfn.XLOOKUP(DB07_baselinesequence[[#This Row],[basesequence-ID]],DB06_baseline[ID],DB06_baseline[確認済],FALSE,0)</f>
        <v>0</v>
      </c>
      <c r="J336" s="1" t="s">
        <v>1910</v>
      </c>
      <c r="K336" s="4"/>
      <c r="L336" s="3"/>
    </row>
    <row r="337" spans="1:12" x14ac:dyDescent="0.45">
      <c r="A337" s="1">
        <v>349</v>
      </c>
      <c r="B337" s="1" t="str">
        <f>"07-"&amp;LEFT(RIGHTB(REPT(0,4)&amp;_xlfn.BASE(DB07_baselinesequence[[#This Row],[num]],36),4),2)&amp;"-"&amp;RIGHT(RIGHTB(REPT(0,4)&amp;_xlfn.BASE(DB07_baselinesequence[[#This Row],[num]],36),4),2)</f>
        <v>07-00-9P</v>
      </c>
      <c r="C337" s="1" t="s">
        <v>1585</v>
      </c>
      <c r="F337" s="1" t="s">
        <v>1168</v>
      </c>
      <c r="G337" s="1" t="str">
        <f>_xlfn.XLOOKUP(DB07_baselinesequence[[#This Row],[basesequence-ID]],DB06_baseline[ID],DB06_baseline[Baseline],"",0)</f>
        <v>GGCGAGCATGAGCGGTGCAG</v>
      </c>
      <c r="H337" s="1">
        <f>_xlfn.XLOOKUP(DB07_baselinesequence[[#This Row],[basesequence-ID]],DB06_baseline[ID],DB06_baseline[確認済],FALSE,0)</f>
        <v>0</v>
      </c>
      <c r="J337" s="1" t="s">
        <v>1911</v>
      </c>
      <c r="K337" s="4"/>
      <c r="L337" s="3"/>
    </row>
    <row r="338" spans="1:12" x14ac:dyDescent="0.45">
      <c r="A338" s="1">
        <v>350</v>
      </c>
      <c r="B338" s="1" t="str">
        <f>"07-"&amp;LEFT(RIGHTB(REPT(0,4)&amp;_xlfn.BASE(DB07_baselinesequence[[#This Row],[num]],36),4),2)&amp;"-"&amp;RIGHT(RIGHTB(REPT(0,4)&amp;_xlfn.BASE(DB07_baselinesequence[[#This Row],[num]],36),4),2)</f>
        <v>07-00-9Q</v>
      </c>
      <c r="C338" s="1" t="s">
        <v>1586</v>
      </c>
      <c r="F338" s="1" t="s">
        <v>1170</v>
      </c>
      <c r="G338" s="1" t="str">
        <f>_xlfn.XLOOKUP(DB07_baselinesequence[[#This Row],[basesequence-ID]],DB06_baseline[ID],DB06_baseline[Baseline],"",0)</f>
        <v>AGCCGGGCGAGCATGAGCGG</v>
      </c>
      <c r="H338" s="1">
        <f>_xlfn.XLOOKUP(DB07_baselinesequence[[#This Row],[basesequence-ID]],DB06_baseline[ID],DB06_baseline[確認済],FALSE,0)</f>
        <v>0</v>
      </c>
      <c r="J338" s="1" t="s">
        <v>1912</v>
      </c>
      <c r="K338" s="4"/>
      <c r="L338" s="3"/>
    </row>
    <row r="339" spans="1:12" x14ac:dyDescent="0.45">
      <c r="A339" s="1">
        <v>351</v>
      </c>
      <c r="B339" s="1" t="str">
        <f>"07-"&amp;LEFT(RIGHTB(REPT(0,4)&amp;_xlfn.BASE(DB07_baselinesequence[[#This Row],[num]],36),4),2)&amp;"-"&amp;RIGHT(RIGHTB(REPT(0,4)&amp;_xlfn.BASE(DB07_baselinesequence[[#This Row],[num]],36),4),2)</f>
        <v>07-00-9R</v>
      </c>
      <c r="C339" s="1" t="s">
        <v>1587</v>
      </c>
      <c r="F339" s="1" t="s">
        <v>1172</v>
      </c>
      <c r="G339" s="1" t="str">
        <f>_xlfn.XLOOKUP(DB07_baselinesequence[[#This Row],[basesequence-ID]],DB06_baseline[ID],DB06_baseline[Baseline],"",0)</f>
        <v>CCCAAAGCCGGGCGAGCATG</v>
      </c>
      <c r="H339" s="1">
        <f>_xlfn.XLOOKUP(DB07_baselinesequence[[#This Row],[basesequence-ID]],DB06_baseline[ID],DB06_baseline[確認済],FALSE,0)</f>
        <v>0</v>
      </c>
      <c r="J339" s="1" t="s">
        <v>1913</v>
      </c>
      <c r="K339" s="4"/>
      <c r="L339" s="3"/>
    </row>
    <row r="340" spans="1:12" x14ac:dyDescent="0.45">
      <c r="A340" s="1">
        <v>352</v>
      </c>
      <c r="B340" s="1" t="str">
        <f>"07-"&amp;LEFT(RIGHTB(REPT(0,4)&amp;_xlfn.BASE(DB07_baselinesequence[[#This Row],[num]],36),4),2)&amp;"-"&amp;RIGHT(RIGHTB(REPT(0,4)&amp;_xlfn.BASE(DB07_baselinesequence[[#This Row],[num]],36),4),2)</f>
        <v>07-00-9S</v>
      </c>
      <c r="C340" s="1" t="s">
        <v>1588</v>
      </c>
      <c r="F340" s="1" t="s">
        <v>1174</v>
      </c>
      <c r="G340" s="1" t="str">
        <f>_xlfn.XLOOKUP(DB07_baselinesequence[[#This Row],[basesequence-ID]],DB06_baseline[ID],DB06_baseline[Baseline],"",0)</f>
        <v>TTGACCCCAAAGCCGGGCGA</v>
      </c>
      <c r="H340" s="1">
        <f>_xlfn.XLOOKUP(DB07_baselinesequence[[#This Row],[basesequence-ID]],DB06_baseline[ID],DB06_baseline[確認済],FALSE,0)</f>
        <v>0</v>
      </c>
      <c r="J340" s="1" t="s">
        <v>1914</v>
      </c>
      <c r="K340" s="4"/>
      <c r="L340" s="3"/>
    </row>
    <row r="341" spans="1:12" x14ac:dyDescent="0.45">
      <c r="A341" s="1">
        <v>353</v>
      </c>
      <c r="B341" s="1" t="str">
        <f>"07-"&amp;LEFT(RIGHTB(REPT(0,4)&amp;_xlfn.BASE(DB07_baselinesequence[[#This Row],[num]],36),4),2)&amp;"-"&amp;RIGHT(RIGHTB(REPT(0,4)&amp;_xlfn.BASE(DB07_baselinesequence[[#This Row],[num]],36),4),2)</f>
        <v>07-00-9T</v>
      </c>
      <c r="C341" s="1" t="s">
        <v>1589</v>
      </c>
      <c r="F341" s="1" t="s">
        <v>1176</v>
      </c>
      <c r="G341" s="1" t="str">
        <f>_xlfn.XLOOKUP(DB07_baselinesequence[[#This Row],[basesequence-ID]],DB06_baseline[ID],DB06_baseline[Baseline],"",0)</f>
        <v>TCTGCTTGACCCCAAAGCCG</v>
      </c>
      <c r="H341" s="1">
        <f>_xlfn.XLOOKUP(DB07_baselinesequence[[#This Row],[basesequence-ID]],DB06_baseline[ID],DB06_baseline[確認済],FALSE,0)</f>
        <v>0</v>
      </c>
      <c r="J341" s="1" t="s">
        <v>1915</v>
      </c>
      <c r="K341" s="4"/>
      <c r="L341" s="3"/>
    </row>
    <row r="342" spans="1:12" x14ac:dyDescent="0.45">
      <c r="A342" s="1">
        <v>354</v>
      </c>
      <c r="B342" s="1" t="str">
        <f>"07-"&amp;LEFT(RIGHTB(REPT(0,4)&amp;_xlfn.BASE(DB07_baselinesequence[[#This Row],[num]],36),4),2)&amp;"-"&amp;RIGHT(RIGHTB(REPT(0,4)&amp;_xlfn.BASE(DB07_baselinesequence[[#This Row],[num]],36),4),2)</f>
        <v>07-00-9U</v>
      </c>
      <c r="C342" s="1" t="s">
        <v>1590</v>
      </c>
      <c r="F342" s="1" t="s">
        <v>1178</v>
      </c>
      <c r="G342" s="1" t="str">
        <f>_xlfn.XLOOKUP(DB07_baselinesequence[[#This Row],[basesequence-ID]],DB06_baseline[ID],DB06_baseline[Baseline],"",0)</f>
        <v>AGCAATCTGCTTGACCCCAA</v>
      </c>
      <c r="H342" s="1">
        <f>_xlfn.XLOOKUP(DB07_baselinesequence[[#This Row],[basesequence-ID]],DB06_baseline[ID],DB06_baseline[確認済],FALSE,0)</f>
        <v>0</v>
      </c>
      <c r="J342" s="1" t="s">
        <v>1916</v>
      </c>
      <c r="K342" s="4"/>
      <c r="L342" s="3"/>
    </row>
    <row r="343" spans="1:12" x14ac:dyDescent="0.45">
      <c r="A343" s="1">
        <v>355</v>
      </c>
      <c r="B343" s="1" t="str">
        <f>"07-"&amp;LEFT(RIGHTB(REPT(0,4)&amp;_xlfn.BASE(DB07_baselinesequence[[#This Row],[num]],36),4),2)&amp;"-"&amp;RIGHT(RIGHTB(REPT(0,4)&amp;_xlfn.BASE(DB07_baselinesequence[[#This Row],[num]],36),4),2)</f>
        <v>07-00-9V</v>
      </c>
      <c r="C343" s="1" t="s">
        <v>1591</v>
      </c>
      <c r="F343" s="1" t="s">
        <v>1180</v>
      </c>
      <c r="G343" s="1" t="str">
        <f>_xlfn.XLOOKUP(DB07_baselinesequence[[#This Row],[basesequence-ID]],DB06_baseline[ID],DB06_baseline[Baseline],"",0)</f>
        <v>CCTGTAGCAATCTGCTTGAC</v>
      </c>
      <c r="H343" s="1">
        <f>_xlfn.XLOOKUP(DB07_baselinesequence[[#This Row],[basesequence-ID]],DB06_baseline[ID],DB06_baseline[確認済],FALSE,0)</f>
        <v>0</v>
      </c>
      <c r="J343" s="1" t="s">
        <v>1917</v>
      </c>
      <c r="K343" s="4"/>
      <c r="L343" s="3"/>
    </row>
    <row r="344" spans="1:12" x14ac:dyDescent="0.45">
      <c r="A344" s="1">
        <v>356</v>
      </c>
      <c r="B344" s="1" t="str">
        <f>"07-"&amp;LEFT(RIGHTB(REPT(0,4)&amp;_xlfn.BASE(DB07_baselinesequence[[#This Row],[num]],36),4),2)&amp;"-"&amp;RIGHT(RIGHTB(REPT(0,4)&amp;_xlfn.BASE(DB07_baselinesequence[[#This Row],[num]],36),4),2)</f>
        <v>07-00-9W</v>
      </c>
      <c r="C344" s="1" t="s">
        <v>1592</v>
      </c>
      <c r="F344" s="1" t="s">
        <v>1182</v>
      </c>
      <c r="G344" s="1" t="str">
        <f>_xlfn.XLOOKUP(DB07_baselinesequence[[#This Row],[basesequence-ID]],DB06_baseline[ID],DB06_baseline[Baseline],"",0)</f>
        <v>AAACCCCTGTAGCAATCTGC</v>
      </c>
      <c r="H344" s="1">
        <f>_xlfn.XLOOKUP(DB07_baselinesequence[[#This Row],[basesequence-ID]],DB06_baseline[ID],DB06_baseline[確認済],FALSE,0)</f>
        <v>0</v>
      </c>
      <c r="J344" s="1" t="s">
        <v>1918</v>
      </c>
      <c r="K344" s="4"/>
      <c r="L344" s="3"/>
    </row>
    <row r="345" spans="1:12" x14ac:dyDescent="0.45">
      <c r="A345" s="1">
        <v>357</v>
      </c>
      <c r="B345" s="1" t="str">
        <f>"07-"&amp;LEFT(RIGHTB(REPT(0,4)&amp;_xlfn.BASE(DB07_baselinesequence[[#This Row],[num]],36),4),2)&amp;"-"&amp;RIGHT(RIGHTB(REPT(0,4)&amp;_xlfn.BASE(DB07_baselinesequence[[#This Row],[num]],36),4),2)</f>
        <v>07-00-9X</v>
      </c>
      <c r="C345" s="1" t="s">
        <v>1593</v>
      </c>
      <c r="F345" s="1" t="s">
        <v>1184</v>
      </c>
      <c r="G345" s="1" t="str">
        <f>_xlfn.XLOOKUP(DB07_baselinesequence[[#This Row],[basesequence-ID]],DB06_baseline[ID],DB06_baseline[Baseline],"",0)</f>
        <v>ATCAGAAACCCCTGTAGCAA</v>
      </c>
      <c r="H345" s="1">
        <f>_xlfn.XLOOKUP(DB07_baselinesequence[[#This Row],[basesequence-ID]],DB06_baseline[ID],DB06_baseline[確認済],FALSE,0)</f>
        <v>0</v>
      </c>
      <c r="J345" s="1" t="s">
        <v>1919</v>
      </c>
      <c r="K345" s="4"/>
      <c r="L345" s="3"/>
    </row>
    <row r="346" spans="1:12" x14ac:dyDescent="0.45">
      <c r="A346" s="1">
        <v>358</v>
      </c>
      <c r="B346" s="1" t="str">
        <f>"07-"&amp;LEFT(RIGHTB(REPT(0,4)&amp;_xlfn.BASE(DB07_baselinesequence[[#This Row],[num]],36),4),2)&amp;"-"&amp;RIGHT(RIGHTB(REPT(0,4)&amp;_xlfn.BASE(DB07_baselinesequence[[#This Row],[num]],36),4),2)</f>
        <v>07-00-9Y</v>
      </c>
      <c r="C346" s="1" t="s">
        <v>1594</v>
      </c>
      <c r="F346" s="1" t="s">
        <v>1186</v>
      </c>
      <c r="G346" s="1" t="str">
        <f>_xlfn.XLOOKUP(DB07_baselinesequence[[#This Row],[basesequence-ID]],DB06_baseline[ID],DB06_baseline[Baseline],"",0)</f>
        <v>ATGGTATCAGAAACCCCTGT</v>
      </c>
      <c r="H346" s="1">
        <f>_xlfn.XLOOKUP(DB07_baselinesequence[[#This Row],[basesequence-ID]],DB06_baseline[ID],DB06_baseline[確認済],FALSE,0)</f>
        <v>0</v>
      </c>
      <c r="J346" s="1" t="s">
        <v>1920</v>
      </c>
      <c r="K346" s="4"/>
      <c r="L346" s="3"/>
    </row>
    <row r="347" spans="1:12" x14ac:dyDescent="0.45">
      <c r="A347" s="1">
        <v>359</v>
      </c>
      <c r="B347" s="1" t="str">
        <f>"07-"&amp;LEFT(RIGHTB(REPT(0,4)&amp;_xlfn.BASE(DB07_baselinesequence[[#This Row],[num]],36),4),2)&amp;"-"&amp;RIGHT(RIGHTB(REPT(0,4)&amp;_xlfn.BASE(DB07_baselinesequence[[#This Row],[num]],36),4),2)</f>
        <v>07-00-9Z</v>
      </c>
      <c r="C347" s="1" t="s">
        <v>1595</v>
      </c>
      <c r="F347" s="1" t="s">
        <v>1188</v>
      </c>
      <c r="G347" s="1" t="str">
        <f>_xlfn.XLOOKUP(DB07_baselinesequence[[#This Row],[basesequence-ID]],DB06_baseline[ID],DB06_baseline[Baseline],"",0)</f>
        <v>CGCAGATGGTATCAGAAACC</v>
      </c>
      <c r="H347" s="1">
        <f>_xlfn.XLOOKUP(DB07_baselinesequence[[#This Row],[basesequence-ID]],DB06_baseline[ID],DB06_baseline[確認済],FALSE,0)</f>
        <v>0</v>
      </c>
      <c r="J347" s="1" t="s">
        <v>1921</v>
      </c>
      <c r="K347" s="4"/>
      <c r="L347" s="3"/>
    </row>
    <row r="348" spans="1:12" x14ac:dyDescent="0.45">
      <c r="A348" s="1">
        <v>360</v>
      </c>
      <c r="B348" s="1" t="str">
        <f>"07-"&amp;LEFT(RIGHTB(REPT(0,4)&amp;_xlfn.BASE(DB07_baselinesequence[[#This Row],[num]],36),4),2)&amp;"-"&amp;RIGHT(RIGHTB(REPT(0,4)&amp;_xlfn.BASE(DB07_baselinesequence[[#This Row],[num]],36),4),2)</f>
        <v>07-00-A0</v>
      </c>
      <c r="C348" s="1" t="s">
        <v>1596</v>
      </c>
      <c r="F348" s="1" t="s">
        <v>1190</v>
      </c>
      <c r="G348" s="1" t="str">
        <f>_xlfn.XLOOKUP(DB07_baselinesequence[[#This Row],[basesequence-ID]],DB06_baseline[ID],DB06_baseline[Baseline],"",0)</f>
        <v>GGGCTCGCAGATGGTATCAG</v>
      </c>
      <c r="H348" s="1">
        <f>_xlfn.XLOOKUP(DB07_baselinesequence[[#This Row],[basesequence-ID]],DB06_baseline[ID],DB06_baseline[確認済],FALSE,0)</f>
        <v>0</v>
      </c>
      <c r="J348" s="1" t="s">
        <v>1922</v>
      </c>
      <c r="K348" s="4"/>
      <c r="L348" s="3"/>
    </row>
    <row r="349" spans="1:12" x14ac:dyDescent="0.45">
      <c r="A349" s="1">
        <v>361</v>
      </c>
      <c r="B349" s="1" t="str">
        <f>"07-"&amp;LEFT(RIGHTB(REPT(0,4)&amp;_xlfn.BASE(DB07_baselinesequence[[#This Row],[num]],36),4),2)&amp;"-"&amp;RIGHT(RIGHTB(REPT(0,4)&amp;_xlfn.BASE(DB07_baselinesequence[[#This Row],[num]],36),4),2)</f>
        <v>07-00-A1</v>
      </c>
      <c r="C349" s="1" t="s">
        <v>1597</v>
      </c>
      <c r="F349" s="1" t="s">
        <v>1192</v>
      </c>
      <c r="G349" s="1" t="str">
        <f>_xlfn.XLOOKUP(DB07_baselinesequence[[#This Row],[basesequence-ID]],DB06_baseline[ID],DB06_baseline[Baseline],"",0)</f>
        <v>GGGCAGGGCTCGCAGATGGT</v>
      </c>
      <c r="H349" s="1">
        <f>_xlfn.XLOOKUP(DB07_baselinesequence[[#This Row],[basesequence-ID]],DB06_baseline[ID],DB06_baseline[確認済],FALSE,0)</f>
        <v>0</v>
      </c>
      <c r="J349" s="1" t="s">
        <v>1923</v>
      </c>
      <c r="K349" s="4"/>
      <c r="L349" s="3"/>
    </row>
    <row r="350" spans="1:12" x14ac:dyDescent="0.45">
      <c r="A350" s="1">
        <v>362</v>
      </c>
      <c r="B350" s="1" t="str">
        <f>"07-"&amp;LEFT(RIGHTB(REPT(0,4)&amp;_xlfn.BASE(DB07_baselinesequence[[#This Row],[num]],36),4),2)&amp;"-"&amp;RIGHT(RIGHTB(REPT(0,4)&amp;_xlfn.BASE(DB07_baselinesequence[[#This Row],[num]],36),4),2)</f>
        <v>07-00-A2</v>
      </c>
      <c r="C350" s="1" t="s">
        <v>1598</v>
      </c>
      <c r="F350" s="1" t="s">
        <v>1194</v>
      </c>
      <c r="G350" s="1" t="str">
        <f>_xlfn.XLOOKUP(DB07_baselinesequence[[#This Row],[basesequence-ID]],DB06_baseline[ID],DB06_baseline[Baseline],"",0)</f>
        <v>CGACTGGGCAGGGCTCGCAG</v>
      </c>
      <c r="H350" s="1">
        <f>_xlfn.XLOOKUP(DB07_baselinesequence[[#This Row],[basesequence-ID]],DB06_baseline[ID],DB06_baseline[確認済],FALSE,0)</f>
        <v>0</v>
      </c>
      <c r="J350" s="1" t="s">
        <v>1924</v>
      </c>
      <c r="K350" s="4"/>
      <c r="L350" s="3"/>
    </row>
    <row r="351" spans="1:12" x14ac:dyDescent="0.45">
      <c r="A351" s="1">
        <v>363</v>
      </c>
      <c r="B351" s="1" t="str">
        <f>"07-"&amp;LEFT(RIGHTB(REPT(0,4)&amp;_xlfn.BASE(DB07_baselinesequence[[#This Row],[num]],36),4),2)&amp;"-"&amp;RIGHT(RIGHTB(REPT(0,4)&amp;_xlfn.BASE(DB07_baselinesequence[[#This Row],[num]],36),4),2)</f>
        <v>07-00-A3</v>
      </c>
      <c r="C351" s="1" t="s">
        <v>1599</v>
      </c>
      <c r="F351" s="1" t="s">
        <v>1196</v>
      </c>
      <c r="G351" s="1" t="str">
        <f>_xlfn.XLOOKUP(DB07_baselinesequence[[#This Row],[basesequence-ID]],DB06_baseline[ID],DB06_baseline[Baseline],"",0)</f>
        <v>GAAGCCGACTGGGCAGGGCT</v>
      </c>
      <c r="H351" s="1">
        <f>_xlfn.XLOOKUP(DB07_baselinesequence[[#This Row],[basesequence-ID]],DB06_baseline[ID],DB06_baseline[確認済],FALSE,0)</f>
        <v>0</v>
      </c>
      <c r="J351" s="1" t="s">
        <v>1925</v>
      </c>
      <c r="K351" s="4"/>
      <c r="L351" s="3"/>
    </row>
    <row r="352" spans="1:12" x14ac:dyDescent="0.45">
      <c r="A352" s="1">
        <v>364</v>
      </c>
      <c r="B352" s="1" t="str">
        <f>"07-"&amp;LEFT(RIGHTB(REPT(0,4)&amp;_xlfn.BASE(DB07_baselinesequence[[#This Row],[num]],36),4),2)&amp;"-"&amp;RIGHT(RIGHTB(REPT(0,4)&amp;_xlfn.BASE(DB07_baselinesequence[[#This Row],[num]],36),4),2)</f>
        <v>07-00-A4</v>
      </c>
      <c r="C352" s="1" t="s">
        <v>1600</v>
      </c>
      <c r="F352" s="1" t="s">
        <v>1198</v>
      </c>
      <c r="G352" s="1" t="str">
        <f>_xlfn.XLOOKUP(DB07_baselinesequence[[#This Row],[basesequence-ID]],DB06_baseline[ID],DB06_baseline[Baseline],"",0)</f>
        <v>GAGAAGAAGCCGACTGGGCA</v>
      </c>
      <c r="H352" s="1">
        <f>_xlfn.XLOOKUP(DB07_baselinesequence[[#This Row],[basesequence-ID]],DB06_baseline[ID],DB06_baseline[確認済],FALSE,0)</f>
        <v>0</v>
      </c>
      <c r="J352" s="1" t="s">
        <v>1926</v>
      </c>
      <c r="K352" s="4"/>
      <c r="L352" s="3"/>
    </row>
    <row r="353" spans="1:12" x14ac:dyDescent="0.45">
      <c r="A353" s="1">
        <v>365</v>
      </c>
      <c r="B353" s="1" t="str">
        <f>"07-"&amp;LEFT(RIGHTB(REPT(0,4)&amp;_xlfn.BASE(DB07_baselinesequence[[#This Row],[num]],36),4),2)&amp;"-"&amp;RIGHT(RIGHTB(REPT(0,4)&amp;_xlfn.BASE(DB07_baselinesequence[[#This Row],[num]],36),4),2)</f>
        <v>07-00-A5</v>
      </c>
      <c r="C353" s="1" t="s">
        <v>1601</v>
      </c>
      <c r="F353" s="1" t="s">
        <v>1200</v>
      </c>
      <c r="G353" s="1" t="str">
        <f>_xlfn.XLOOKUP(DB07_baselinesequence[[#This Row],[basesequence-ID]],DB06_baseline[ID],DB06_baseline[Baseline],"",0)</f>
        <v>CATTGGAGAAGAAGCCGACT</v>
      </c>
      <c r="H353" s="1">
        <f>_xlfn.XLOOKUP(DB07_baselinesequence[[#This Row],[basesequence-ID]],DB06_baseline[ID],DB06_baseline[確認済],FALSE,0)</f>
        <v>0</v>
      </c>
      <c r="J353" s="1" t="s">
        <v>1927</v>
      </c>
      <c r="K353" s="4"/>
      <c r="L353" s="3"/>
    </row>
    <row r="354" spans="1:12" x14ac:dyDescent="0.45">
      <c r="A354" s="1">
        <v>366</v>
      </c>
      <c r="B354" s="1" t="str">
        <f>"07-"&amp;LEFT(RIGHTB(REPT(0,4)&amp;_xlfn.BASE(DB07_baselinesequence[[#This Row],[num]],36),4),2)&amp;"-"&amp;RIGHT(RIGHTB(REPT(0,4)&amp;_xlfn.BASE(DB07_baselinesequence[[#This Row],[num]],36),4),2)</f>
        <v>07-00-A6</v>
      </c>
      <c r="C354" s="1" t="s">
        <v>1602</v>
      </c>
      <c r="F354" s="1" t="s">
        <v>1202</v>
      </c>
      <c r="G354" s="1" t="str">
        <f>_xlfn.XLOOKUP(DB07_baselinesequence[[#This Row],[basesequence-ID]],DB06_baseline[ID],DB06_baseline[Baseline],"",0)</f>
        <v>TGACACATTGGAGAAGAAGC</v>
      </c>
      <c r="H354" s="1">
        <f>_xlfn.XLOOKUP(DB07_baselinesequence[[#This Row],[basesequence-ID]],DB06_baseline[ID],DB06_baseline[確認済],FALSE,0)</f>
        <v>0</v>
      </c>
      <c r="J354" s="1" t="s">
        <v>1928</v>
      </c>
      <c r="K354" s="4"/>
      <c r="L354" s="3"/>
    </row>
    <row r="355" spans="1:12" x14ac:dyDescent="0.45">
      <c r="A355" s="1">
        <v>367</v>
      </c>
      <c r="B355" s="1" t="str">
        <f>"07-"&amp;LEFT(RIGHTB(REPT(0,4)&amp;_xlfn.BASE(DB07_baselinesequence[[#This Row],[num]],36),4),2)&amp;"-"&amp;RIGHT(RIGHTB(REPT(0,4)&amp;_xlfn.BASE(DB07_baselinesequence[[#This Row],[num]],36),4),2)</f>
        <v>07-00-A7</v>
      </c>
      <c r="C355" s="1" t="s">
        <v>1603</v>
      </c>
      <c r="F355" s="1" t="s">
        <v>1204</v>
      </c>
      <c r="G355" s="1" t="str">
        <f>_xlfn.XLOOKUP(DB07_baselinesequence[[#This Row],[basesequence-ID]],DB06_baseline[ID],DB06_baseline[Baseline],"",0)</f>
        <v>GCAGATGACACATTGGAGAA</v>
      </c>
      <c r="H355" s="1">
        <f>_xlfn.XLOOKUP(DB07_baselinesequence[[#This Row],[basesequence-ID]],DB06_baseline[ID],DB06_baseline[確認済],FALSE,0)</f>
        <v>0</v>
      </c>
      <c r="J355" s="1" t="s">
        <v>1929</v>
      </c>
      <c r="K355" s="4"/>
      <c r="L355" s="3"/>
    </row>
    <row r="356" spans="1:12" x14ac:dyDescent="0.45">
      <c r="A356" s="1">
        <v>368</v>
      </c>
      <c r="B356" s="1" t="str">
        <f>"07-"&amp;LEFT(RIGHTB(REPT(0,4)&amp;_xlfn.BASE(DB07_baselinesequence[[#This Row],[num]],36),4),2)&amp;"-"&amp;RIGHT(RIGHTB(REPT(0,4)&amp;_xlfn.BASE(DB07_baselinesequence[[#This Row],[num]],36),4),2)</f>
        <v>07-00-A8</v>
      </c>
      <c r="C356" s="1" t="s">
        <v>1604</v>
      </c>
      <c r="F356" s="1" t="s">
        <v>1206</v>
      </c>
      <c r="G356" s="1" t="str">
        <f>_xlfn.XLOOKUP(DB07_baselinesequence[[#This Row],[basesequence-ID]],DB06_baseline[ID],DB06_baseline[Baseline],"",0)</f>
        <v>CGAAAGCAGATGACACATTG</v>
      </c>
      <c r="H356" s="1">
        <f>_xlfn.XLOOKUP(DB07_baselinesequence[[#This Row],[basesequence-ID]],DB06_baseline[ID],DB06_baseline[確認済],FALSE,0)</f>
        <v>0</v>
      </c>
      <c r="J356" s="1" t="s">
        <v>1930</v>
      </c>
      <c r="K356" s="4"/>
      <c r="L356" s="3"/>
    </row>
    <row r="357" spans="1:12" x14ac:dyDescent="0.45">
      <c r="A357" s="1">
        <v>369</v>
      </c>
      <c r="B357" s="1" t="str">
        <f>"07-"&amp;LEFT(RIGHTB(REPT(0,4)&amp;_xlfn.BASE(DB07_baselinesequence[[#This Row],[num]],36),4),2)&amp;"-"&amp;RIGHT(RIGHTB(REPT(0,4)&amp;_xlfn.BASE(DB07_baselinesequence[[#This Row],[num]],36),4),2)</f>
        <v>07-00-A9</v>
      </c>
      <c r="C357" s="1" t="s">
        <v>1605</v>
      </c>
      <c r="F357" s="1" t="s">
        <v>1208</v>
      </c>
      <c r="G357" s="1" t="str">
        <f>_xlfn.XLOOKUP(DB07_baselinesequence[[#This Row],[basesequence-ID]],DB06_baseline[ID],DB06_baseline[Baseline],"",0)</f>
        <v>TTTTTCGAAAGCAGATGACA</v>
      </c>
      <c r="H357" s="1">
        <f>_xlfn.XLOOKUP(DB07_baselinesequence[[#This Row],[basesequence-ID]],DB06_baseline[ID],DB06_baseline[確認済],FALSE,0)</f>
        <v>0</v>
      </c>
      <c r="J357" s="1" t="s">
        <v>1931</v>
      </c>
      <c r="K357" s="4"/>
      <c r="L357" s="3"/>
    </row>
    <row r="358" spans="1:12" x14ac:dyDescent="0.45">
      <c r="A358" s="1">
        <v>370</v>
      </c>
      <c r="B358" s="1" t="str">
        <f>"07-"&amp;LEFT(RIGHTB(REPT(0,4)&amp;_xlfn.BASE(DB07_baselinesequence[[#This Row],[num]],36),4),2)&amp;"-"&amp;RIGHT(RIGHTB(REPT(0,4)&amp;_xlfn.BASE(DB07_baselinesequence[[#This Row],[num]],36),4),2)</f>
        <v>07-00-AA</v>
      </c>
      <c r="C358" s="1" t="s">
        <v>1606</v>
      </c>
      <c r="F358" s="1" t="s">
        <v>1210</v>
      </c>
      <c r="G358" s="1" t="str">
        <f>_xlfn.XLOOKUP(DB07_baselinesequence[[#This Row],[basesequence-ID]],DB06_baseline[ID],DB06_baseline[Baseline],"",0)</f>
        <v>TGACATTTTTCGAAAGCAGA</v>
      </c>
      <c r="H358" s="1">
        <f>_xlfn.XLOOKUP(DB07_baselinesequence[[#This Row],[basesequence-ID]],DB06_baseline[ID],DB06_baseline[確認済],FALSE,0)</f>
        <v>0</v>
      </c>
      <c r="J358" s="1" t="s">
        <v>1932</v>
      </c>
      <c r="K358" s="4"/>
      <c r="L358" s="3"/>
    </row>
    <row r="359" spans="1:12" x14ac:dyDescent="0.45">
      <c r="A359" s="1">
        <v>371</v>
      </c>
      <c r="B359" s="1" t="str">
        <f>"07-"&amp;LEFT(RIGHTB(REPT(0,4)&amp;_xlfn.BASE(DB07_baselinesequence[[#This Row],[num]],36),4),2)&amp;"-"&amp;RIGHT(RIGHTB(REPT(0,4)&amp;_xlfn.BASE(DB07_baselinesequence[[#This Row],[num]],36),4),2)</f>
        <v>07-00-AB</v>
      </c>
      <c r="C359" s="1" t="s">
        <v>1607</v>
      </c>
      <c r="F359" s="1" t="s">
        <v>1212</v>
      </c>
      <c r="G359" s="1" t="str">
        <f>_xlfn.XLOOKUP(DB07_baselinesequence[[#This Row],[basesequence-ID]],DB06_baseline[ID],DB06_baseline[Baseline],"",0)</f>
        <v>AAGGGTGACATTTTTCGAAA</v>
      </c>
      <c r="H359" s="1">
        <f>_xlfn.XLOOKUP(DB07_baselinesequence[[#This Row],[basesequence-ID]],DB06_baseline[ID],DB06_baseline[確認済],FALSE,0)</f>
        <v>0</v>
      </c>
      <c r="J359" s="1" t="s">
        <v>1933</v>
      </c>
      <c r="K359" s="4"/>
      <c r="L359" s="3"/>
    </row>
    <row r="360" spans="1:12" x14ac:dyDescent="0.45">
      <c r="A360" s="1">
        <v>372</v>
      </c>
      <c r="B360" s="1" t="str">
        <f>"07-"&amp;LEFT(RIGHTB(REPT(0,4)&amp;_xlfn.BASE(DB07_baselinesequence[[#This Row],[num]],36),4),2)&amp;"-"&amp;RIGHT(RIGHTB(REPT(0,4)&amp;_xlfn.BASE(DB07_baselinesequence[[#This Row],[num]],36),4),2)</f>
        <v>07-00-AC</v>
      </c>
      <c r="C360" s="1" t="s">
        <v>1608</v>
      </c>
      <c r="F360" s="1" t="s">
        <v>1214</v>
      </c>
      <c r="G360" s="1" t="str">
        <f>_xlfn.XLOOKUP(DB07_baselinesequence[[#This Row],[basesequence-ID]],DB06_baseline[ID],DB06_baseline[Baseline],"",0)</f>
        <v>TGTCCAAGGGTGACATTTTT</v>
      </c>
      <c r="H360" s="1">
        <f>_xlfn.XLOOKUP(DB07_baselinesequence[[#This Row],[basesequence-ID]],DB06_baseline[ID],DB06_baseline[確認済],FALSE,0)</f>
        <v>0</v>
      </c>
      <c r="J360" s="1" t="s">
        <v>1934</v>
      </c>
      <c r="K360" s="4"/>
      <c r="L360" s="3"/>
    </row>
    <row r="361" spans="1:12" x14ac:dyDescent="0.45">
      <c r="A361" s="1">
        <v>373</v>
      </c>
      <c r="B361" s="1" t="str">
        <f>"07-"&amp;LEFT(RIGHTB(REPT(0,4)&amp;_xlfn.BASE(DB07_baselinesequence[[#This Row],[num]],36),4),2)&amp;"-"&amp;RIGHT(RIGHTB(REPT(0,4)&amp;_xlfn.BASE(DB07_baselinesequence[[#This Row],[num]],36),4),2)</f>
        <v>07-00-AD</v>
      </c>
      <c r="C361" s="1" t="s">
        <v>1609</v>
      </c>
      <c r="F361" s="1" t="s">
        <v>1216</v>
      </c>
      <c r="G361" s="1" t="str">
        <f>_xlfn.XLOOKUP(DB07_baselinesequence[[#This Row],[basesequence-ID]],DB06_baseline[ID],DB06_baseline[Baseline],"",0)</f>
        <v>CAGCTTGTCCAAGGGTGACA</v>
      </c>
      <c r="H361" s="1">
        <f>_xlfn.XLOOKUP(DB07_baselinesequence[[#This Row],[basesequence-ID]],DB06_baseline[ID],DB06_baseline[確認済],FALSE,0)</f>
        <v>0</v>
      </c>
      <c r="J361" s="1" t="s">
        <v>1935</v>
      </c>
      <c r="K361" s="4"/>
      <c r="L361" s="3"/>
    </row>
    <row r="362" spans="1:12" x14ac:dyDescent="0.45">
      <c r="A362" s="1">
        <v>374</v>
      </c>
      <c r="B362" s="1" t="str">
        <f>"07-"&amp;LEFT(RIGHTB(REPT(0,4)&amp;_xlfn.BASE(DB07_baselinesequence[[#This Row],[num]],36),4),2)&amp;"-"&amp;RIGHT(RIGHTB(REPT(0,4)&amp;_xlfn.BASE(DB07_baselinesequence[[#This Row],[num]],36),4),2)</f>
        <v>07-00-AE</v>
      </c>
      <c r="C362" s="1" t="s">
        <v>1610</v>
      </c>
      <c r="F362" s="1" t="s">
        <v>1218</v>
      </c>
      <c r="G362" s="1" t="str">
        <f>_xlfn.XLOOKUP(DB07_baselinesequence[[#This Row],[basesequence-ID]],DB06_baseline[ID],DB06_baseline[Baseline],"",0)</f>
        <v>TCTCACAGCTTGTCCAAGGG</v>
      </c>
      <c r="H362" s="1">
        <f>_xlfn.XLOOKUP(DB07_baselinesequence[[#This Row],[basesequence-ID]],DB06_baseline[ID],DB06_baseline[確認済],FALSE,0)</f>
        <v>0</v>
      </c>
      <c r="J362" s="1" t="s">
        <v>1936</v>
      </c>
      <c r="K362" s="4"/>
      <c r="L362" s="3"/>
    </row>
    <row r="363" spans="1:12" x14ac:dyDescent="0.45">
      <c r="A363" s="1">
        <v>375</v>
      </c>
      <c r="B363" s="1" t="str">
        <f>"07-"&amp;LEFT(RIGHTB(REPT(0,4)&amp;_xlfn.BASE(DB07_baselinesequence[[#This Row],[num]],36),4),2)&amp;"-"&amp;RIGHT(RIGHTB(REPT(0,4)&amp;_xlfn.BASE(DB07_baselinesequence[[#This Row],[num]],36),4),2)</f>
        <v>07-00-AF</v>
      </c>
      <c r="C363" s="1" t="s">
        <v>1611</v>
      </c>
      <c r="F363" s="1" t="s">
        <v>1220</v>
      </c>
      <c r="G363" s="1" t="str">
        <f>_xlfn.XLOOKUP(DB07_baselinesequence[[#This Row],[basesequence-ID]],DB06_baseline[ID],DB06_baseline[Baseline],"",0)</f>
        <v>TTTGGTCTCACAGCTTGTCC</v>
      </c>
      <c r="H363" s="1">
        <f>_xlfn.XLOOKUP(DB07_baselinesequence[[#This Row],[basesequence-ID]],DB06_baseline[ID],DB06_baseline[確認済],FALSE,0)</f>
        <v>0</v>
      </c>
      <c r="J363" s="1" t="s">
        <v>1937</v>
      </c>
      <c r="K363" s="4"/>
      <c r="L363" s="3"/>
    </row>
    <row r="364" spans="1:12" x14ac:dyDescent="0.45">
      <c r="A364" s="1">
        <v>376</v>
      </c>
      <c r="B364" s="1" t="str">
        <f>"07-"&amp;LEFT(RIGHTB(REPT(0,4)&amp;_xlfn.BASE(DB07_baselinesequence[[#This Row],[num]],36),4),2)&amp;"-"&amp;RIGHT(RIGHTB(REPT(0,4)&amp;_xlfn.BASE(DB07_baselinesequence[[#This Row],[num]],36),4),2)</f>
        <v>07-00-AG</v>
      </c>
      <c r="C364" s="1" t="s">
        <v>1612</v>
      </c>
      <c r="F364" s="1" t="s">
        <v>1222</v>
      </c>
      <c r="G364" s="1" t="str">
        <f>_xlfn.XLOOKUP(DB07_baselinesequence[[#This Row],[basesequence-ID]],DB06_baseline[ID],DB06_baseline[Baseline],"",0)</f>
        <v>AGGTCTTTGGTCTCACAGCT</v>
      </c>
      <c r="H364" s="1">
        <f>_xlfn.XLOOKUP(DB07_baselinesequence[[#This Row],[basesequence-ID]],DB06_baseline[ID],DB06_baseline[確認済],FALSE,0)</f>
        <v>0</v>
      </c>
      <c r="J364" s="1" t="s">
        <v>1938</v>
      </c>
      <c r="K364" s="4"/>
      <c r="L364" s="3"/>
    </row>
    <row r="365" spans="1:12" x14ac:dyDescent="0.45">
      <c r="A365" s="1">
        <v>377</v>
      </c>
      <c r="B365" s="1" t="str">
        <f>"07-"&amp;LEFT(RIGHTB(REPT(0,4)&amp;_xlfn.BASE(DB07_baselinesequence[[#This Row],[num]],36),4),2)&amp;"-"&amp;RIGHT(RIGHTB(REPT(0,4)&amp;_xlfn.BASE(DB07_baselinesequence[[#This Row],[num]],36),4),2)</f>
        <v>07-00-AH</v>
      </c>
      <c r="C365" s="1" t="s">
        <v>1613</v>
      </c>
      <c r="F365" s="1" t="s">
        <v>1224</v>
      </c>
      <c r="G365" s="1" t="str">
        <f>_xlfn.XLOOKUP(DB07_baselinesequence[[#This Row],[basesequence-ID]],DB06_baseline[ID],DB06_baseline[Baseline],"",0)</f>
        <v>CAACCAGGTCTTTGGTCTCA</v>
      </c>
      <c r="H365" s="1">
        <f>_xlfn.XLOOKUP(DB07_baselinesequence[[#This Row],[basesequence-ID]],DB06_baseline[ID],DB06_baseline[確認済],FALSE,0)</f>
        <v>0</v>
      </c>
      <c r="J365" s="1" t="s">
        <v>1939</v>
      </c>
      <c r="K365" s="4"/>
      <c r="L365" s="3"/>
    </row>
    <row r="366" spans="1:12" x14ac:dyDescent="0.45">
      <c r="A366" s="1">
        <v>378</v>
      </c>
      <c r="B366" s="1" t="str">
        <f>"07-"&amp;LEFT(RIGHTB(REPT(0,4)&amp;_xlfn.BASE(DB07_baselinesequence[[#This Row],[num]],36),4),2)&amp;"-"&amp;RIGHT(RIGHTB(REPT(0,4)&amp;_xlfn.BASE(DB07_baselinesequence[[#This Row],[num]],36),4),2)</f>
        <v>07-00-AI</v>
      </c>
      <c r="C366" s="1" t="s">
        <v>1614</v>
      </c>
      <c r="F366" s="1" t="s">
        <v>1226</v>
      </c>
      <c r="G366" s="1" t="str">
        <f>_xlfn.XLOOKUP(DB07_baselinesequence[[#This Row],[basesequence-ID]],DB06_baseline[ID],DB06_baseline[Baseline],"",0)</f>
        <v>TTGCACAACCAGGTCTTTGG</v>
      </c>
      <c r="H366" s="1">
        <f>_xlfn.XLOOKUP(DB07_baselinesequence[[#This Row],[basesequence-ID]],DB06_baseline[ID],DB06_baseline[確認済],FALSE,0)</f>
        <v>0</v>
      </c>
      <c r="J366" s="1" t="s">
        <v>1940</v>
      </c>
      <c r="K366" s="4"/>
      <c r="L366" s="3"/>
    </row>
    <row r="367" spans="1:12" x14ac:dyDescent="0.45">
      <c r="A367" s="1">
        <v>379</v>
      </c>
      <c r="B367" s="1" t="str">
        <f>"07-"&amp;LEFT(RIGHTB(REPT(0,4)&amp;_xlfn.BASE(DB07_baselinesequence[[#This Row],[num]],36),4),2)&amp;"-"&amp;RIGHT(RIGHTB(REPT(0,4)&amp;_xlfn.BASE(DB07_baselinesequence[[#This Row],[num]],36),4),2)</f>
        <v>07-00-AJ</v>
      </c>
      <c r="C367" s="1" t="s">
        <v>1615</v>
      </c>
      <c r="F367" s="1" t="s">
        <v>1228</v>
      </c>
      <c r="G367" s="1" t="str">
        <f>_xlfn.XLOOKUP(DB07_baselinesequence[[#This Row],[basesequence-ID]],DB06_baseline[ID],DB06_baseline[Baseline],"",0)</f>
        <v>GCCTGTTGCACAACCAGGTC</v>
      </c>
      <c r="H367" s="1">
        <f>_xlfn.XLOOKUP(DB07_baselinesequence[[#This Row],[basesequence-ID]],DB06_baseline[ID],DB06_baseline[確認済],FALSE,0)</f>
        <v>0</v>
      </c>
      <c r="J367" s="1" t="s">
        <v>1941</v>
      </c>
      <c r="K367" s="4"/>
      <c r="L367" s="3"/>
    </row>
    <row r="368" spans="1:12" x14ac:dyDescent="0.45">
      <c r="A368" s="1">
        <v>380</v>
      </c>
      <c r="B368" s="1" t="str">
        <f>"07-"&amp;LEFT(RIGHTB(REPT(0,4)&amp;_xlfn.BASE(DB07_baselinesequence[[#This Row],[num]],36),4),2)&amp;"-"&amp;RIGHT(RIGHTB(REPT(0,4)&amp;_xlfn.BASE(DB07_baselinesequence[[#This Row],[num]],36),4),2)</f>
        <v>07-00-AK</v>
      </c>
      <c r="C368" s="1" t="s">
        <v>1616</v>
      </c>
      <c r="F368" s="1" t="s">
        <v>1230</v>
      </c>
      <c r="G368" s="1" t="str">
        <f>_xlfn.XLOOKUP(DB07_baselinesequence[[#This Row],[basesequence-ID]],DB06_baseline[ID],DB06_baseline[Baseline],"",0)</f>
        <v>TGCCTGCCTGTTGCACAACC</v>
      </c>
      <c r="H368" s="1">
        <f>_xlfn.XLOOKUP(DB07_baselinesequence[[#This Row],[basesequence-ID]],DB06_baseline[ID],DB06_baseline[確認済],FALSE,0)</f>
        <v>0</v>
      </c>
      <c r="J368" s="1" t="s">
        <v>1942</v>
      </c>
      <c r="K368" s="4"/>
      <c r="L368" s="3"/>
    </row>
    <row r="369" spans="1:12" x14ac:dyDescent="0.45">
      <c r="A369" s="1">
        <v>381</v>
      </c>
      <c r="B369" s="1" t="str">
        <f>"07-"&amp;LEFT(RIGHTB(REPT(0,4)&amp;_xlfn.BASE(DB07_baselinesequence[[#This Row],[num]],36),4),2)&amp;"-"&amp;RIGHT(RIGHTB(REPT(0,4)&amp;_xlfn.BASE(DB07_baselinesequence[[#This Row],[num]],36),4),2)</f>
        <v>07-00-AL</v>
      </c>
      <c r="C369" s="1" t="s">
        <v>1617</v>
      </c>
      <c r="F369" s="1" t="s">
        <v>1232</v>
      </c>
      <c r="G369" s="1" t="str">
        <f>_xlfn.XLOOKUP(DB07_baselinesequence[[#This Row],[basesequence-ID]],DB06_baseline[ID],DB06_baseline[Baseline],"",0)</f>
        <v>GTTTGTGCCTGCCTGTTGCA</v>
      </c>
      <c r="H369" s="1">
        <f>_xlfn.XLOOKUP(DB07_baselinesequence[[#This Row],[basesequence-ID]],DB06_baseline[ID],DB06_baseline[確認済],FALSE,0)</f>
        <v>0</v>
      </c>
      <c r="J369" s="1" t="s">
        <v>1943</v>
      </c>
      <c r="K369" s="4"/>
      <c r="L369" s="3"/>
    </row>
    <row r="370" spans="1:12" x14ac:dyDescent="0.45">
      <c r="A370" s="1">
        <v>382</v>
      </c>
      <c r="B370" s="1" t="str">
        <f>"07-"&amp;LEFT(RIGHTB(REPT(0,4)&amp;_xlfn.BASE(DB07_baselinesequence[[#This Row],[num]],36),4),2)&amp;"-"&amp;RIGHT(RIGHTB(REPT(0,4)&amp;_xlfn.BASE(DB07_baselinesequence[[#This Row],[num]],36),4),2)</f>
        <v>07-00-AM</v>
      </c>
      <c r="C370" s="1" t="s">
        <v>1618</v>
      </c>
      <c r="F370" s="1" t="s">
        <v>1234</v>
      </c>
      <c r="G370" s="1" t="str">
        <f>_xlfn.XLOOKUP(DB07_baselinesequence[[#This Row],[basesequence-ID]],DB06_baseline[ID],DB06_baseline[Baseline],"",0)</f>
        <v>GTCTTGTTTGTGCCTGCCTG</v>
      </c>
      <c r="H370" s="1">
        <f>_xlfn.XLOOKUP(DB07_baselinesequence[[#This Row],[basesequence-ID]],DB06_baseline[ID],DB06_baseline[確認済],FALSE,0)</f>
        <v>0</v>
      </c>
      <c r="J370" s="1" t="s">
        <v>1944</v>
      </c>
      <c r="K370" s="4"/>
      <c r="L370" s="3"/>
    </row>
    <row r="371" spans="1:12" x14ac:dyDescent="0.45">
      <c r="A371" s="1">
        <v>383</v>
      </c>
      <c r="B371" s="1" t="str">
        <f>"07-"&amp;LEFT(RIGHTB(REPT(0,4)&amp;_xlfn.BASE(DB07_baselinesequence[[#This Row],[num]],36),4),2)&amp;"-"&amp;RIGHT(RIGHTB(REPT(0,4)&amp;_xlfn.BASE(DB07_baselinesequence[[#This Row],[num]],36),4),2)</f>
        <v>07-00-AN</v>
      </c>
      <c r="C371" s="1" t="s">
        <v>1619</v>
      </c>
      <c r="F371" s="1" t="s">
        <v>1236</v>
      </c>
      <c r="G371" s="1" t="str">
        <f>_xlfn.XLOOKUP(DB07_baselinesequence[[#This Row],[basesequence-ID]],DB06_baseline[ID],DB06_baseline[Baseline],"",0)</f>
        <v>CATCAGTCTTGTTTGTGCCT</v>
      </c>
      <c r="H371" s="1">
        <f>_xlfn.XLOOKUP(DB07_baselinesequence[[#This Row],[basesequence-ID]],DB06_baseline[ID],DB06_baseline[確認済],FALSE,0)</f>
        <v>0</v>
      </c>
      <c r="J371" s="1" t="s">
        <v>1945</v>
      </c>
      <c r="K371" s="4"/>
      <c r="L371" s="3"/>
    </row>
    <row r="372" spans="1:12" x14ac:dyDescent="0.45">
      <c r="A372" s="1">
        <v>384</v>
      </c>
      <c r="B372" s="1" t="str">
        <f>"07-"&amp;LEFT(RIGHTB(REPT(0,4)&amp;_xlfn.BASE(DB07_baselinesequence[[#This Row],[num]],36),4),2)&amp;"-"&amp;RIGHT(RIGHTB(REPT(0,4)&amp;_xlfn.BASE(DB07_baselinesequence[[#This Row],[num]],36),4),2)</f>
        <v>07-00-AO</v>
      </c>
      <c r="C372" s="1" t="s">
        <v>1620</v>
      </c>
      <c r="F372" s="1" t="s">
        <v>1238</v>
      </c>
      <c r="G372" s="1" t="str">
        <f>_xlfn.XLOOKUP(DB07_baselinesequence[[#This Row],[basesequence-ID]],DB06_baseline[ID],DB06_baseline[Baseline],"",0)</f>
        <v>GACAACATCAGTCTTGTTTG</v>
      </c>
      <c r="H372" s="1">
        <f>_xlfn.XLOOKUP(DB07_baselinesequence[[#This Row],[basesequence-ID]],DB06_baseline[ID],DB06_baseline[確認済],FALSE,0)</f>
        <v>0</v>
      </c>
      <c r="J372" s="1" t="s">
        <v>1946</v>
      </c>
      <c r="K372" s="4"/>
      <c r="L372" s="3"/>
    </row>
    <row r="373" spans="1:12" x14ac:dyDescent="0.45">
      <c r="A373" s="1">
        <v>385</v>
      </c>
      <c r="B373" s="1" t="str">
        <f>"07-"&amp;LEFT(RIGHTB(REPT(0,4)&amp;_xlfn.BASE(DB07_baselinesequence[[#This Row],[num]],36),4),2)&amp;"-"&amp;RIGHT(RIGHTB(REPT(0,4)&amp;_xlfn.BASE(DB07_baselinesequence[[#This Row],[num]],36),4),2)</f>
        <v>07-00-AP</v>
      </c>
      <c r="C373" s="1" t="s">
        <v>1621</v>
      </c>
      <c r="F373" s="1" t="s">
        <v>1240</v>
      </c>
      <c r="G373" s="1" t="str">
        <f>_xlfn.XLOOKUP(DB07_baselinesequence[[#This Row],[basesequence-ID]],DB06_baseline[ID],DB06_baseline[Baseline],"",0)</f>
        <v>CCACAGACAACATCAGTCTT</v>
      </c>
      <c r="H373" s="1">
        <f>_xlfn.XLOOKUP(DB07_baselinesequence[[#This Row],[basesequence-ID]],DB06_baseline[ID],DB06_baseline[確認済],FALSE,0)</f>
        <v>0</v>
      </c>
      <c r="J373" s="1" t="s">
        <v>1947</v>
      </c>
      <c r="K373" s="4"/>
      <c r="L373" s="3"/>
    </row>
    <row r="374" spans="1:12" x14ac:dyDescent="0.45">
      <c r="A374" s="1">
        <v>386</v>
      </c>
      <c r="B374" s="1" t="str">
        <f>"07-"&amp;LEFT(RIGHTB(REPT(0,4)&amp;_xlfn.BASE(DB07_baselinesequence[[#This Row],[num]],36),4),2)&amp;"-"&amp;RIGHT(RIGHTB(REPT(0,4)&amp;_xlfn.BASE(DB07_baselinesequence[[#This Row],[num]],36),4),2)</f>
        <v>07-00-AQ</v>
      </c>
      <c r="C374" s="1" t="s">
        <v>1622</v>
      </c>
      <c r="F374" s="1" t="s">
        <v>1242</v>
      </c>
      <c r="G374" s="1" t="str">
        <f>_xlfn.XLOOKUP(DB07_baselinesequence[[#This Row],[basesequence-ID]],DB06_baseline[ID],DB06_baseline[Baseline],"",0)</f>
        <v>GGGGACCACAGACAACATCA</v>
      </c>
      <c r="H374" s="1">
        <f>_xlfn.XLOOKUP(DB07_baselinesequence[[#This Row],[basesequence-ID]],DB06_baseline[ID],DB06_baseline[確認済],FALSE,0)</f>
        <v>0</v>
      </c>
      <c r="J374" s="1" t="s">
        <v>1948</v>
      </c>
      <c r="K374" s="4"/>
      <c r="L374" s="3"/>
    </row>
    <row r="375" spans="1:12" x14ac:dyDescent="0.45">
      <c r="A375" s="1">
        <v>387</v>
      </c>
      <c r="B375" s="1" t="str">
        <f>"07-"&amp;LEFT(RIGHTB(REPT(0,4)&amp;_xlfn.BASE(DB07_baselinesequence[[#This Row],[num]],36),4),2)&amp;"-"&amp;RIGHT(RIGHTB(REPT(0,4)&amp;_xlfn.BASE(DB07_baselinesequence[[#This Row],[num]],36),4),2)</f>
        <v>07-00-AR</v>
      </c>
      <c r="C375" s="1" t="s">
        <v>1623</v>
      </c>
      <c r="F375" s="1" t="s">
        <v>1244</v>
      </c>
      <c r="G375" s="1" t="str">
        <f>_xlfn.XLOOKUP(DB07_baselinesequence[[#This Row],[basesequence-ID]],DB06_baseline[ID],DB06_baseline[Baseline],"",0)</f>
        <v>ATCCTGGGGACCACAGACAA</v>
      </c>
      <c r="H375" s="1">
        <f>_xlfn.XLOOKUP(DB07_baselinesequence[[#This Row],[basesequence-ID]],DB06_baseline[ID],DB06_baseline[確認済],FALSE,0)</f>
        <v>0</v>
      </c>
      <c r="J375" s="1" t="s">
        <v>1949</v>
      </c>
      <c r="K375" s="4"/>
      <c r="L375" s="3"/>
    </row>
    <row r="376" spans="1:12" x14ac:dyDescent="0.45">
      <c r="A376" s="1">
        <v>388</v>
      </c>
      <c r="B376" s="1" t="str">
        <f>"07-"&amp;LEFT(RIGHTB(REPT(0,4)&amp;_xlfn.BASE(DB07_baselinesequence[[#This Row],[num]],36),4),2)&amp;"-"&amp;RIGHT(RIGHTB(REPT(0,4)&amp;_xlfn.BASE(DB07_baselinesequence[[#This Row],[num]],36),4),2)</f>
        <v>07-00-AS</v>
      </c>
      <c r="C376" s="1" t="s">
        <v>1624</v>
      </c>
      <c r="F376" s="1" t="s">
        <v>1246</v>
      </c>
      <c r="G376" s="1" t="str">
        <f>_xlfn.XLOOKUP(DB07_baselinesequence[[#This Row],[basesequence-ID]],DB06_baseline[ID],DB06_baseline[Baseline],"",0)</f>
        <v>AGCCGATCCTGGGGACCACA</v>
      </c>
      <c r="H376" s="1">
        <f>_xlfn.XLOOKUP(DB07_baselinesequence[[#This Row],[basesequence-ID]],DB06_baseline[ID],DB06_baseline[確認済],FALSE,0)</f>
        <v>0</v>
      </c>
      <c r="J376" s="1" t="s">
        <v>1950</v>
      </c>
      <c r="K376" s="4"/>
      <c r="L376" s="3"/>
    </row>
    <row r="377" spans="1:12" x14ac:dyDescent="0.45">
      <c r="A377" s="1">
        <v>389</v>
      </c>
      <c r="B377" s="1" t="str">
        <f>"07-"&amp;LEFT(RIGHTB(REPT(0,4)&amp;_xlfn.BASE(DB07_baselinesequence[[#This Row],[num]],36),4),2)&amp;"-"&amp;RIGHT(RIGHTB(REPT(0,4)&amp;_xlfn.BASE(DB07_baselinesequence[[#This Row],[num]],36),4),2)</f>
        <v>07-00-AT</v>
      </c>
      <c r="C377" s="1" t="s">
        <v>1625</v>
      </c>
      <c r="F377" s="1" t="s">
        <v>1248</v>
      </c>
      <c r="G377" s="1" t="str">
        <f>_xlfn.XLOOKUP(DB07_baselinesequence[[#This Row],[basesequence-ID]],DB06_baseline[ID],DB06_baseline[Baseline],"",0)</f>
        <v>CTCTCAGCCGATCCTGGGGA</v>
      </c>
      <c r="H377" s="1">
        <f>_xlfn.XLOOKUP(DB07_baselinesequence[[#This Row],[basesequence-ID]],DB06_baseline[ID],DB06_baseline[確認済],FALSE,0)</f>
        <v>0</v>
      </c>
      <c r="J377" s="1" t="s">
        <v>1951</v>
      </c>
      <c r="K377" s="4"/>
      <c r="L377" s="3"/>
    </row>
    <row r="378" spans="1:12" x14ac:dyDescent="0.45">
      <c r="A378" s="1">
        <v>390</v>
      </c>
      <c r="B378" s="1" t="str">
        <f>"07-"&amp;LEFT(RIGHTB(REPT(0,4)&amp;_xlfn.BASE(DB07_baselinesequence[[#This Row],[num]],36),4),2)&amp;"-"&amp;RIGHT(RIGHTB(REPT(0,4)&amp;_xlfn.BASE(DB07_baselinesequence[[#This Row],[num]],36),4),2)</f>
        <v>07-00-AU</v>
      </c>
      <c r="C378" s="1" t="s">
        <v>1626</v>
      </c>
      <c r="F378" s="1" t="s">
        <v>1250</v>
      </c>
      <c r="G378" s="1" t="str">
        <f>_xlfn.XLOOKUP(DB07_baselinesequence[[#This Row],[basesequence-ID]],DB06_baseline[ID],DB06_baseline[Baseline],"",0)</f>
        <v>CAGGGCTCTCAGCCGATCCT</v>
      </c>
      <c r="H378" s="1">
        <f>_xlfn.XLOOKUP(DB07_baselinesequence[[#This Row],[basesequence-ID]],DB06_baseline[ID],DB06_baseline[確認済],FALSE,0)</f>
        <v>0</v>
      </c>
      <c r="J378" s="1" t="s">
        <v>1952</v>
      </c>
      <c r="K378" s="4"/>
      <c r="L378" s="3"/>
    </row>
    <row r="379" spans="1:12" x14ac:dyDescent="0.45">
      <c r="A379" s="1">
        <v>391</v>
      </c>
      <c r="B379" s="1" t="str">
        <f>"07-"&amp;LEFT(RIGHTB(REPT(0,4)&amp;_xlfn.BASE(DB07_baselinesequence[[#This Row],[num]],36),4),2)&amp;"-"&amp;RIGHT(RIGHTB(REPT(0,4)&amp;_xlfn.BASE(DB07_baselinesequence[[#This Row],[num]],36),4),2)</f>
        <v>07-00-AV</v>
      </c>
      <c r="C379" s="1" t="s">
        <v>1627</v>
      </c>
      <c r="F379" s="1" t="s">
        <v>1252</v>
      </c>
      <c r="G379" s="1" t="str">
        <f>_xlfn.XLOOKUP(DB07_baselinesequence[[#This Row],[basesequence-ID]],DB06_baseline[ID],DB06_baseline[Baseline],"",0)</f>
        <v>ACCACCAGGGCTCTCAGCCG</v>
      </c>
      <c r="H379" s="1">
        <f>_xlfn.XLOOKUP(DB07_baselinesequence[[#This Row],[basesequence-ID]],DB06_baseline[ID],DB06_baseline[確認済],FALSE,0)</f>
        <v>0</v>
      </c>
      <c r="J379" s="1" t="s">
        <v>1953</v>
      </c>
      <c r="K379" s="4"/>
      <c r="L379" s="3"/>
    </row>
    <row r="380" spans="1:12" x14ac:dyDescent="0.45">
      <c r="A380" s="1">
        <v>392</v>
      </c>
      <c r="B380" s="1" t="str">
        <f>"07-"&amp;LEFT(RIGHTB(REPT(0,4)&amp;_xlfn.BASE(DB07_baselinesequence[[#This Row],[num]],36),4),2)&amp;"-"&amp;RIGHT(RIGHTB(REPT(0,4)&amp;_xlfn.BASE(DB07_baselinesequence[[#This Row],[num]],36),4),2)</f>
        <v>07-00-AW</v>
      </c>
      <c r="C380" s="1" t="s">
        <v>1628</v>
      </c>
      <c r="F380" s="1" t="s">
        <v>1254</v>
      </c>
      <c r="G380" s="1" t="str">
        <f>_xlfn.XLOOKUP(DB07_baselinesequence[[#This Row],[basesequence-ID]],DB06_baseline[ID],DB06_baseline[Baseline],"",0)</f>
        <v>GGATCACCACCAGGGCTCTC</v>
      </c>
      <c r="H380" s="1">
        <f>_xlfn.XLOOKUP(DB07_baselinesequence[[#This Row],[basesequence-ID]],DB06_baseline[ID],DB06_baseline[確認済],FALSE,0)</f>
        <v>0</v>
      </c>
      <c r="J380" s="1" t="s">
        <v>1954</v>
      </c>
      <c r="K380" s="4"/>
      <c r="L380" s="3"/>
    </row>
    <row r="381" spans="1:12" x14ac:dyDescent="0.45">
      <c r="A381" s="1">
        <v>393</v>
      </c>
      <c r="B381" s="1" t="str">
        <f>"07-"&amp;LEFT(RIGHTB(REPT(0,4)&amp;_xlfn.BASE(DB07_baselinesequence[[#This Row],[num]],36),4),2)&amp;"-"&amp;RIGHT(RIGHTB(REPT(0,4)&amp;_xlfn.BASE(DB07_baselinesequence[[#This Row],[num]],36),4),2)</f>
        <v>07-00-AX</v>
      </c>
      <c r="C381" s="1" t="s">
        <v>1629</v>
      </c>
      <c r="F381" s="1" t="s">
        <v>1256</v>
      </c>
      <c r="G381" s="1" t="str">
        <f>_xlfn.XLOOKUP(DB07_baselinesequence[[#This Row],[basesequence-ID]],DB06_baseline[ID],DB06_baseline[Baseline],"",0)</f>
        <v>GATGGGGATCACCACCAGGG</v>
      </c>
      <c r="H381" s="1">
        <f>_xlfn.XLOOKUP(DB07_baselinesequence[[#This Row],[basesequence-ID]],DB06_baseline[ID],DB06_baseline[確認済],FALSE,0)</f>
        <v>0</v>
      </c>
      <c r="J381" s="1" t="s">
        <v>1955</v>
      </c>
      <c r="K381" s="4"/>
      <c r="L381" s="3"/>
    </row>
    <row r="382" spans="1:12" x14ac:dyDescent="0.45">
      <c r="A382" s="1">
        <v>394</v>
      </c>
      <c r="B382" s="1" t="str">
        <f>"07-"&amp;LEFT(RIGHTB(REPT(0,4)&amp;_xlfn.BASE(DB07_baselinesequence[[#This Row],[num]],36),4),2)&amp;"-"&amp;RIGHT(RIGHTB(REPT(0,4)&amp;_xlfn.BASE(DB07_baselinesequence[[#This Row],[num]],36),4),2)</f>
        <v>07-00-AY</v>
      </c>
      <c r="C382" s="1" t="s">
        <v>1630</v>
      </c>
      <c r="F382" s="1" t="s">
        <v>1258</v>
      </c>
      <c r="G382" s="1" t="str">
        <f>_xlfn.XLOOKUP(DB07_baselinesequence[[#This Row],[basesequence-ID]],DB06_baseline[ID],DB06_baseline[Baseline],"",0)</f>
        <v>AAGATGATGGGGATCACCAC</v>
      </c>
      <c r="H382" s="1">
        <f>_xlfn.XLOOKUP(DB07_baselinesequence[[#This Row],[basesequence-ID]],DB06_baseline[ID],DB06_baseline[確認済],FALSE,0)</f>
        <v>0</v>
      </c>
      <c r="J382" s="1" t="s">
        <v>1956</v>
      </c>
      <c r="K382" s="4"/>
      <c r="L382" s="3"/>
    </row>
    <row r="383" spans="1:12" x14ac:dyDescent="0.45">
      <c r="A383" s="1">
        <v>395</v>
      </c>
      <c r="B383" s="1" t="str">
        <f>"07-"&amp;LEFT(RIGHTB(REPT(0,4)&amp;_xlfn.BASE(DB07_baselinesequence[[#This Row],[num]],36),4),2)&amp;"-"&amp;RIGHT(RIGHTB(REPT(0,4)&amp;_xlfn.BASE(DB07_baselinesequence[[#This Row],[num]],36),4),2)</f>
        <v>07-00-AZ</v>
      </c>
      <c r="C383" s="1" t="s">
        <v>1631</v>
      </c>
      <c r="F383" s="1" t="s">
        <v>1260</v>
      </c>
      <c r="G383" s="1" t="str">
        <f>_xlfn.XLOOKUP(DB07_baselinesequence[[#This Row],[basesequence-ID]],DB06_baseline[ID],DB06_baseline[Baseline],"",0)</f>
        <v>TCCCGAAGATGATGGGGATC</v>
      </c>
      <c r="H383" s="1">
        <f>_xlfn.XLOOKUP(DB07_baselinesequence[[#This Row],[basesequence-ID]],DB06_baseline[ID],DB06_baseline[確認済],FALSE,0)</f>
        <v>0</v>
      </c>
      <c r="J383" s="1" t="s">
        <v>1957</v>
      </c>
      <c r="K383" s="4"/>
      <c r="L383" s="3"/>
    </row>
    <row r="384" spans="1:12" x14ac:dyDescent="0.45">
      <c r="A384" s="1">
        <v>396</v>
      </c>
      <c r="B384" s="1" t="str">
        <f>"07-"&amp;LEFT(RIGHTB(REPT(0,4)&amp;_xlfn.BASE(DB07_baselinesequence[[#This Row],[num]],36),4),2)&amp;"-"&amp;RIGHT(RIGHTB(REPT(0,4)&amp;_xlfn.BASE(DB07_baselinesequence[[#This Row],[num]],36),4),2)</f>
        <v>07-00-B0</v>
      </c>
      <c r="C384" s="1" t="s">
        <v>1632</v>
      </c>
      <c r="F384" s="1" t="s">
        <v>1262</v>
      </c>
      <c r="G384" s="1" t="str">
        <f>_xlfn.XLOOKUP(DB07_baselinesequence[[#This Row],[basesequence-ID]],DB06_baseline[ID],DB06_baseline[Baseline],"",0)</f>
        <v>CAGGATCCCGAAGATGATGG</v>
      </c>
      <c r="H384" s="1">
        <f>_xlfn.XLOOKUP(DB07_baselinesequence[[#This Row],[basesequence-ID]],DB06_baseline[ID],DB06_baseline[確認済],FALSE,0)</f>
        <v>0</v>
      </c>
      <c r="J384" s="1" t="s">
        <v>1958</v>
      </c>
      <c r="K384" s="4"/>
      <c r="L384" s="3"/>
    </row>
    <row r="385" spans="1:12" x14ac:dyDescent="0.45">
      <c r="A385" s="1">
        <v>397</v>
      </c>
      <c r="B385" s="1" t="str">
        <f>"07-"&amp;LEFT(RIGHTB(REPT(0,4)&amp;_xlfn.BASE(DB07_baselinesequence[[#This Row],[num]],36),4),2)&amp;"-"&amp;RIGHT(RIGHTB(REPT(0,4)&amp;_xlfn.BASE(DB07_baselinesequence[[#This Row],[num]],36),4),2)</f>
        <v>07-00-B1</v>
      </c>
      <c r="C385" s="1" t="s">
        <v>1633</v>
      </c>
      <c r="F385" s="1" t="s">
        <v>1264</v>
      </c>
      <c r="G385" s="1" t="str">
        <f>_xlfn.XLOOKUP(DB07_baselinesequence[[#This Row],[basesequence-ID]],DB06_baseline[ID],DB06_baseline[Baseline],"",0)</f>
        <v>GCAAACAGGATCCCGAAGAT</v>
      </c>
      <c r="H385" s="1">
        <f>_xlfn.XLOOKUP(DB07_baselinesequence[[#This Row],[basesequence-ID]],DB06_baseline[ID],DB06_baseline[確認済],FALSE,0)</f>
        <v>0</v>
      </c>
      <c r="J385" s="1" t="s">
        <v>1959</v>
      </c>
      <c r="K385" s="4"/>
      <c r="L385" s="3"/>
    </row>
    <row r="386" spans="1:12" x14ac:dyDescent="0.45">
      <c r="A386" s="1">
        <v>398</v>
      </c>
      <c r="B386" s="1" t="str">
        <f>"07-"&amp;LEFT(RIGHTB(REPT(0,4)&amp;_xlfn.BASE(DB07_baselinesequence[[#This Row],[num]],36),4),2)&amp;"-"&amp;RIGHT(RIGHTB(REPT(0,4)&amp;_xlfn.BASE(DB07_baselinesequence[[#This Row],[num]],36),4),2)</f>
        <v>07-00-B2</v>
      </c>
      <c r="C386" s="1" t="s">
        <v>1634</v>
      </c>
      <c r="F386" s="1" t="s">
        <v>1266</v>
      </c>
      <c r="G386" s="1" t="str">
        <f>_xlfn.XLOOKUP(DB07_baselinesequence[[#This Row],[basesequence-ID]],DB06_baseline[ID],DB06_baseline[Baseline],"",0)</f>
        <v>GGATGGCAAACAGGATCCCG</v>
      </c>
      <c r="H386" s="1">
        <f>_xlfn.XLOOKUP(DB07_baselinesequence[[#This Row],[basesequence-ID]],DB06_baseline[ID],DB06_baseline[確認済],FALSE,0)</f>
        <v>0</v>
      </c>
      <c r="J386" s="1" t="s">
        <v>1960</v>
      </c>
      <c r="K386" s="4"/>
      <c r="L386" s="3"/>
    </row>
    <row r="387" spans="1:12" x14ac:dyDescent="0.45">
      <c r="A387" s="1">
        <v>399</v>
      </c>
      <c r="B387" s="1" t="str">
        <f>"07-"&amp;LEFT(RIGHTB(REPT(0,4)&amp;_xlfn.BASE(DB07_baselinesequence[[#This Row],[num]],36),4),2)&amp;"-"&amp;RIGHT(RIGHTB(REPT(0,4)&amp;_xlfn.BASE(DB07_baselinesequence[[#This Row],[num]],36),4),2)</f>
        <v>07-00-B3</v>
      </c>
      <c r="C387" s="1" t="s">
        <v>1635</v>
      </c>
      <c r="F387" s="1" t="s">
        <v>1268</v>
      </c>
      <c r="G387" s="1" t="str">
        <f>_xlfn.XLOOKUP(DB07_baselinesequence[[#This Row],[basesequence-ID]],DB06_baseline[ID],DB06_baseline[Baseline],"",0)</f>
        <v>CAAGAGGATGGCAAACAGGA</v>
      </c>
      <c r="H387" s="1">
        <f>_xlfn.XLOOKUP(DB07_baselinesequence[[#This Row],[basesequence-ID]],DB06_baseline[ID],DB06_baseline[確認済],FALSE,0)</f>
        <v>0</v>
      </c>
      <c r="J387" s="1" t="s">
        <v>1961</v>
      </c>
      <c r="K387" s="4"/>
      <c r="L387" s="3"/>
    </row>
    <row r="388" spans="1:12" x14ac:dyDescent="0.45">
      <c r="A388" s="1">
        <v>400</v>
      </c>
      <c r="B388" s="1" t="str">
        <f>"07-"&amp;LEFT(RIGHTB(REPT(0,4)&amp;_xlfn.BASE(DB07_baselinesequence[[#This Row],[num]],36),4),2)&amp;"-"&amp;RIGHT(RIGHTB(REPT(0,4)&amp;_xlfn.BASE(DB07_baselinesequence[[#This Row],[num]],36),4),2)</f>
        <v>07-00-B4</v>
      </c>
      <c r="C388" s="1" t="s">
        <v>1636</v>
      </c>
      <c r="F388" s="1" t="s">
        <v>1270</v>
      </c>
      <c r="G388" s="1" t="str">
        <f>_xlfn.XLOOKUP(DB07_baselinesequence[[#This Row],[basesequence-ID]],DB06_baseline[ID],DB06_baseline[Baseline],"",0)</f>
        <v>AGCACCAAGAGGATGGCAAA</v>
      </c>
      <c r="H388" s="1">
        <f>_xlfn.XLOOKUP(DB07_baselinesequence[[#This Row],[basesequence-ID]],DB06_baseline[ID],DB06_baseline[確認済],FALSE,0)</f>
        <v>0</v>
      </c>
      <c r="J388" s="1" t="s">
        <v>1962</v>
      </c>
      <c r="K388" s="4"/>
      <c r="L388" s="3"/>
    </row>
    <row r="389" spans="1:12" x14ac:dyDescent="0.45">
      <c r="A389" s="1">
        <v>401</v>
      </c>
      <c r="B389" s="1" t="str">
        <f>"07-"&amp;LEFT(RIGHTB(REPT(0,4)&amp;_xlfn.BASE(DB07_baselinesequence[[#This Row],[num]],36),4),2)&amp;"-"&amp;RIGHT(RIGHTB(REPT(0,4)&amp;_xlfn.BASE(DB07_baselinesequence[[#This Row],[num]],36),4),2)</f>
        <v>07-00-B5</v>
      </c>
      <c r="C389" s="1" t="s">
        <v>1637</v>
      </c>
      <c r="F389" s="1" t="s">
        <v>1272</v>
      </c>
      <c r="G389" s="1" t="str">
        <f>_xlfn.XLOOKUP(DB07_baselinesequence[[#This Row],[basesequence-ID]],DB06_baseline[ID],DB06_baseline[Baseline],"",0)</f>
        <v>AGACCAGCACCAAGAGGATG</v>
      </c>
      <c r="H389" s="1">
        <f>_xlfn.XLOOKUP(DB07_baselinesequence[[#This Row],[basesequence-ID]],DB06_baseline[ID],DB06_baseline[確認済],FALSE,0)</f>
        <v>0</v>
      </c>
      <c r="J389" s="1" t="s">
        <v>1963</v>
      </c>
      <c r="K389" s="4"/>
      <c r="L389" s="3"/>
    </row>
    <row r="390" spans="1:12" x14ac:dyDescent="0.45">
      <c r="A390" s="1">
        <v>402</v>
      </c>
      <c r="B390" s="1" t="str">
        <f>"07-"&amp;LEFT(RIGHTB(REPT(0,4)&amp;_xlfn.BASE(DB07_baselinesequence[[#This Row],[num]],36),4),2)&amp;"-"&amp;RIGHT(RIGHTB(REPT(0,4)&amp;_xlfn.BASE(DB07_baselinesequence[[#This Row],[num]],36),4),2)</f>
        <v>07-00-B6</v>
      </c>
      <c r="C390" s="1" t="s">
        <v>1638</v>
      </c>
      <c r="F390" s="1" t="s">
        <v>1274</v>
      </c>
      <c r="G390" s="1" t="str">
        <f>_xlfn.XLOOKUP(DB07_baselinesequence[[#This Row],[basesequence-ID]],DB06_baseline[ID],DB06_baseline[Baseline],"",0)</f>
        <v>GATAAAGACCAGCACCAAGA</v>
      </c>
      <c r="H390" s="1">
        <f>_xlfn.XLOOKUP(DB07_baselinesequence[[#This Row],[basesequence-ID]],DB06_baseline[ID],DB06_baseline[確認済],FALSE,0)</f>
        <v>0</v>
      </c>
      <c r="J390" s="1" t="s">
        <v>1964</v>
      </c>
      <c r="K390" s="4"/>
      <c r="L390" s="3"/>
    </row>
    <row r="391" spans="1:12" x14ac:dyDescent="0.45">
      <c r="A391" s="1">
        <v>403</v>
      </c>
      <c r="B391" s="1" t="str">
        <f>"07-"&amp;LEFT(RIGHTB(REPT(0,4)&amp;_xlfn.BASE(DB07_baselinesequence[[#This Row],[num]],36),4),2)&amp;"-"&amp;RIGHT(RIGHTB(REPT(0,4)&amp;_xlfn.BASE(DB07_baselinesequence[[#This Row],[num]],36),4),2)</f>
        <v>07-00-B7</v>
      </c>
      <c r="C391" s="1" t="s">
        <v>1639</v>
      </c>
      <c r="F391" s="1" t="s">
        <v>1276</v>
      </c>
      <c r="G391" s="1" t="str">
        <f>_xlfn.XLOOKUP(DB07_baselinesequence[[#This Row],[basesequence-ID]],DB06_baseline[ID],DB06_baseline[Baseline],"",0)</f>
        <v>TTTTTGATAAAGACCAGCAC</v>
      </c>
      <c r="H391" s="1">
        <f>_xlfn.XLOOKUP(DB07_baselinesequence[[#This Row],[basesequence-ID]],DB06_baseline[ID],DB06_baseline[確認済],FALSE,0)</f>
        <v>0</v>
      </c>
      <c r="J391" s="1" t="s">
        <v>1965</v>
      </c>
      <c r="K391" s="4"/>
      <c r="L391" s="3"/>
    </row>
    <row r="392" spans="1:12" x14ac:dyDescent="0.45">
      <c r="A392" s="1">
        <v>404</v>
      </c>
      <c r="B392" s="1" t="str">
        <f>"07-"&amp;LEFT(RIGHTB(REPT(0,4)&amp;_xlfn.BASE(DB07_baselinesequence[[#This Row],[num]],36),4),2)&amp;"-"&amp;RIGHT(RIGHTB(REPT(0,4)&amp;_xlfn.BASE(DB07_baselinesequence[[#This Row],[num]],36),4),2)</f>
        <v>07-00-B8</v>
      </c>
      <c r="C392" s="1" t="s">
        <v>1640</v>
      </c>
      <c r="F392" s="1" t="s">
        <v>1278</v>
      </c>
      <c r="G392" s="1" t="str">
        <f>_xlfn.XLOOKUP(DB07_baselinesequence[[#This Row],[basesequence-ID]],DB06_baseline[ID],DB06_baseline[Baseline],"",0)</f>
        <v>CCACCTTTTTGATAAAGACC</v>
      </c>
      <c r="H392" s="1">
        <f>_xlfn.XLOOKUP(DB07_baselinesequence[[#This Row],[basesequence-ID]],DB06_baseline[ID],DB06_baseline[確認済],FALSE,0)</f>
        <v>0</v>
      </c>
      <c r="J392" s="1" t="s">
        <v>1966</v>
      </c>
      <c r="K392" s="4"/>
      <c r="L392" s="3"/>
    </row>
    <row r="393" spans="1:12" x14ac:dyDescent="0.45">
      <c r="A393" s="1">
        <v>405</v>
      </c>
      <c r="B393" s="1" t="str">
        <f>"07-"&amp;LEFT(RIGHTB(REPT(0,4)&amp;_xlfn.BASE(DB07_baselinesequence[[#This Row],[num]],36),4),2)&amp;"-"&amp;RIGHT(RIGHTB(REPT(0,4)&amp;_xlfn.BASE(DB07_baselinesequence[[#This Row],[num]],36),4),2)</f>
        <v>07-00-B9</v>
      </c>
      <c r="C393" s="1" t="s">
        <v>1641</v>
      </c>
      <c r="F393" s="1" t="s">
        <v>1280</v>
      </c>
      <c r="G393" s="1" t="str">
        <f>_xlfn.XLOOKUP(DB07_baselinesequence[[#This Row],[basesequence-ID]],DB06_baseline[ID],DB06_baseline[Baseline],"",0)</f>
        <v>CTTGGCCACCTTTTTGATAA</v>
      </c>
      <c r="H393" s="1">
        <f>_xlfn.XLOOKUP(DB07_baselinesequence[[#This Row],[basesequence-ID]],DB06_baseline[ID],DB06_baseline[確認済],FALSE,0)</f>
        <v>0</v>
      </c>
      <c r="J393" s="1" t="s">
        <v>1967</v>
      </c>
      <c r="K393" s="4"/>
      <c r="L393" s="3"/>
    </row>
    <row r="394" spans="1:12" x14ac:dyDescent="0.45">
      <c r="A394" s="1">
        <v>406</v>
      </c>
      <c r="B394" s="1" t="str">
        <f>"07-"&amp;LEFT(RIGHTB(REPT(0,4)&amp;_xlfn.BASE(DB07_baselinesequence[[#This Row],[num]],36),4),2)&amp;"-"&amp;RIGHT(RIGHTB(REPT(0,4)&amp;_xlfn.BASE(DB07_baselinesequence[[#This Row],[num]],36),4),2)</f>
        <v>07-00-BA</v>
      </c>
      <c r="C394" s="1" t="s">
        <v>1642</v>
      </c>
      <c r="F394" s="1" t="s">
        <v>1282</v>
      </c>
      <c r="G394" s="1" t="str">
        <f>_xlfn.XLOOKUP(DB07_baselinesequence[[#This Row],[basesequence-ID]],DB06_baseline[ID],DB06_baseline[Baseline],"",0)</f>
        <v>GGCTTCTTGGCCACCTTTTT</v>
      </c>
      <c r="H394" s="1">
        <f>_xlfn.XLOOKUP(DB07_baselinesequence[[#This Row],[basesequence-ID]],DB06_baseline[ID],DB06_baseline[確認済],FALSE,0)</f>
        <v>0</v>
      </c>
      <c r="J394" s="1" t="s">
        <v>1968</v>
      </c>
      <c r="K394" s="4"/>
      <c r="L394" s="3"/>
    </row>
    <row r="395" spans="1:12" x14ac:dyDescent="0.45">
      <c r="A395" s="1">
        <v>407</v>
      </c>
      <c r="B395" s="1" t="str">
        <f>"07-"&amp;LEFT(RIGHTB(REPT(0,4)&amp;_xlfn.BASE(DB07_baselinesequence[[#This Row],[num]],36),4),2)&amp;"-"&amp;RIGHT(RIGHTB(REPT(0,4)&amp;_xlfn.BASE(DB07_baselinesequence[[#This Row],[num]],36),4),2)</f>
        <v>07-00-BB</v>
      </c>
      <c r="C395" s="1" t="s">
        <v>1643</v>
      </c>
      <c r="F395" s="1" t="s">
        <v>1284</v>
      </c>
      <c r="G395" s="1" t="str">
        <f>_xlfn.XLOOKUP(DB07_baselinesequence[[#This Row],[basesequence-ID]],DB06_baseline[ID],DB06_baseline[Baseline],"",0)</f>
        <v>TGGTTGGCTTCTTGGCCACC</v>
      </c>
      <c r="H395" s="1">
        <f>_xlfn.XLOOKUP(DB07_baselinesequence[[#This Row],[basesequence-ID]],DB06_baseline[ID],DB06_baseline[確認済],FALSE,0)</f>
        <v>0</v>
      </c>
      <c r="J395" s="1" t="s">
        <v>1969</v>
      </c>
      <c r="K395" s="4"/>
      <c r="L395" s="3"/>
    </row>
    <row r="396" spans="1:12" x14ac:dyDescent="0.45">
      <c r="A396" s="1">
        <v>408</v>
      </c>
      <c r="B396" s="1" t="str">
        <f>"07-"&amp;LEFT(RIGHTB(REPT(0,4)&amp;_xlfn.BASE(DB07_baselinesequence[[#This Row],[num]],36),4),2)&amp;"-"&amp;RIGHT(RIGHTB(REPT(0,4)&amp;_xlfn.BASE(DB07_baselinesequence[[#This Row],[num]],36),4),2)</f>
        <v>07-00-BC</v>
      </c>
      <c r="C396" s="1" t="s">
        <v>1644</v>
      </c>
      <c r="F396" s="1" t="s">
        <v>1286</v>
      </c>
      <c r="G396" s="1" t="str">
        <f>_xlfn.XLOOKUP(DB07_baselinesequence[[#This Row],[basesequence-ID]],DB06_baseline[ID],DB06_baseline[Baseline],"",0)</f>
        <v>CTTATTGGTTGGCTTCTTGG</v>
      </c>
      <c r="H396" s="1">
        <f>_xlfn.XLOOKUP(DB07_baselinesequence[[#This Row],[basesequence-ID]],DB06_baseline[ID],DB06_baseline[確認済],FALSE,0)</f>
        <v>0</v>
      </c>
      <c r="J396" s="1" t="s">
        <v>1970</v>
      </c>
      <c r="K396" s="4"/>
      <c r="L396" s="3"/>
    </row>
    <row r="397" spans="1:12" x14ac:dyDescent="0.45">
      <c r="A397" s="1">
        <v>409</v>
      </c>
      <c r="B397" s="1" t="str">
        <f>"07-"&amp;LEFT(RIGHTB(REPT(0,4)&amp;_xlfn.BASE(DB07_baselinesequence[[#This Row],[num]],36),4),2)&amp;"-"&amp;RIGHT(RIGHTB(REPT(0,4)&amp;_xlfn.BASE(DB07_baselinesequence[[#This Row],[num]],36),4),2)</f>
        <v>07-00-BD</v>
      </c>
      <c r="C397" s="1" t="s">
        <v>1645</v>
      </c>
      <c r="F397" s="1" t="s">
        <v>1288</v>
      </c>
      <c r="G397" s="1" t="str">
        <f>_xlfn.XLOOKUP(DB07_baselinesequence[[#This Row],[basesequence-ID]],DB06_baseline[ID],DB06_baseline[Baseline],"",0)</f>
        <v>GGGGCCTTATTGGTTGGCTT</v>
      </c>
      <c r="H397" s="1">
        <f>_xlfn.XLOOKUP(DB07_baselinesequence[[#This Row],[basesequence-ID]],DB06_baseline[ID],DB06_baseline[確認済],FALSE,0)</f>
        <v>0</v>
      </c>
      <c r="J397" s="1" t="s">
        <v>1971</v>
      </c>
      <c r="K397" s="4"/>
      <c r="L397" s="3"/>
    </row>
    <row r="398" spans="1:12" x14ac:dyDescent="0.45">
      <c r="A398" s="1">
        <v>410</v>
      </c>
      <c r="B398" s="1" t="str">
        <f>"07-"&amp;LEFT(RIGHTB(REPT(0,4)&amp;_xlfn.BASE(DB07_baselinesequence[[#This Row],[num]],36),4),2)&amp;"-"&amp;RIGHT(RIGHTB(REPT(0,4)&amp;_xlfn.BASE(DB07_baselinesequence[[#This Row],[num]],36),4),2)</f>
        <v>07-00-BE</v>
      </c>
      <c r="C398" s="1" t="s">
        <v>1646</v>
      </c>
      <c r="F398" s="1" t="s">
        <v>1290</v>
      </c>
      <c r="G398" s="1" t="str">
        <f>_xlfn.XLOOKUP(DB07_baselinesequence[[#This Row],[basesequence-ID]],DB06_baseline[ID],DB06_baseline[Baseline],"",0)</f>
        <v>GGTGGGGGGCCTTATTGGTT</v>
      </c>
      <c r="H398" s="1">
        <f>_xlfn.XLOOKUP(DB07_baselinesequence[[#This Row],[basesequence-ID]],DB06_baseline[ID],DB06_baseline[確認済],FALSE,0)</f>
        <v>0</v>
      </c>
      <c r="J398" s="1" t="s">
        <v>1972</v>
      </c>
      <c r="K398" s="4"/>
      <c r="L398" s="3"/>
    </row>
    <row r="399" spans="1:12" x14ac:dyDescent="0.45">
      <c r="A399" s="1">
        <v>411</v>
      </c>
      <c r="B399" s="1" t="str">
        <f>"07-"&amp;LEFT(RIGHTB(REPT(0,4)&amp;_xlfn.BASE(DB07_baselinesequence[[#This Row],[num]],36),4),2)&amp;"-"&amp;RIGHT(RIGHTB(REPT(0,4)&amp;_xlfn.BASE(DB07_baselinesequence[[#This Row],[num]],36),4),2)</f>
        <v>07-00-BF</v>
      </c>
      <c r="C399" s="1" t="s">
        <v>1647</v>
      </c>
      <c r="F399" s="1" t="s">
        <v>1292</v>
      </c>
      <c r="G399" s="1" t="str">
        <f>_xlfn.XLOOKUP(DB07_baselinesequence[[#This Row],[basesequence-ID]],DB06_baseline[ID],DB06_baseline[Baseline],"",0)</f>
        <v>CTTGGGGTGGGGGGCCTTAT</v>
      </c>
      <c r="H399" s="1">
        <f>_xlfn.XLOOKUP(DB07_baselinesequence[[#This Row],[basesequence-ID]],DB06_baseline[ID],DB06_baseline[確認済],FALSE,0)</f>
        <v>0</v>
      </c>
      <c r="J399" s="1" t="s">
        <v>1973</v>
      </c>
      <c r="K399" s="4"/>
      <c r="L399" s="3"/>
    </row>
    <row r="400" spans="1:12" x14ac:dyDescent="0.45">
      <c r="A400" s="1">
        <v>412</v>
      </c>
      <c r="B400" s="1" t="str">
        <f>"07-"&amp;LEFT(RIGHTB(REPT(0,4)&amp;_xlfn.BASE(DB07_baselinesequence[[#This Row],[num]],36),4),2)&amp;"-"&amp;RIGHT(RIGHTB(REPT(0,4)&amp;_xlfn.BASE(DB07_baselinesequence[[#This Row],[num]],36),4),2)</f>
        <v>07-00-BG</v>
      </c>
      <c r="C400" s="1" t="s">
        <v>1648</v>
      </c>
      <c r="F400" s="1" t="s">
        <v>1294</v>
      </c>
      <c r="G400" s="1" t="str">
        <f>_xlfn.XLOOKUP(DB07_baselinesequence[[#This Row],[basesequence-ID]],DB06_baseline[ID],DB06_baseline[Baseline],"",0)</f>
        <v>TCCTGCTTGGGGTGGGGGGC</v>
      </c>
      <c r="H400" s="1">
        <f>_xlfn.XLOOKUP(DB07_baselinesequence[[#This Row],[basesequence-ID]],DB06_baseline[ID],DB06_baseline[確認済],FALSE,0)</f>
        <v>0</v>
      </c>
      <c r="J400" s="1" t="s">
        <v>1974</v>
      </c>
      <c r="K400" s="4"/>
      <c r="L400" s="3"/>
    </row>
    <row r="401" spans="1:12" x14ac:dyDescent="0.45">
      <c r="A401" s="1">
        <v>413</v>
      </c>
      <c r="B401" s="1" t="str">
        <f>"07-"&amp;LEFT(RIGHTB(REPT(0,4)&amp;_xlfn.BASE(DB07_baselinesequence[[#This Row],[num]],36),4),2)&amp;"-"&amp;RIGHT(RIGHTB(REPT(0,4)&amp;_xlfn.BASE(DB07_baselinesequence[[#This Row],[num]],36),4),2)</f>
        <v>07-00-BH</v>
      </c>
      <c r="C401" s="1" t="s">
        <v>1649</v>
      </c>
      <c r="F401" s="1" t="s">
        <v>1296</v>
      </c>
      <c r="G401" s="1" t="str">
        <f>_xlfn.XLOOKUP(DB07_baselinesequence[[#This Row],[basesequence-ID]],DB06_baseline[ID],DB06_baseline[Baseline],"",0)</f>
        <v>GGGGTTCCTGCTTGGGGTGG</v>
      </c>
      <c r="H401" s="1">
        <f>_xlfn.XLOOKUP(DB07_baselinesequence[[#This Row],[basesequence-ID]],DB06_baseline[ID],DB06_baseline[確認済],FALSE,0)</f>
        <v>0</v>
      </c>
      <c r="J401" s="1" t="s">
        <v>1975</v>
      </c>
      <c r="K401" s="4"/>
      <c r="L401" s="3"/>
    </row>
    <row r="402" spans="1:12" x14ac:dyDescent="0.45">
      <c r="A402" s="1">
        <v>414</v>
      </c>
      <c r="B402" s="1" t="str">
        <f>"07-"&amp;LEFT(RIGHTB(REPT(0,4)&amp;_xlfn.BASE(DB07_baselinesequence[[#This Row],[num]],36),4),2)&amp;"-"&amp;RIGHT(RIGHTB(REPT(0,4)&amp;_xlfn.BASE(DB07_baselinesequence[[#This Row],[num]],36),4),2)</f>
        <v>07-00-BI</v>
      </c>
      <c r="C402" s="1" t="s">
        <v>1650</v>
      </c>
      <c r="F402" s="1" t="s">
        <v>1298</v>
      </c>
      <c r="G402" s="1" t="str">
        <f>_xlfn.XLOOKUP(DB07_baselinesequence[[#This Row],[basesequence-ID]],DB06_baseline[ID],DB06_baseline[Baseline],"",0)</f>
        <v>CTCCTGGGGTTCCTGCTTGG</v>
      </c>
      <c r="H402" s="1">
        <f>_xlfn.XLOOKUP(DB07_baselinesequence[[#This Row],[basesequence-ID]],DB06_baseline[ID],DB06_baseline[確認済],FALSE,0)</f>
        <v>0</v>
      </c>
      <c r="J402" s="1" t="s">
        <v>1976</v>
      </c>
      <c r="K402" s="4"/>
      <c r="L402" s="3"/>
    </row>
    <row r="403" spans="1:12" x14ac:dyDescent="0.45">
      <c r="A403" s="1">
        <v>415</v>
      </c>
      <c r="B403" s="1" t="str">
        <f>"07-"&amp;LEFT(RIGHTB(REPT(0,4)&amp;_xlfn.BASE(DB07_baselinesequence[[#This Row],[num]],36),4),2)&amp;"-"&amp;RIGHT(RIGHTB(REPT(0,4)&amp;_xlfn.BASE(DB07_baselinesequence[[#This Row],[num]],36),4),2)</f>
        <v>07-00-BJ</v>
      </c>
      <c r="C403" s="1" t="s">
        <v>1651</v>
      </c>
      <c r="F403" s="1" t="s">
        <v>1300</v>
      </c>
      <c r="G403" s="1" t="str">
        <f>_xlfn.XLOOKUP(DB07_baselinesequence[[#This Row],[basesequence-ID]],DB06_baseline[ID],DB06_baseline[Baseline],"",0)</f>
        <v>TTGATCTCCTGGGGTTCCTG</v>
      </c>
      <c r="H403" s="1">
        <f>_xlfn.XLOOKUP(DB07_baselinesequence[[#This Row],[basesequence-ID]],DB06_baseline[ID],DB06_baseline[確認済],FALSE,0)</f>
        <v>0</v>
      </c>
      <c r="J403" s="1" t="s">
        <v>1977</v>
      </c>
      <c r="K403" s="4"/>
      <c r="L403" s="3"/>
    </row>
    <row r="404" spans="1:12" x14ac:dyDescent="0.45">
      <c r="A404" s="1">
        <v>416</v>
      </c>
      <c r="B404" s="1" t="str">
        <f>"07-"&amp;LEFT(RIGHTB(REPT(0,4)&amp;_xlfn.BASE(DB07_baselinesequence[[#This Row],[num]],36),4),2)&amp;"-"&amp;RIGHT(RIGHTB(REPT(0,4)&amp;_xlfn.BASE(DB07_baselinesequence[[#This Row],[num]],36),4),2)</f>
        <v>07-00-BK</v>
      </c>
      <c r="C404" s="1" t="s">
        <v>1652</v>
      </c>
      <c r="F404" s="1" t="s">
        <v>1302</v>
      </c>
      <c r="G404" s="1" t="str">
        <f>_xlfn.XLOOKUP(DB07_baselinesequence[[#This Row],[basesequence-ID]],DB06_baseline[ID],DB06_baseline[Baseline],"",0)</f>
        <v>GAAAATTGATCTCCTGGGGT</v>
      </c>
      <c r="H404" s="1">
        <f>_xlfn.XLOOKUP(DB07_baselinesequence[[#This Row],[basesequence-ID]],DB06_baseline[ID],DB06_baseline[確認済],FALSE,0)</f>
        <v>0</v>
      </c>
      <c r="J404" s="1" t="s">
        <v>1978</v>
      </c>
      <c r="K404" s="4"/>
      <c r="L404" s="3"/>
    </row>
    <row r="405" spans="1:12" x14ac:dyDescent="0.45">
      <c r="A405" s="1">
        <v>417</v>
      </c>
      <c r="B405" s="1" t="str">
        <f>"07-"&amp;LEFT(RIGHTB(REPT(0,4)&amp;_xlfn.BASE(DB07_baselinesequence[[#This Row],[num]],36),4),2)&amp;"-"&amp;RIGHT(RIGHTB(REPT(0,4)&amp;_xlfn.BASE(DB07_baselinesequence[[#This Row],[num]],36),4),2)</f>
        <v>07-00-BL</v>
      </c>
      <c r="C405" s="1" t="s">
        <v>1653</v>
      </c>
      <c r="F405" s="1" t="s">
        <v>1304</v>
      </c>
      <c r="G405" s="1" t="str">
        <f>_xlfn.XLOOKUP(DB07_baselinesequence[[#This Row],[basesequence-ID]],DB06_baseline[ID],DB06_baseline[Baseline],"",0)</f>
        <v>GTCGGGAAAATTGATCTCCT</v>
      </c>
      <c r="H405" s="1">
        <f>_xlfn.XLOOKUP(DB07_baselinesequence[[#This Row],[basesequence-ID]],DB06_baseline[ID],DB06_baseline[確認済],FALSE,0)</f>
        <v>0</v>
      </c>
      <c r="J405" s="1" t="s">
        <v>1979</v>
      </c>
      <c r="K405" s="4"/>
      <c r="L405" s="3"/>
    </row>
    <row r="406" spans="1:12" x14ac:dyDescent="0.45">
      <c r="A406" s="1">
        <v>418</v>
      </c>
      <c r="B406" s="1" t="str">
        <f>"07-"&amp;LEFT(RIGHTB(REPT(0,4)&amp;_xlfn.BASE(DB07_baselinesequence[[#This Row],[num]],36),4),2)&amp;"-"&amp;RIGHT(RIGHTB(REPT(0,4)&amp;_xlfn.BASE(DB07_baselinesequence[[#This Row],[num]],36),4),2)</f>
        <v>07-00-BM</v>
      </c>
      <c r="C406" s="1" t="s">
        <v>1654</v>
      </c>
      <c r="F406" s="1" t="s">
        <v>1306</v>
      </c>
      <c r="G406" s="1" t="str">
        <f>_xlfn.XLOOKUP(DB07_baselinesequence[[#This Row],[basesequence-ID]],DB06_baseline[ID],DB06_baseline[Baseline],"",0)</f>
        <v>AGATCGTCGGGAAAATTGAT</v>
      </c>
      <c r="H406" s="1">
        <f>_xlfn.XLOOKUP(DB07_baselinesequence[[#This Row],[basesequence-ID]],DB06_baseline[ID],DB06_baseline[確認済],FALSE,0)</f>
        <v>0</v>
      </c>
      <c r="J406" s="1" t="s">
        <v>1980</v>
      </c>
      <c r="K406" s="4"/>
      <c r="L406" s="3"/>
    </row>
    <row r="407" spans="1:12" x14ac:dyDescent="0.45">
      <c r="A407" s="1">
        <v>419</v>
      </c>
      <c r="B407" s="1" t="str">
        <f>"07-"&amp;LEFT(RIGHTB(REPT(0,4)&amp;_xlfn.BASE(DB07_baselinesequence[[#This Row],[num]],36),4),2)&amp;"-"&amp;RIGHT(RIGHTB(REPT(0,4)&amp;_xlfn.BASE(DB07_baselinesequence[[#This Row],[num]],36),4),2)</f>
        <v>07-00-BN</v>
      </c>
      <c r="C407" s="1" t="s">
        <v>1655</v>
      </c>
      <c r="F407" s="1" t="s">
        <v>1308</v>
      </c>
      <c r="G407" s="1" t="str">
        <f>_xlfn.XLOOKUP(DB07_baselinesequence[[#This Row],[basesequence-ID]],DB06_baseline[ID],DB06_baseline[Baseline],"",0)</f>
        <v>CAGGAAGATCGTCGGGAAAA</v>
      </c>
      <c r="H407" s="1">
        <f>_xlfn.XLOOKUP(DB07_baselinesequence[[#This Row],[basesequence-ID]],DB06_baseline[ID],DB06_baseline[確認済],FALSE,0)</f>
        <v>0</v>
      </c>
      <c r="J407" s="1" t="s">
        <v>1981</v>
      </c>
      <c r="K407" s="4"/>
      <c r="L407" s="3"/>
    </row>
    <row r="408" spans="1:12" x14ac:dyDescent="0.45">
      <c r="A408" s="1">
        <v>420</v>
      </c>
      <c r="B408" s="1" t="str">
        <f>"07-"&amp;LEFT(RIGHTB(REPT(0,4)&amp;_xlfn.BASE(DB07_baselinesequence[[#This Row],[num]],36),4),2)&amp;"-"&amp;RIGHT(RIGHTB(REPT(0,4)&amp;_xlfn.BASE(DB07_baselinesequence[[#This Row],[num]],36),4),2)</f>
        <v>07-00-BO</v>
      </c>
      <c r="C408" s="1" t="s">
        <v>1656</v>
      </c>
      <c r="F408" s="1" t="s">
        <v>1310</v>
      </c>
      <c r="G408" s="1" t="str">
        <f>_xlfn.XLOOKUP(DB07_baselinesequence[[#This Row],[basesequence-ID]],DB06_baseline[ID],DB06_baseline[Baseline],"",0)</f>
        <v>GGAGCCAGGAAGATCGTCGG</v>
      </c>
      <c r="H408" s="1">
        <f>_xlfn.XLOOKUP(DB07_baselinesequence[[#This Row],[basesequence-ID]],DB06_baseline[ID],DB06_baseline[確認済],FALSE,0)</f>
        <v>0</v>
      </c>
      <c r="J408" s="1" t="s">
        <v>1982</v>
      </c>
      <c r="K408" s="4"/>
      <c r="L408" s="3"/>
    </row>
    <row r="409" spans="1:12" x14ac:dyDescent="0.45">
      <c r="A409" s="1">
        <v>421</v>
      </c>
      <c r="B409" s="1" t="str">
        <f>"07-"&amp;LEFT(RIGHTB(REPT(0,4)&amp;_xlfn.BASE(DB07_baselinesequence[[#This Row],[num]],36),4),2)&amp;"-"&amp;RIGHT(RIGHTB(REPT(0,4)&amp;_xlfn.BASE(DB07_baselinesequence[[#This Row],[num]],36),4),2)</f>
        <v>07-00-BP</v>
      </c>
      <c r="C409" s="1" t="s">
        <v>1657</v>
      </c>
      <c r="F409" s="1" t="s">
        <v>1312</v>
      </c>
      <c r="G409" s="1" t="str">
        <f>_xlfn.XLOOKUP(DB07_baselinesequence[[#This Row],[basesequence-ID]],DB06_baseline[ID],DB06_baseline[Baseline],"",0)</f>
        <v>GTGTTGGAGCCAGGAAGATC</v>
      </c>
      <c r="H409" s="1">
        <f>_xlfn.XLOOKUP(DB07_baselinesequence[[#This Row],[basesequence-ID]],DB06_baseline[ID],DB06_baseline[確認済],FALSE,0)</f>
        <v>0</v>
      </c>
      <c r="J409" s="1" t="s">
        <v>1983</v>
      </c>
      <c r="K409" s="4"/>
      <c r="L409" s="3"/>
    </row>
    <row r="410" spans="1:12" x14ac:dyDescent="0.45">
      <c r="A410" s="1">
        <v>422</v>
      </c>
      <c r="B410" s="1" t="str">
        <f>"07-"&amp;LEFT(RIGHTB(REPT(0,4)&amp;_xlfn.BASE(DB07_baselinesequence[[#This Row],[num]],36),4),2)&amp;"-"&amp;RIGHT(RIGHTB(REPT(0,4)&amp;_xlfn.BASE(DB07_baselinesequence[[#This Row],[num]],36),4),2)</f>
        <v>07-00-BQ</v>
      </c>
      <c r="C410" s="1" t="s">
        <v>1658</v>
      </c>
      <c r="F410" s="1" t="s">
        <v>1314</v>
      </c>
      <c r="G410" s="1" t="str">
        <f>_xlfn.XLOOKUP(DB07_baselinesequence[[#This Row],[basesequence-ID]],DB06_baseline[ID],DB06_baseline[Baseline],"",0)</f>
        <v>CAGCAGTGTTGGAGCCAGGA</v>
      </c>
      <c r="H410" s="1">
        <f>_xlfn.XLOOKUP(DB07_baselinesequence[[#This Row],[basesequence-ID]],DB06_baseline[ID],DB06_baseline[確認済],FALSE,0)</f>
        <v>0</v>
      </c>
      <c r="J410" s="1" t="s">
        <v>1984</v>
      </c>
      <c r="K410" s="4"/>
      <c r="L410" s="3"/>
    </row>
    <row r="411" spans="1:12" x14ac:dyDescent="0.45">
      <c r="A411" s="1">
        <v>423</v>
      </c>
      <c r="B411" s="1" t="str">
        <f>"07-"&amp;LEFT(RIGHTB(REPT(0,4)&amp;_xlfn.BASE(DB07_baselinesequence[[#This Row],[num]],36),4),2)&amp;"-"&amp;RIGHT(RIGHTB(REPT(0,4)&amp;_xlfn.BASE(DB07_baselinesequence[[#This Row],[num]],36),4),2)</f>
        <v>07-00-BR</v>
      </c>
      <c r="C411" s="1" t="s">
        <v>1659</v>
      </c>
      <c r="F411" s="1" t="s">
        <v>1316</v>
      </c>
      <c r="G411" s="1" t="str">
        <f>_xlfn.XLOOKUP(DB07_baselinesequence[[#This Row],[basesequence-ID]],DB06_baseline[ID],DB06_baseline[Baseline],"",0)</f>
        <v>TGGAGCAGCAGTGTTGGAGC</v>
      </c>
      <c r="H411" s="1">
        <f>_xlfn.XLOOKUP(DB07_baselinesequence[[#This Row],[basesequence-ID]],DB06_baseline[ID],DB06_baseline[確認済],FALSE,0)</f>
        <v>0</v>
      </c>
      <c r="J411" s="1" t="s">
        <v>1985</v>
      </c>
      <c r="K411" s="4"/>
      <c r="L411" s="3"/>
    </row>
    <row r="412" spans="1:12" x14ac:dyDescent="0.45">
      <c r="A412" s="1">
        <v>424</v>
      </c>
      <c r="B412" s="1" t="str">
        <f>"07-"&amp;LEFT(RIGHTB(REPT(0,4)&amp;_xlfn.BASE(DB07_baselinesequence[[#This Row],[num]],36),4),2)&amp;"-"&amp;RIGHT(RIGHTB(REPT(0,4)&amp;_xlfn.BASE(DB07_baselinesequence[[#This Row],[num]],36),4),2)</f>
        <v>07-00-BS</v>
      </c>
      <c r="C412" s="1" t="s">
        <v>1660</v>
      </c>
      <c r="F412" s="1" t="s">
        <v>1318</v>
      </c>
      <c r="G412" s="1" t="str">
        <f>_xlfn.XLOOKUP(DB07_baselinesequence[[#This Row],[basesequence-ID]],DB06_baseline[ID],DB06_baseline[Baseline],"",0)</f>
        <v>TGCACTGGAGCAGCAGTGTT</v>
      </c>
      <c r="H412" s="1">
        <f>_xlfn.XLOOKUP(DB07_baselinesequence[[#This Row],[basesequence-ID]],DB06_baseline[ID],DB06_baseline[確認済],FALSE,0)</f>
        <v>0</v>
      </c>
      <c r="J412" s="1" t="s">
        <v>1986</v>
      </c>
      <c r="K412" s="4"/>
      <c r="L412" s="3"/>
    </row>
    <row r="413" spans="1:12" x14ac:dyDescent="0.45">
      <c r="A413" s="1">
        <v>425</v>
      </c>
      <c r="B413" s="1" t="str">
        <f>"07-"&amp;LEFT(RIGHTB(REPT(0,4)&amp;_xlfn.BASE(DB07_baselinesequence[[#This Row],[num]],36),4),2)&amp;"-"&amp;RIGHT(RIGHTB(REPT(0,4)&amp;_xlfn.BASE(DB07_baselinesequence[[#This Row],[num]],36),4),2)</f>
        <v>07-00-BT</v>
      </c>
      <c r="C413" s="1" t="s">
        <v>1661</v>
      </c>
      <c r="F413" s="1" t="s">
        <v>1320</v>
      </c>
      <c r="G413" s="1" t="str">
        <f>_xlfn.XLOOKUP(DB07_baselinesequence[[#This Row],[basesequence-ID]],DB06_baseline[ID],DB06_baseline[Baseline],"",0)</f>
        <v>TCTCCTGCACTGGAGCAGCA</v>
      </c>
      <c r="H413" s="1">
        <f>_xlfn.XLOOKUP(DB07_baselinesequence[[#This Row],[basesequence-ID]],DB06_baseline[ID],DB06_baseline[確認済],FALSE,0)</f>
        <v>0</v>
      </c>
      <c r="J413" s="1" t="s">
        <v>1987</v>
      </c>
      <c r="K413" s="4"/>
      <c r="L413" s="3"/>
    </row>
    <row r="414" spans="1:12" x14ac:dyDescent="0.45">
      <c r="A414" s="1">
        <v>426</v>
      </c>
      <c r="B414" s="1" t="str">
        <f>"07-"&amp;LEFT(RIGHTB(REPT(0,4)&amp;_xlfn.BASE(DB07_baselinesequence[[#This Row],[num]],36),4),2)&amp;"-"&amp;RIGHT(RIGHTB(REPT(0,4)&amp;_xlfn.BASE(DB07_baselinesequence[[#This Row],[num]],36),4),2)</f>
        <v>07-00-BU</v>
      </c>
      <c r="C414" s="1" t="s">
        <v>1662</v>
      </c>
      <c r="F414" s="1" t="s">
        <v>1322</v>
      </c>
      <c r="G414" s="1" t="str">
        <f>_xlfn.XLOOKUP(DB07_baselinesequence[[#This Row],[basesequence-ID]],DB06_baseline[ID],DB06_baseline[Baseline],"",0)</f>
        <v>TAAAGTCTCCTGCACTGGAG</v>
      </c>
      <c r="H414" s="1">
        <f>_xlfn.XLOOKUP(DB07_baselinesequence[[#This Row],[basesequence-ID]],DB06_baseline[ID],DB06_baseline[確認済],FALSE,0)</f>
        <v>0</v>
      </c>
      <c r="J414" s="1" t="s">
        <v>1988</v>
      </c>
      <c r="K414" s="4"/>
      <c r="L414" s="3"/>
    </row>
    <row r="415" spans="1:12" x14ac:dyDescent="0.45">
      <c r="A415" s="1">
        <v>427</v>
      </c>
      <c r="B415" s="1" t="str">
        <f>"07-"&amp;LEFT(RIGHTB(REPT(0,4)&amp;_xlfn.BASE(DB07_baselinesequence[[#This Row],[num]],36),4),2)&amp;"-"&amp;RIGHT(RIGHTB(REPT(0,4)&amp;_xlfn.BASE(DB07_baselinesequence[[#This Row],[num]],36),4),2)</f>
        <v>07-00-BV</v>
      </c>
      <c r="C415" s="1" t="s">
        <v>1663</v>
      </c>
      <c r="F415" s="1" t="s">
        <v>1324</v>
      </c>
      <c r="G415" s="1" t="str">
        <f>_xlfn.XLOOKUP(DB07_baselinesequence[[#This Row],[basesequence-ID]],DB06_baseline[ID],DB06_baseline[Baseline],"",0)</f>
        <v>CCATGTAAAGTCTCCTGCAC</v>
      </c>
      <c r="H415" s="1">
        <f>_xlfn.XLOOKUP(DB07_baselinesequence[[#This Row],[basesequence-ID]],DB06_baseline[ID],DB06_baseline[確認済],FALSE,0)</f>
        <v>0</v>
      </c>
      <c r="J415" s="1" t="s">
        <v>1989</v>
      </c>
      <c r="K415" s="4"/>
      <c r="L415" s="3"/>
    </row>
    <row r="416" spans="1:12" x14ac:dyDescent="0.45">
      <c r="A416" s="1">
        <v>428</v>
      </c>
      <c r="B416" s="1" t="str">
        <f>"07-"&amp;LEFT(RIGHTB(REPT(0,4)&amp;_xlfn.BASE(DB07_baselinesequence[[#This Row],[num]],36),4),2)&amp;"-"&amp;RIGHT(RIGHTB(REPT(0,4)&amp;_xlfn.BASE(DB07_baselinesequence[[#This Row],[num]],36),4),2)</f>
        <v>07-00-BW</v>
      </c>
      <c r="C416" s="1" t="s">
        <v>1664</v>
      </c>
      <c r="F416" s="1" t="s">
        <v>1326</v>
      </c>
      <c r="G416" s="1" t="str">
        <f>_xlfn.XLOOKUP(DB07_baselinesequence[[#This Row],[basesequence-ID]],DB06_baseline[ID],DB06_baseline[Baseline],"",0)</f>
        <v>GGCATCCATGTAAAGTCTCC</v>
      </c>
      <c r="H416" s="1">
        <f>_xlfn.XLOOKUP(DB07_baselinesequence[[#This Row],[basesequence-ID]],DB06_baseline[ID],DB06_baseline[確認済],FALSE,0)</f>
        <v>0</v>
      </c>
      <c r="J416" s="1" t="s">
        <v>1990</v>
      </c>
      <c r="K416" s="4"/>
      <c r="L416" s="3"/>
    </row>
    <row r="417" spans="1:12" x14ac:dyDescent="0.45">
      <c r="A417" s="1">
        <v>429</v>
      </c>
      <c r="B417" s="1" t="str">
        <f>"07-"&amp;LEFT(RIGHTB(REPT(0,4)&amp;_xlfn.BASE(DB07_baselinesequence[[#This Row],[num]],36),4),2)&amp;"-"&amp;RIGHT(RIGHTB(REPT(0,4)&amp;_xlfn.BASE(DB07_baselinesequence[[#This Row],[num]],36),4),2)</f>
        <v>07-00-BX</v>
      </c>
      <c r="C417" s="1" t="s">
        <v>1665</v>
      </c>
      <c r="F417" s="1" t="s">
        <v>1328</v>
      </c>
      <c r="G417" s="1" t="str">
        <f>_xlfn.XLOOKUP(DB07_baselinesequence[[#This Row],[basesequence-ID]],DB06_baseline[ID],DB06_baseline[Baseline],"",0)</f>
        <v>CGGTTGGCATCCATGTAAAG</v>
      </c>
      <c r="H417" s="1">
        <f>_xlfn.XLOOKUP(DB07_baselinesequence[[#This Row],[basesequence-ID]],DB06_baseline[ID],DB06_baseline[確認済],FALSE,0)</f>
        <v>0</v>
      </c>
      <c r="J417" s="1" t="s">
        <v>1991</v>
      </c>
      <c r="K417" s="4"/>
      <c r="L417" s="3"/>
    </row>
    <row r="418" spans="1:12" x14ac:dyDescent="0.45">
      <c r="A418" s="1">
        <v>430</v>
      </c>
      <c r="B418" s="1" t="str">
        <f>"07-"&amp;LEFT(RIGHTB(REPT(0,4)&amp;_xlfn.BASE(DB07_baselinesequence[[#This Row],[num]],36),4),2)&amp;"-"&amp;RIGHT(RIGHTB(REPT(0,4)&amp;_xlfn.BASE(DB07_baselinesequence[[#This Row],[num]],36),4),2)</f>
        <v>07-00-BY</v>
      </c>
      <c r="C418" s="1" t="s">
        <v>1666</v>
      </c>
      <c r="F418" s="1" t="s">
        <v>1330</v>
      </c>
      <c r="G418" s="1" t="str">
        <f>_xlfn.XLOOKUP(DB07_baselinesequence[[#This Row],[basesequence-ID]],DB06_baseline[ID],DB06_baseline[Baseline],"",0)</f>
        <v>GTGACCGGTTGGCATCCATG</v>
      </c>
      <c r="H418" s="1">
        <f>_xlfn.XLOOKUP(DB07_baselinesequence[[#This Row],[basesequence-ID]],DB06_baseline[ID],DB06_baseline[確認済],FALSE,0)</f>
        <v>0</v>
      </c>
      <c r="J418" s="1" t="s">
        <v>1992</v>
      </c>
      <c r="K418" s="4"/>
      <c r="L418" s="3"/>
    </row>
    <row r="419" spans="1:12" x14ac:dyDescent="0.45">
      <c r="A419" s="1">
        <v>431</v>
      </c>
      <c r="B419" s="1" t="str">
        <f>"07-"&amp;LEFT(RIGHTB(REPT(0,4)&amp;_xlfn.BASE(DB07_baselinesequence[[#This Row],[num]],36),4),2)&amp;"-"&amp;RIGHT(RIGHTB(REPT(0,4)&amp;_xlfn.BASE(DB07_baselinesequence[[#This Row],[num]],36),4),2)</f>
        <v>07-00-BZ</v>
      </c>
      <c r="C419" s="1" t="s">
        <v>1667</v>
      </c>
      <c r="F419" s="1" t="s">
        <v>1332</v>
      </c>
      <c r="G419" s="1" t="str">
        <f>_xlfn.XLOOKUP(DB07_baselinesequence[[#This Row],[basesequence-ID]],DB06_baseline[ID],DB06_baseline[Baseline],"",0)</f>
        <v>CCTGGGTGACCGGTTGGCAT</v>
      </c>
      <c r="H419" s="1">
        <f>_xlfn.XLOOKUP(DB07_baselinesequence[[#This Row],[basesequence-ID]],DB06_baseline[ID],DB06_baseline[確認済],FALSE,0)</f>
        <v>0</v>
      </c>
      <c r="J419" s="1" t="s">
        <v>1993</v>
      </c>
      <c r="K419" s="4"/>
      <c r="L419" s="3"/>
    </row>
    <row r="420" spans="1:12" x14ac:dyDescent="0.45">
      <c r="A420" s="1">
        <v>432</v>
      </c>
      <c r="B420" s="1" t="str">
        <f>"07-"&amp;LEFT(RIGHTB(REPT(0,4)&amp;_xlfn.BASE(DB07_baselinesequence[[#This Row],[num]],36),4),2)&amp;"-"&amp;RIGHT(RIGHTB(REPT(0,4)&amp;_xlfn.BASE(DB07_baselinesequence[[#This Row],[num]],36),4),2)</f>
        <v>07-00-C0</v>
      </c>
      <c r="C420" s="1" t="s">
        <v>1668</v>
      </c>
      <c r="F420" s="1" t="s">
        <v>1334</v>
      </c>
      <c r="G420" s="1" t="str">
        <f>_xlfn.XLOOKUP(DB07_baselinesequence[[#This Row],[basesequence-ID]],DB06_baseline[ID],DB06_baseline[Baseline],"",0)</f>
        <v>ATCCTCCTGGGTGACCGGTT</v>
      </c>
      <c r="H420" s="1">
        <f>_xlfn.XLOOKUP(DB07_baselinesequence[[#This Row],[basesequence-ID]],DB06_baseline[ID],DB06_baseline[確認済],FALSE,0)</f>
        <v>0</v>
      </c>
      <c r="J420" s="1" t="s">
        <v>1994</v>
      </c>
      <c r="K420" s="4"/>
      <c r="L420" s="3"/>
    </row>
    <row r="421" spans="1:12" x14ac:dyDescent="0.45">
      <c r="A421" s="1">
        <v>433</v>
      </c>
      <c r="B421" s="1" t="str">
        <f>"07-"&amp;LEFT(RIGHTB(REPT(0,4)&amp;_xlfn.BASE(DB07_baselinesequence[[#This Row],[num]],36),4),2)&amp;"-"&amp;RIGHT(RIGHTB(REPT(0,4)&amp;_xlfn.BASE(DB07_baselinesequence[[#This Row],[num]],36),4),2)</f>
        <v>07-00-C1</v>
      </c>
      <c r="C421" s="1" t="s">
        <v>1669</v>
      </c>
      <c r="F421" s="1" t="s">
        <v>1336</v>
      </c>
      <c r="G421" s="1" t="str">
        <f>_xlfn.XLOOKUP(DB07_baselinesequence[[#This Row],[basesequence-ID]],DB06_baseline[ID],DB06_baseline[Baseline],"",0)</f>
        <v>TTGCCATCCTCCTGGGTGAC</v>
      </c>
      <c r="H421" s="1">
        <f>_xlfn.XLOOKUP(DB07_baselinesequence[[#This Row],[basesequence-ID]],DB06_baseline[ID],DB06_baseline[確認済],FALSE,0)</f>
        <v>0</v>
      </c>
      <c r="J421" s="1" t="s">
        <v>1995</v>
      </c>
      <c r="K421" s="4"/>
      <c r="L421" s="3"/>
    </row>
    <row r="422" spans="1:12" x14ac:dyDescent="0.45">
      <c r="A422" s="1">
        <v>434</v>
      </c>
      <c r="B422" s="1" t="str">
        <f>"07-"&amp;LEFT(RIGHTB(REPT(0,4)&amp;_xlfn.BASE(DB07_baselinesequence[[#This Row],[num]],36),4),2)&amp;"-"&amp;RIGHT(RIGHTB(REPT(0,4)&amp;_xlfn.BASE(DB07_baselinesequence[[#This Row],[num]],36),4),2)</f>
        <v>07-00-C2</v>
      </c>
      <c r="C422" s="1" t="s">
        <v>1670</v>
      </c>
      <c r="F422" s="1" t="s">
        <v>1338</v>
      </c>
      <c r="G422" s="1" t="str">
        <f>_xlfn.XLOOKUP(DB07_baselinesequence[[#This Row],[basesequence-ID]],DB06_baseline[ID],DB06_baseline[Baseline],"",0)</f>
        <v>TCTCTTTGCCATCCTCCTGG</v>
      </c>
      <c r="H422" s="1">
        <f>_xlfn.XLOOKUP(DB07_baselinesequence[[#This Row],[basesequence-ID]],DB06_baseline[ID],DB06_baseline[確認済],FALSE,0)</f>
        <v>0</v>
      </c>
      <c r="J422" s="1" t="s">
        <v>1996</v>
      </c>
      <c r="K422" s="4"/>
      <c r="L422" s="3"/>
    </row>
    <row r="423" spans="1:12" x14ac:dyDescent="0.45">
      <c r="A423" s="1">
        <v>435</v>
      </c>
      <c r="B423" s="1" t="str">
        <f>"07-"&amp;LEFT(RIGHTB(REPT(0,4)&amp;_xlfn.BASE(DB07_baselinesequence[[#This Row],[num]],36),4),2)&amp;"-"&amp;RIGHT(RIGHTB(REPT(0,4)&amp;_xlfn.BASE(DB07_baselinesequence[[#This Row],[num]],36),4),2)</f>
        <v>07-00-C3</v>
      </c>
      <c r="C423" s="1" t="s">
        <v>1671</v>
      </c>
      <c r="F423" s="1" t="s">
        <v>1340</v>
      </c>
      <c r="G423" s="1" t="str">
        <f>_xlfn.XLOOKUP(DB07_baselinesequence[[#This Row],[basesequence-ID]],DB06_baseline[ID],DB06_baseline[Baseline],"",0)</f>
        <v>GCGACTCTCTTTGCCATCCT</v>
      </c>
      <c r="H423" s="1">
        <f>_xlfn.XLOOKUP(DB07_baselinesequence[[#This Row],[basesequence-ID]],DB06_baseline[ID],DB06_baseline[確認済],FALSE,0)</f>
        <v>0</v>
      </c>
      <c r="J423" s="1" t="s">
        <v>1997</v>
      </c>
      <c r="K423" s="4"/>
      <c r="L423" s="3"/>
    </row>
    <row r="424" spans="1:12" x14ac:dyDescent="0.45">
      <c r="A424" s="1">
        <v>436</v>
      </c>
      <c r="B424" s="1" t="str">
        <f>"07-"&amp;LEFT(RIGHTB(REPT(0,4)&amp;_xlfn.BASE(DB07_baselinesequence[[#This Row],[num]],36),4),2)&amp;"-"&amp;RIGHT(RIGHTB(REPT(0,4)&amp;_xlfn.BASE(DB07_baselinesequence[[#This Row],[num]],36),4),2)</f>
        <v>07-00-C4</v>
      </c>
      <c r="C424" s="1" t="s">
        <v>1672</v>
      </c>
      <c r="F424" s="1" t="s">
        <v>1342</v>
      </c>
      <c r="G424" s="1" t="str">
        <f>_xlfn.XLOOKUP(DB07_baselinesequence[[#This Row],[basesequence-ID]],DB06_baseline[ID],DB06_baseline[Baseline],"",0)</f>
        <v>GAGATGCGACTCTCTTTGCC</v>
      </c>
      <c r="H424" s="1">
        <f>_xlfn.XLOOKUP(DB07_baselinesequence[[#This Row],[basesequence-ID]],DB06_baseline[ID],DB06_baseline[確認済],FALSE,0)</f>
        <v>0</v>
      </c>
      <c r="J424" s="1" t="s">
        <v>1998</v>
      </c>
      <c r="K424" s="4"/>
      <c r="L424" s="3"/>
    </row>
    <row r="425" spans="1:12" x14ac:dyDescent="0.45">
      <c r="A425" s="1">
        <v>437</v>
      </c>
      <c r="B425" s="1" t="str">
        <f>"07-"&amp;LEFT(RIGHTB(REPT(0,4)&amp;_xlfn.BASE(DB07_baselinesequence[[#This Row],[num]],36),4),2)&amp;"-"&amp;RIGHT(RIGHTB(REPT(0,4)&amp;_xlfn.BASE(DB07_baselinesequence[[#This Row],[num]],36),4),2)</f>
        <v>07-00-C5</v>
      </c>
      <c r="C425" s="1" t="s">
        <v>1673</v>
      </c>
      <c r="F425" s="1" t="s">
        <v>1344</v>
      </c>
      <c r="G425" s="1" t="str">
        <f>_xlfn.XLOOKUP(DB07_baselinesequence[[#This Row],[basesequence-ID]],DB06_baseline[ID],DB06_baseline[Baseline],"",0)</f>
        <v>GCACTGAGATGCGACTCTCT</v>
      </c>
      <c r="H425" s="1">
        <f>_xlfn.XLOOKUP(DB07_baselinesequence[[#This Row],[basesequence-ID]],DB06_baseline[ID],DB06_baseline[確認済],FALSE,0)</f>
        <v>0</v>
      </c>
      <c r="J425" s="1" t="s">
        <v>1999</v>
      </c>
      <c r="K425" s="4"/>
      <c r="L425" s="3"/>
    </row>
    <row r="426" spans="1:12" x14ac:dyDescent="0.45">
      <c r="A426" s="1">
        <v>438</v>
      </c>
      <c r="B426" s="1" t="str">
        <f>"07-"&amp;LEFT(RIGHTB(REPT(0,4)&amp;_xlfn.BASE(DB07_baselinesequence[[#This Row],[num]],36),4),2)&amp;"-"&amp;RIGHT(RIGHTB(REPT(0,4)&amp;_xlfn.BASE(DB07_baselinesequence[[#This Row],[num]],36),4),2)</f>
        <v>07-00-C6</v>
      </c>
      <c r="C426" s="1" t="s">
        <v>1674</v>
      </c>
      <c r="F426" s="1" t="s">
        <v>1346</v>
      </c>
      <c r="G426" s="1" t="str">
        <f>_xlfn.XLOOKUP(DB07_baselinesequence[[#This Row],[basesequence-ID]],DB06_baseline[ID],DB06_baseline[Baseline],"",0)</f>
        <v>CTCCTGCACTGAGATGCGAC</v>
      </c>
      <c r="H426" s="1">
        <f>_xlfn.XLOOKUP(DB07_baselinesequence[[#This Row],[basesequence-ID]],DB06_baseline[ID],DB06_baseline[確認済],FALSE,0)</f>
        <v>0</v>
      </c>
      <c r="J426" s="1" t="s">
        <v>2000</v>
      </c>
      <c r="K426" s="4"/>
      <c r="L426" s="3"/>
    </row>
    <row r="427" spans="1:12" x14ac:dyDescent="0.45">
      <c r="A427" s="1">
        <v>439</v>
      </c>
      <c r="B427" s="1" t="str">
        <f>"07-"&amp;LEFT(RIGHTB(REPT(0,4)&amp;_xlfn.BASE(DB07_baselinesequence[[#This Row],[num]],36),4),2)&amp;"-"&amp;RIGHT(RIGHTB(REPT(0,4)&amp;_xlfn.BASE(DB07_baselinesequence[[#This Row],[num]],36),4),2)</f>
        <v>07-00-C7</v>
      </c>
      <c r="C427" s="1" t="s">
        <v>1675</v>
      </c>
      <c r="F427" s="1" t="s">
        <v>1348</v>
      </c>
      <c r="G427" s="1" t="str">
        <f>_xlfn.XLOOKUP(DB07_baselinesequence[[#This Row],[basesequence-ID]],DB06_baseline[ID],DB06_baseline[Baseline],"",0)</f>
        <v>TGTCTCTCCTGCACTGAGAT</v>
      </c>
      <c r="H427" s="1">
        <f>_xlfn.XLOOKUP(DB07_baselinesequence[[#This Row],[basesequence-ID]],DB06_baseline[ID],DB06_baseline[確認済],FALSE,0)</f>
        <v>0</v>
      </c>
      <c r="J427" s="1" t="s">
        <v>2001</v>
      </c>
      <c r="K427" s="4"/>
      <c r="L427" s="3"/>
    </row>
    <row r="428" spans="1:12" x14ac:dyDescent="0.45">
      <c r="A428" s="1">
        <v>440</v>
      </c>
      <c r="B428" s="5" t="str">
        <f>"07-"&amp;LEFT(RIGHTB(REPT(0,4)&amp;_xlfn.BASE(DB07_baselinesequence[[#This Row],[num]],36),4),2)&amp;"-"&amp;RIGHT(RIGHTB(REPT(0,4)&amp;_xlfn.BASE(DB07_baselinesequence[[#This Row],[num]],36),4),2)</f>
        <v>07-00-C8</v>
      </c>
      <c r="C428" s="6" t="s">
        <v>531</v>
      </c>
      <c r="D428" s="5"/>
      <c r="E428" s="5"/>
      <c r="F428" s="5" t="s">
        <v>532</v>
      </c>
      <c r="G428" s="5" t="str">
        <f>_xlfn.XLOOKUP(DB07_baselinesequence[[#This Row],[basesequence-ID]],DB06_baseline[ID],DB06_baseline[Baseline],"",0)</f>
        <v>TCTACAGAAGCAAGGTGT</v>
      </c>
      <c r="H428" s="5" t="b">
        <f>_xlfn.XLOOKUP(DB07_baselinesequence[[#This Row],[basesequence-ID]],DB06_baseline[ID],DB06_baseline[確認済],FALSE,0)</f>
        <v>0</v>
      </c>
      <c r="I428" s="5"/>
      <c r="J428" s="5" t="s">
        <v>533</v>
      </c>
      <c r="K428" s="7">
        <v>45471</v>
      </c>
      <c r="L428" s="8" t="s">
        <v>534</v>
      </c>
    </row>
    <row r="429" spans="1:12" x14ac:dyDescent="0.45">
      <c r="A429" s="1">
        <v>441</v>
      </c>
      <c r="B429" s="1" t="str">
        <f>"07-"&amp;LEFT(RIGHTB(REPT(0,4)&amp;_xlfn.BASE(DB07_baselinesequence[[#This Row],[num]],36),4),2)&amp;"-"&amp;RIGHT(RIGHTB(REPT(0,4)&amp;_xlfn.BASE(DB07_baselinesequence[[#This Row],[num]],36),4),2)</f>
        <v>07-00-C9</v>
      </c>
      <c r="C429" s="1" t="s">
        <v>2003</v>
      </c>
      <c r="E429" s="1" t="s">
        <v>2012</v>
      </c>
      <c r="F429" s="1" t="s">
        <v>423</v>
      </c>
      <c r="G429" s="1" t="str">
        <f>_xlfn.XLOOKUP(DB07_baselinesequence[[#This Row],[basesequence-ID]],DB06_baseline[ID],DB06_baseline[Baseline],"",0)</f>
        <v>GCTGCTATTAGAATGC</v>
      </c>
      <c r="H429" s="1">
        <f>_xlfn.XLOOKUP(DB07_baselinesequence[[#This Row],[basesequence-ID]],DB06_baseline[ID],DB06_baseline[確認済],FALSE,0)</f>
        <v>0</v>
      </c>
      <c r="J429" s="1" t="s">
        <v>2017</v>
      </c>
      <c r="K429" s="4">
        <v>45499</v>
      </c>
      <c r="L429" s="3"/>
    </row>
    <row r="430" spans="1:12" x14ac:dyDescent="0.45">
      <c r="A430" s="1">
        <v>442</v>
      </c>
      <c r="B430" s="1" t="str">
        <f>"07-"&amp;LEFT(RIGHTB(REPT(0,4)&amp;_xlfn.BASE(DB07_baselinesequence[[#This Row],[num]],36),4),2)&amp;"-"&amp;RIGHT(RIGHTB(REPT(0,4)&amp;_xlfn.BASE(DB07_baselinesequence[[#This Row],[num]],36),4),2)</f>
        <v>07-00-CA</v>
      </c>
      <c r="C430" s="1" t="s">
        <v>2004</v>
      </c>
      <c r="E430" s="1" t="s">
        <v>460</v>
      </c>
      <c r="F430" s="1" t="s">
        <v>423</v>
      </c>
      <c r="G430" s="1" t="str">
        <f>_xlfn.XLOOKUP(DB07_baselinesequence[[#This Row],[basesequence-ID]],DB06_baseline[ID],DB06_baseline[Baseline],"",0)</f>
        <v>GCTGCTATTAGAATGC</v>
      </c>
      <c r="H430" s="1">
        <f>_xlfn.XLOOKUP(DB07_baselinesequence[[#This Row],[basesequence-ID]],DB06_baseline[ID],DB06_baseline[確認済],FALSE,0)</f>
        <v>0</v>
      </c>
      <c r="J430" s="1" t="s">
        <v>2020</v>
      </c>
      <c r="K430" s="4"/>
      <c r="L430" s="3"/>
    </row>
    <row r="431" spans="1:12" x14ac:dyDescent="0.45">
      <c r="A431" s="1">
        <v>443</v>
      </c>
      <c r="B431" s="1" t="str">
        <f>"07-"&amp;LEFT(RIGHTB(REPT(0,4)&amp;_xlfn.BASE(DB07_baselinesequence[[#This Row],[num]],36),4),2)&amp;"-"&amp;RIGHT(RIGHTB(REPT(0,4)&amp;_xlfn.BASE(DB07_baselinesequence[[#This Row],[num]],36),4),2)</f>
        <v>07-00-CB</v>
      </c>
      <c r="C431" s="1" t="s">
        <v>2005</v>
      </c>
      <c r="E431" s="1" t="s">
        <v>2013</v>
      </c>
      <c r="F431" s="1" t="s">
        <v>423</v>
      </c>
      <c r="G431" s="1" t="str">
        <f>_xlfn.XLOOKUP(DB07_baselinesequence[[#This Row],[basesequence-ID]],DB06_baseline[ID],DB06_baseline[Baseline],"",0)</f>
        <v>GCTGCTATTAGAATGC</v>
      </c>
      <c r="H431" s="1">
        <f>_xlfn.XLOOKUP(DB07_baselinesequence[[#This Row],[basesequence-ID]],DB06_baseline[ID],DB06_baseline[確認済],FALSE,0)</f>
        <v>0</v>
      </c>
      <c r="J431" s="1" t="s">
        <v>2023</v>
      </c>
      <c r="K431" s="4"/>
      <c r="L431" s="3"/>
    </row>
    <row r="432" spans="1:12" x14ac:dyDescent="0.45">
      <c r="A432" s="1">
        <v>444</v>
      </c>
      <c r="B432" s="1" t="str">
        <f>"07-"&amp;LEFT(RIGHTB(REPT(0,4)&amp;_xlfn.BASE(DB07_baselinesequence[[#This Row],[num]],36),4),2)&amp;"-"&amp;RIGHT(RIGHTB(REPT(0,4)&amp;_xlfn.BASE(DB07_baselinesequence[[#This Row],[num]],36),4),2)</f>
        <v>07-00-CC</v>
      </c>
      <c r="C432" s="1" t="s">
        <v>2006</v>
      </c>
      <c r="F432" s="1" t="s">
        <v>423</v>
      </c>
      <c r="G432" s="1" t="str">
        <f>_xlfn.XLOOKUP(DB07_baselinesequence[[#This Row],[basesequence-ID]],DB06_baseline[ID],DB06_baseline[Baseline],"",0)</f>
        <v>GCTGCTATTAGAATGC</v>
      </c>
      <c r="H432" s="1">
        <f>_xlfn.XLOOKUP(DB07_baselinesequence[[#This Row],[basesequence-ID]],DB06_baseline[ID],DB06_baseline[確認済],FALSE,0)</f>
        <v>0</v>
      </c>
      <c r="J432" s="1" t="s">
        <v>2018</v>
      </c>
      <c r="K432" s="4"/>
      <c r="L432" s="3"/>
    </row>
    <row r="433" spans="1:12" x14ac:dyDescent="0.45">
      <c r="A433" s="1">
        <v>445</v>
      </c>
      <c r="B433" s="1" t="str">
        <f>"07-"&amp;LEFT(RIGHTB(REPT(0,4)&amp;_xlfn.BASE(DB07_baselinesequence[[#This Row],[num]],36),4),2)&amp;"-"&amp;RIGHT(RIGHTB(REPT(0,4)&amp;_xlfn.BASE(DB07_baselinesequence[[#This Row],[num]],36),4),2)</f>
        <v>07-00-CD</v>
      </c>
      <c r="C433" s="1" t="s">
        <v>2007</v>
      </c>
      <c r="F433" s="1" t="s">
        <v>423</v>
      </c>
      <c r="G433" s="1" t="str">
        <f>_xlfn.XLOOKUP(DB07_baselinesequence[[#This Row],[basesequence-ID]],DB06_baseline[ID],DB06_baseline[Baseline],"",0)</f>
        <v>GCTGCTATTAGAATGC</v>
      </c>
      <c r="H433" s="1">
        <f>_xlfn.XLOOKUP(DB07_baselinesequence[[#This Row],[basesequence-ID]],DB06_baseline[ID],DB06_baseline[確認済],FALSE,0)</f>
        <v>0</v>
      </c>
      <c r="J433" s="1" t="s">
        <v>2021</v>
      </c>
      <c r="K433" s="4"/>
      <c r="L433" s="3"/>
    </row>
    <row r="434" spans="1:12" x14ac:dyDescent="0.45">
      <c r="A434" s="1">
        <v>446</v>
      </c>
      <c r="B434" s="1" t="str">
        <f>"07-"&amp;LEFT(RIGHTB(REPT(0,4)&amp;_xlfn.BASE(DB07_baselinesequence[[#This Row],[num]],36),4),2)&amp;"-"&amp;RIGHT(RIGHTB(REPT(0,4)&amp;_xlfn.BASE(DB07_baselinesequence[[#This Row],[num]],36),4),2)</f>
        <v>07-00-CE</v>
      </c>
      <c r="C434" s="1" t="s">
        <v>2008</v>
      </c>
      <c r="F434" s="1" t="s">
        <v>423</v>
      </c>
      <c r="G434" s="1" t="str">
        <f>_xlfn.XLOOKUP(DB07_baselinesequence[[#This Row],[basesequence-ID]],DB06_baseline[ID],DB06_baseline[Baseline],"",0)</f>
        <v>GCTGCTATTAGAATGC</v>
      </c>
      <c r="H434" s="1">
        <f>_xlfn.XLOOKUP(DB07_baselinesequence[[#This Row],[basesequence-ID]],DB06_baseline[ID],DB06_baseline[確認済],FALSE,0)</f>
        <v>0</v>
      </c>
      <c r="J434" s="1" t="s">
        <v>2024</v>
      </c>
      <c r="K434" s="4"/>
      <c r="L434" s="3"/>
    </row>
    <row r="435" spans="1:12" x14ac:dyDescent="0.45">
      <c r="A435" s="1">
        <v>447</v>
      </c>
      <c r="B435" s="1" t="str">
        <f>"07-"&amp;LEFT(RIGHTB(REPT(0,4)&amp;_xlfn.BASE(DB07_baselinesequence[[#This Row],[num]],36),4),2)&amp;"-"&amp;RIGHT(RIGHTB(REPT(0,4)&amp;_xlfn.BASE(DB07_baselinesequence[[#This Row],[num]],36),4),2)</f>
        <v>07-00-CF</v>
      </c>
      <c r="C435" s="1" t="s">
        <v>2009</v>
      </c>
      <c r="F435" s="1" t="s">
        <v>423</v>
      </c>
      <c r="G435" s="1" t="str">
        <f>_xlfn.XLOOKUP(DB07_baselinesequence[[#This Row],[basesequence-ID]],DB06_baseline[ID],DB06_baseline[Baseline],"",0)</f>
        <v>GCTGCTATTAGAATGC</v>
      </c>
      <c r="H435" s="1">
        <f>_xlfn.XLOOKUP(DB07_baselinesequence[[#This Row],[basesequence-ID]],DB06_baseline[ID],DB06_baseline[確認済],FALSE,0)</f>
        <v>0</v>
      </c>
      <c r="J435" s="1" t="s">
        <v>2019</v>
      </c>
      <c r="K435" s="4"/>
      <c r="L435" s="3"/>
    </row>
    <row r="436" spans="1:12" x14ac:dyDescent="0.45">
      <c r="A436" s="1">
        <v>448</v>
      </c>
      <c r="B436" s="1" t="str">
        <f>"07-"&amp;LEFT(RIGHTB(REPT(0,4)&amp;_xlfn.BASE(DB07_baselinesequence[[#This Row],[num]],36),4),2)&amp;"-"&amp;RIGHT(RIGHTB(REPT(0,4)&amp;_xlfn.BASE(DB07_baselinesequence[[#This Row],[num]],36),4),2)</f>
        <v>07-00-CG</v>
      </c>
      <c r="C436" s="1" t="s">
        <v>2010</v>
      </c>
      <c r="F436" s="1" t="s">
        <v>423</v>
      </c>
      <c r="G436" s="1" t="str">
        <f>_xlfn.XLOOKUP(DB07_baselinesequence[[#This Row],[basesequence-ID]],DB06_baseline[ID],DB06_baseline[Baseline],"",0)</f>
        <v>GCTGCTATTAGAATGC</v>
      </c>
      <c r="H436" s="1">
        <f>_xlfn.XLOOKUP(DB07_baselinesequence[[#This Row],[basesequence-ID]],DB06_baseline[ID],DB06_baseline[確認済],FALSE,0)</f>
        <v>0</v>
      </c>
      <c r="J436" s="1" t="s">
        <v>2022</v>
      </c>
      <c r="K436" s="4"/>
      <c r="L436" s="3"/>
    </row>
    <row r="437" spans="1:12" x14ac:dyDescent="0.45">
      <c r="A437" s="1">
        <v>449</v>
      </c>
      <c r="B437" s="1" t="str">
        <f>"07-"&amp;LEFT(RIGHTB(REPT(0,4)&amp;_xlfn.BASE(DB07_baselinesequence[[#This Row],[num]],36),4),2)&amp;"-"&amp;RIGHT(RIGHTB(REPT(0,4)&amp;_xlfn.BASE(DB07_baselinesequence[[#This Row],[num]],36),4),2)</f>
        <v>07-00-CH</v>
      </c>
      <c r="C437" s="1" t="s">
        <v>2011</v>
      </c>
      <c r="F437" s="1" t="s">
        <v>423</v>
      </c>
      <c r="G437" s="1" t="str">
        <f>_xlfn.XLOOKUP(DB07_baselinesequence[[#This Row],[basesequence-ID]],DB06_baseline[ID],DB06_baseline[Baseline],"",0)</f>
        <v>GCTGCTATTAGAATGC</v>
      </c>
      <c r="H437" s="1">
        <f>_xlfn.XLOOKUP(DB07_baselinesequence[[#This Row],[basesequence-ID]],DB06_baseline[ID],DB06_baseline[確認済],FALSE,0)</f>
        <v>0</v>
      </c>
      <c r="J437" s="1" t="s">
        <v>2025</v>
      </c>
      <c r="K437" s="4"/>
      <c r="L437" s="3"/>
    </row>
    <row r="438" spans="1:12" x14ac:dyDescent="0.45">
      <c r="A438" s="1">
        <v>450</v>
      </c>
      <c r="B438" s="1" t="str">
        <f>"07-"&amp;LEFT(RIGHTB(REPT(0,4)&amp;_xlfn.BASE(DB07_baselinesequence[[#This Row],[num]],36),4),2)&amp;"-"&amp;RIGHT(RIGHTB(REPT(0,4)&amp;_xlfn.BASE(DB07_baselinesequence[[#This Row],[num]],36),4),2)</f>
        <v>07-00-CI</v>
      </c>
      <c r="C438" s="1" t="s">
        <v>2014</v>
      </c>
      <c r="F438" s="1" t="s">
        <v>423</v>
      </c>
      <c r="G438" s="1" t="str">
        <f>_xlfn.XLOOKUP(DB07_baselinesequence[[#This Row],[basesequence-ID]],DB06_baseline[ID],DB06_baseline[Baseline],"",0)</f>
        <v>GCTGCTATTAGAATGC</v>
      </c>
      <c r="H438" s="1">
        <f>_xlfn.XLOOKUP(DB07_baselinesequence[[#This Row],[basesequence-ID]],DB06_baseline[ID],DB06_baseline[確認済],FALSE,0)</f>
        <v>0</v>
      </c>
      <c r="J438" s="1" t="s">
        <v>2026</v>
      </c>
      <c r="K438" s="4"/>
      <c r="L438" s="3"/>
    </row>
    <row r="439" spans="1:12" x14ac:dyDescent="0.45">
      <c r="A439" s="1">
        <v>451</v>
      </c>
      <c r="B439" s="1" t="str">
        <f>"07-"&amp;LEFT(RIGHTB(REPT(0,4)&amp;_xlfn.BASE(DB07_baselinesequence[[#This Row],[num]],36),4),2)&amp;"-"&amp;RIGHT(RIGHTB(REPT(0,4)&amp;_xlfn.BASE(DB07_baselinesequence[[#This Row],[num]],36),4),2)</f>
        <v>07-00-CJ</v>
      </c>
      <c r="C439" s="1" t="s">
        <v>2015</v>
      </c>
      <c r="F439" s="1" t="s">
        <v>423</v>
      </c>
      <c r="G439" s="1" t="str">
        <f>_xlfn.XLOOKUP(DB07_baselinesequence[[#This Row],[basesequence-ID]],DB06_baseline[ID],DB06_baseline[Baseline],"",0)</f>
        <v>GCTGCTATTAGAATGC</v>
      </c>
      <c r="H439" s="1">
        <f>_xlfn.XLOOKUP(DB07_baselinesequence[[#This Row],[basesequence-ID]],DB06_baseline[ID],DB06_baseline[確認済],FALSE,0)</f>
        <v>0</v>
      </c>
      <c r="J439" s="1" t="s">
        <v>2027</v>
      </c>
      <c r="K439" s="4"/>
      <c r="L439" s="3"/>
    </row>
    <row r="440" spans="1:12" x14ac:dyDescent="0.45">
      <c r="A440" s="1">
        <v>452</v>
      </c>
      <c r="B440" s="1" t="str">
        <f>"07-"&amp;LEFT(RIGHTB(REPT(0,4)&amp;_xlfn.BASE(DB07_baselinesequence[[#This Row],[num]],36),4),2)&amp;"-"&amp;RIGHT(RIGHTB(REPT(0,4)&amp;_xlfn.BASE(DB07_baselinesequence[[#This Row],[num]],36),4),2)</f>
        <v>07-00-CK</v>
      </c>
      <c r="C440" s="1" t="s">
        <v>2016</v>
      </c>
      <c r="F440" s="1" t="s">
        <v>423</v>
      </c>
      <c r="G440" s="1" t="str">
        <f>_xlfn.XLOOKUP(DB07_baselinesequence[[#This Row],[basesequence-ID]],DB06_baseline[ID],DB06_baseline[Baseline],"",0)</f>
        <v>GCTGCTATTAGAATGC</v>
      </c>
      <c r="H440" s="1">
        <f>_xlfn.XLOOKUP(DB07_baselinesequence[[#This Row],[basesequence-ID]],DB06_baseline[ID],DB06_baseline[確認済],FALSE,0)</f>
        <v>0</v>
      </c>
      <c r="J440" s="1" t="s">
        <v>2028</v>
      </c>
      <c r="K440" s="4"/>
      <c r="L440" s="3"/>
    </row>
    <row r="441" spans="1:12" x14ac:dyDescent="0.45">
      <c r="A441" s="1">
        <v>453</v>
      </c>
      <c r="B441" s="1" t="str">
        <f>"07-"&amp;LEFT(RIGHTB(REPT(0,4)&amp;_xlfn.BASE(DB07_baselinesequence[[#This Row],[num]],36),4),2)&amp;"-"&amp;RIGHT(RIGHTB(REPT(0,4)&amp;_xlfn.BASE(DB07_baselinesequence[[#This Row],[num]],36),4),2)</f>
        <v>07-00-CL</v>
      </c>
      <c r="C441" s="1" t="s">
        <v>2032</v>
      </c>
      <c r="F441" s="1" t="s">
        <v>2031</v>
      </c>
      <c r="G441" s="1" t="s">
        <v>2033</v>
      </c>
      <c r="H441" s="1">
        <f>_xlfn.XLOOKUP(DB07_baselinesequence[[#This Row],[basesequence-ID]],DB06_baseline[ID],DB06_baseline[確認済],FALSE,0)</f>
        <v>0</v>
      </c>
      <c r="J441" s="1" t="s">
        <v>2785</v>
      </c>
      <c r="K441" s="4"/>
      <c r="L441" s="3"/>
    </row>
    <row r="442" spans="1:12" x14ac:dyDescent="0.45">
      <c r="A442" s="1">
        <v>454</v>
      </c>
      <c r="B442" s="1" t="str">
        <f>"07-"&amp;LEFT(RIGHTB(REPT(0,4)&amp;_xlfn.BASE(DB07_baselinesequence[[#This Row],[num]],36),4),2)&amp;"-"&amp;RIGHT(RIGHTB(REPT(0,4)&amp;_xlfn.BASE(DB07_baselinesequence[[#This Row],[num]],36),4),2)</f>
        <v>07-00-CM</v>
      </c>
      <c r="C442" s="1" t="s">
        <v>2035</v>
      </c>
      <c r="F442" s="1" t="s">
        <v>2034</v>
      </c>
      <c r="G442" s="1" t="s">
        <v>2036</v>
      </c>
      <c r="H442" s="1">
        <f>_xlfn.XLOOKUP(DB07_baselinesequence[[#This Row],[basesequence-ID]],DB06_baseline[ID],DB06_baseline[確認済],FALSE,0)</f>
        <v>0</v>
      </c>
      <c r="J442" s="1" t="s">
        <v>2786</v>
      </c>
      <c r="K442" s="4"/>
      <c r="L442" s="3"/>
    </row>
    <row r="443" spans="1:12" x14ac:dyDescent="0.45">
      <c r="A443" s="1">
        <v>455</v>
      </c>
      <c r="B443" s="1" t="str">
        <f>"07-"&amp;LEFT(RIGHTB(REPT(0,4)&amp;_xlfn.BASE(DB07_baselinesequence[[#This Row],[num]],36),4),2)&amp;"-"&amp;RIGHT(RIGHTB(REPT(0,4)&amp;_xlfn.BASE(DB07_baselinesequence[[#This Row],[num]],36),4),2)</f>
        <v>07-00-CN</v>
      </c>
      <c r="C443" s="1" t="s">
        <v>2038</v>
      </c>
      <c r="F443" s="1" t="s">
        <v>2037</v>
      </c>
      <c r="G443" s="1" t="s">
        <v>2039</v>
      </c>
      <c r="H443" s="1">
        <f>_xlfn.XLOOKUP(DB07_baselinesequence[[#This Row],[basesequence-ID]],DB06_baseline[ID],DB06_baseline[確認済],FALSE,0)</f>
        <v>0</v>
      </c>
      <c r="J443" s="1" t="s">
        <v>2787</v>
      </c>
      <c r="K443" s="4"/>
      <c r="L443" s="3"/>
    </row>
    <row r="444" spans="1:12" x14ac:dyDescent="0.45">
      <c r="A444" s="1">
        <v>456</v>
      </c>
      <c r="B444" s="1" t="str">
        <f>"07-"&amp;LEFT(RIGHTB(REPT(0,4)&amp;_xlfn.BASE(DB07_baselinesequence[[#This Row],[num]],36),4),2)&amp;"-"&amp;RIGHT(RIGHTB(REPT(0,4)&amp;_xlfn.BASE(DB07_baselinesequence[[#This Row],[num]],36),4),2)</f>
        <v>07-00-CO</v>
      </c>
      <c r="C444" s="1" t="s">
        <v>2041</v>
      </c>
      <c r="F444" s="1" t="s">
        <v>2040</v>
      </c>
      <c r="G444" s="1" t="s">
        <v>2042</v>
      </c>
      <c r="H444" s="1">
        <f>_xlfn.XLOOKUP(DB07_baselinesequence[[#This Row],[basesequence-ID]],DB06_baseline[ID],DB06_baseline[確認済],FALSE,0)</f>
        <v>0</v>
      </c>
      <c r="J444" s="1" t="s">
        <v>2788</v>
      </c>
      <c r="K444" s="4"/>
      <c r="L444" s="3"/>
    </row>
    <row r="445" spans="1:12" x14ac:dyDescent="0.45">
      <c r="A445" s="1">
        <v>457</v>
      </c>
      <c r="B445" s="1" t="str">
        <f>"07-"&amp;LEFT(RIGHTB(REPT(0,4)&amp;_xlfn.BASE(DB07_baselinesequence[[#This Row],[num]],36),4),2)&amp;"-"&amp;RIGHT(RIGHTB(REPT(0,4)&amp;_xlfn.BASE(DB07_baselinesequence[[#This Row],[num]],36),4),2)</f>
        <v>07-00-CP</v>
      </c>
      <c r="C445" s="1" t="s">
        <v>2044</v>
      </c>
      <c r="F445" s="1" t="s">
        <v>2043</v>
      </c>
      <c r="G445" s="1" t="s">
        <v>2045</v>
      </c>
      <c r="H445" s="1">
        <f>_xlfn.XLOOKUP(DB07_baselinesequence[[#This Row],[basesequence-ID]],DB06_baseline[ID],DB06_baseline[確認済],FALSE,0)</f>
        <v>0</v>
      </c>
      <c r="J445" s="1" t="s">
        <v>2789</v>
      </c>
      <c r="K445" s="4"/>
      <c r="L445" s="3"/>
    </row>
    <row r="446" spans="1:12" x14ac:dyDescent="0.45">
      <c r="A446" s="1">
        <v>458</v>
      </c>
      <c r="B446" s="1" t="str">
        <f>"07-"&amp;LEFT(RIGHTB(REPT(0,4)&amp;_xlfn.BASE(DB07_baselinesequence[[#This Row],[num]],36),4),2)&amp;"-"&amp;RIGHT(RIGHTB(REPT(0,4)&amp;_xlfn.BASE(DB07_baselinesequence[[#This Row],[num]],36),4),2)</f>
        <v>07-00-CQ</v>
      </c>
      <c r="C446" s="1" t="s">
        <v>2047</v>
      </c>
      <c r="F446" s="1" t="s">
        <v>2046</v>
      </c>
      <c r="G446" s="1" t="s">
        <v>2048</v>
      </c>
      <c r="H446" s="1">
        <f>_xlfn.XLOOKUP(DB07_baselinesequence[[#This Row],[basesequence-ID]],DB06_baseline[ID],DB06_baseline[確認済],FALSE,0)</f>
        <v>0</v>
      </c>
      <c r="J446" s="1" t="s">
        <v>2790</v>
      </c>
      <c r="K446" s="4"/>
      <c r="L446" s="3"/>
    </row>
    <row r="447" spans="1:12" x14ac:dyDescent="0.45">
      <c r="A447" s="1">
        <v>459</v>
      </c>
      <c r="B447" s="1" t="str">
        <f>"07-"&amp;LEFT(RIGHTB(REPT(0,4)&amp;_xlfn.BASE(DB07_baselinesequence[[#This Row],[num]],36),4),2)&amp;"-"&amp;RIGHT(RIGHTB(REPT(0,4)&amp;_xlfn.BASE(DB07_baselinesequence[[#This Row],[num]],36),4),2)</f>
        <v>07-00-CR</v>
      </c>
      <c r="C447" s="1" t="s">
        <v>2050</v>
      </c>
      <c r="F447" s="1" t="s">
        <v>2049</v>
      </c>
      <c r="G447" s="1" t="s">
        <v>2051</v>
      </c>
      <c r="H447" s="1">
        <f>_xlfn.XLOOKUP(DB07_baselinesequence[[#This Row],[basesequence-ID]],DB06_baseline[ID],DB06_baseline[確認済],FALSE,0)</f>
        <v>0</v>
      </c>
      <c r="J447" s="1" t="s">
        <v>2791</v>
      </c>
      <c r="K447" s="4"/>
      <c r="L447" s="3"/>
    </row>
    <row r="448" spans="1:12" x14ac:dyDescent="0.45">
      <c r="A448" s="1">
        <v>460</v>
      </c>
      <c r="B448" s="1" t="str">
        <f>"07-"&amp;LEFT(RIGHTB(REPT(0,4)&amp;_xlfn.BASE(DB07_baselinesequence[[#This Row],[num]],36),4),2)&amp;"-"&amp;RIGHT(RIGHTB(REPT(0,4)&amp;_xlfn.BASE(DB07_baselinesequence[[#This Row],[num]],36),4),2)</f>
        <v>07-00-CS</v>
      </c>
      <c r="C448" s="1" t="s">
        <v>2053</v>
      </c>
      <c r="F448" s="1" t="s">
        <v>2052</v>
      </c>
      <c r="G448" s="1" t="s">
        <v>2054</v>
      </c>
      <c r="H448" s="1">
        <f>_xlfn.XLOOKUP(DB07_baselinesequence[[#This Row],[basesequence-ID]],DB06_baseline[ID],DB06_baseline[確認済],FALSE,0)</f>
        <v>0</v>
      </c>
      <c r="J448" s="1" t="s">
        <v>2792</v>
      </c>
      <c r="K448" s="4"/>
      <c r="L448" s="3"/>
    </row>
    <row r="449" spans="1:12" x14ac:dyDescent="0.45">
      <c r="A449" s="1">
        <v>461</v>
      </c>
      <c r="B449" s="1" t="str">
        <f>"07-"&amp;LEFT(RIGHTB(REPT(0,4)&amp;_xlfn.BASE(DB07_baselinesequence[[#This Row],[num]],36),4),2)&amp;"-"&amp;RIGHT(RIGHTB(REPT(0,4)&amp;_xlfn.BASE(DB07_baselinesequence[[#This Row],[num]],36),4),2)</f>
        <v>07-00-CT</v>
      </c>
      <c r="C449" s="1" t="s">
        <v>2056</v>
      </c>
      <c r="F449" s="1" t="s">
        <v>2055</v>
      </c>
      <c r="G449" s="1" t="s">
        <v>2057</v>
      </c>
      <c r="H449" s="1">
        <f>_xlfn.XLOOKUP(DB07_baselinesequence[[#This Row],[basesequence-ID]],DB06_baseline[ID],DB06_baseline[確認済],FALSE,0)</f>
        <v>0</v>
      </c>
      <c r="J449" s="1" t="s">
        <v>2793</v>
      </c>
      <c r="K449" s="4"/>
      <c r="L449" s="3"/>
    </row>
    <row r="450" spans="1:12" x14ac:dyDescent="0.45">
      <c r="A450" s="1">
        <v>462</v>
      </c>
      <c r="B450" s="1" t="str">
        <f>"07-"&amp;LEFT(RIGHTB(REPT(0,4)&amp;_xlfn.BASE(DB07_baselinesequence[[#This Row],[num]],36),4),2)&amp;"-"&amp;RIGHT(RIGHTB(REPT(0,4)&amp;_xlfn.BASE(DB07_baselinesequence[[#This Row],[num]],36),4),2)</f>
        <v>07-00-CU</v>
      </c>
      <c r="C450" s="1" t="s">
        <v>2059</v>
      </c>
      <c r="F450" s="1" t="s">
        <v>2058</v>
      </c>
      <c r="G450" s="1" t="s">
        <v>2060</v>
      </c>
      <c r="H450" s="1">
        <f>_xlfn.XLOOKUP(DB07_baselinesequence[[#This Row],[basesequence-ID]],DB06_baseline[ID],DB06_baseline[確認済],FALSE,0)</f>
        <v>0</v>
      </c>
      <c r="J450" s="1" t="s">
        <v>2794</v>
      </c>
      <c r="K450" s="4"/>
      <c r="L450" s="3"/>
    </row>
    <row r="451" spans="1:12" x14ac:dyDescent="0.45">
      <c r="A451" s="1">
        <v>463</v>
      </c>
      <c r="B451" s="1" t="str">
        <f>"07-"&amp;LEFT(RIGHTB(REPT(0,4)&amp;_xlfn.BASE(DB07_baselinesequence[[#This Row],[num]],36),4),2)&amp;"-"&amp;RIGHT(RIGHTB(REPT(0,4)&amp;_xlfn.BASE(DB07_baselinesequence[[#This Row],[num]],36),4),2)</f>
        <v>07-00-CV</v>
      </c>
      <c r="C451" s="1" t="s">
        <v>2062</v>
      </c>
      <c r="F451" s="1" t="s">
        <v>2061</v>
      </c>
      <c r="G451" s="1" t="s">
        <v>2063</v>
      </c>
      <c r="H451" s="1">
        <f>_xlfn.XLOOKUP(DB07_baselinesequence[[#This Row],[basesequence-ID]],DB06_baseline[ID],DB06_baseline[確認済],FALSE,0)</f>
        <v>0</v>
      </c>
      <c r="J451" s="1" t="s">
        <v>2795</v>
      </c>
      <c r="K451" s="4"/>
      <c r="L451" s="3"/>
    </row>
    <row r="452" spans="1:12" x14ac:dyDescent="0.45">
      <c r="A452" s="1">
        <v>464</v>
      </c>
      <c r="B452" s="1" t="str">
        <f>"07-"&amp;LEFT(RIGHTB(REPT(0,4)&amp;_xlfn.BASE(DB07_baselinesequence[[#This Row],[num]],36),4),2)&amp;"-"&amp;RIGHT(RIGHTB(REPT(0,4)&amp;_xlfn.BASE(DB07_baselinesequence[[#This Row],[num]],36),4),2)</f>
        <v>07-00-CW</v>
      </c>
      <c r="C452" s="1" t="s">
        <v>2065</v>
      </c>
      <c r="F452" s="1" t="s">
        <v>2064</v>
      </c>
      <c r="G452" s="1" t="s">
        <v>2066</v>
      </c>
      <c r="H452" s="1">
        <f>_xlfn.XLOOKUP(DB07_baselinesequence[[#This Row],[basesequence-ID]],DB06_baseline[ID],DB06_baseline[確認済],FALSE,0)</f>
        <v>0</v>
      </c>
      <c r="J452" s="1" t="s">
        <v>2796</v>
      </c>
      <c r="K452" s="4"/>
      <c r="L452" s="3"/>
    </row>
    <row r="453" spans="1:12" x14ac:dyDescent="0.45">
      <c r="A453" s="1">
        <v>465</v>
      </c>
      <c r="B453" s="1" t="str">
        <f>"07-"&amp;LEFT(RIGHTB(REPT(0,4)&amp;_xlfn.BASE(DB07_baselinesequence[[#This Row],[num]],36),4),2)&amp;"-"&amp;RIGHT(RIGHTB(REPT(0,4)&amp;_xlfn.BASE(DB07_baselinesequence[[#This Row],[num]],36),4),2)</f>
        <v>07-00-CX</v>
      </c>
      <c r="C453" s="1" t="s">
        <v>2068</v>
      </c>
      <c r="F453" s="1" t="s">
        <v>2067</v>
      </c>
      <c r="G453" s="1" t="s">
        <v>2069</v>
      </c>
      <c r="H453" s="1">
        <f>_xlfn.XLOOKUP(DB07_baselinesequence[[#This Row],[basesequence-ID]],DB06_baseline[ID],DB06_baseline[確認済],FALSE,0)</f>
        <v>0</v>
      </c>
      <c r="J453" s="1" t="s">
        <v>2797</v>
      </c>
      <c r="K453" s="4"/>
      <c r="L453" s="3"/>
    </row>
    <row r="454" spans="1:12" x14ac:dyDescent="0.45">
      <c r="A454" s="1">
        <v>466</v>
      </c>
      <c r="B454" s="1" t="str">
        <f>"07-"&amp;LEFT(RIGHTB(REPT(0,4)&amp;_xlfn.BASE(DB07_baselinesequence[[#This Row],[num]],36),4),2)&amp;"-"&amp;RIGHT(RIGHTB(REPT(0,4)&amp;_xlfn.BASE(DB07_baselinesequence[[#This Row],[num]],36),4),2)</f>
        <v>07-00-CY</v>
      </c>
      <c r="C454" s="1" t="s">
        <v>2071</v>
      </c>
      <c r="F454" s="1" t="s">
        <v>2070</v>
      </c>
      <c r="G454" s="1" t="s">
        <v>2072</v>
      </c>
      <c r="H454" s="1">
        <f>_xlfn.XLOOKUP(DB07_baselinesequence[[#This Row],[basesequence-ID]],DB06_baseline[ID],DB06_baseline[確認済],FALSE,0)</f>
        <v>0</v>
      </c>
      <c r="J454" s="1" t="s">
        <v>2798</v>
      </c>
      <c r="K454" s="4"/>
      <c r="L454" s="3"/>
    </row>
    <row r="455" spans="1:12" x14ac:dyDescent="0.45">
      <c r="A455" s="1">
        <v>467</v>
      </c>
      <c r="B455" s="1" t="str">
        <f>"07-"&amp;LEFT(RIGHTB(REPT(0,4)&amp;_xlfn.BASE(DB07_baselinesequence[[#This Row],[num]],36),4),2)&amp;"-"&amp;RIGHT(RIGHTB(REPT(0,4)&amp;_xlfn.BASE(DB07_baselinesequence[[#This Row],[num]],36),4),2)</f>
        <v>07-00-CZ</v>
      </c>
      <c r="C455" s="1" t="s">
        <v>2074</v>
      </c>
      <c r="F455" s="1" t="s">
        <v>2073</v>
      </c>
      <c r="G455" s="1" t="s">
        <v>2075</v>
      </c>
      <c r="H455" s="1">
        <f>_xlfn.XLOOKUP(DB07_baselinesequence[[#This Row],[basesequence-ID]],DB06_baseline[ID],DB06_baseline[確認済],FALSE,0)</f>
        <v>0</v>
      </c>
      <c r="J455" s="1" t="s">
        <v>2799</v>
      </c>
      <c r="K455" s="4"/>
      <c r="L455" s="3"/>
    </row>
    <row r="456" spans="1:12" x14ac:dyDescent="0.45">
      <c r="A456" s="1">
        <v>468</v>
      </c>
      <c r="B456" s="1" t="str">
        <f>"07-"&amp;LEFT(RIGHTB(REPT(0,4)&amp;_xlfn.BASE(DB07_baselinesequence[[#This Row],[num]],36),4),2)&amp;"-"&amp;RIGHT(RIGHTB(REPT(0,4)&amp;_xlfn.BASE(DB07_baselinesequence[[#This Row],[num]],36),4),2)</f>
        <v>07-00-D0</v>
      </c>
      <c r="C456" s="1" t="s">
        <v>2077</v>
      </c>
      <c r="F456" s="1" t="s">
        <v>2076</v>
      </c>
      <c r="G456" s="1" t="s">
        <v>2078</v>
      </c>
      <c r="H456" s="1">
        <f>_xlfn.XLOOKUP(DB07_baselinesequence[[#This Row],[basesequence-ID]],DB06_baseline[ID],DB06_baseline[確認済],FALSE,0)</f>
        <v>0</v>
      </c>
      <c r="J456" s="1" t="s">
        <v>2800</v>
      </c>
      <c r="K456" s="4"/>
      <c r="L456" s="3"/>
    </row>
    <row r="457" spans="1:12" x14ac:dyDescent="0.45">
      <c r="A457" s="1">
        <v>469</v>
      </c>
      <c r="B457" s="1" t="str">
        <f>"07-"&amp;LEFT(RIGHTB(REPT(0,4)&amp;_xlfn.BASE(DB07_baselinesequence[[#This Row],[num]],36),4),2)&amp;"-"&amp;RIGHT(RIGHTB(REPT(0,4)&amp;_xlfn.BASE(DB07_baselinesequence[[#This Row],[num]],36),4),2)</f>
        <v>07-00-D1</v>
      </c>
      <c r="C457" s="1" t="s">
        <v>2080</v>
      </c>
      <c r="F457" s="1" t="s">
        <v>2079</v>
      </c>
      <c r="G457" s="1" t="s">
        <v>2081</v>
      </c>
      <c r="H457" s="1">
        <f>_xlfn.XLOOKUP(DB07_baselinesequence[[#This Row],[basesequence-ID]],DB06_baseline[ID],DB06_baseline[確認済],FALSE,0)</f>
        <v>0</v>
      </c>
      <c r="J457" s="1" t="s">
        <v>2801</v>
      </c>
      <c r="K457" s="4"/>
      <c r="L457" s="3"/>
    </row>
    <row r="458" spans="1:12" x14ac:dyDescent="0.45">
      <c r="A458" s="1">
        <v>470</v>
      </c>
      <c r="B458" s="1" t="str">
        <f>"07-"&amp;LEFT(RIGHTB(REPT(0,4)&amp;_xlfn.BASE(DB07_baselinesequence[[#This Row],[num]],36),4),2)&amp;"-"&amp;RIGHT(RIGHTB(REPT(0,4)&amp;_xlfn.BASE(DB07_baselinesequence[[#This Row],[num]],36),4),2)</f>
        <v>07-00-D2</v>
      </c>
      <c r="C458" s="1" t="s">
        <v>2083</v>
      </c>
      <c r="F458" s="1" t="s">
        <v>2082</v>
      </c>
      <c r="G458" s="1" t="s">
        <v>2084</v>
      </c>
      <c r="H458" s="1">
        <f>_xlfn.XLOOKUP(DB07_baselinesequence[[#This Row],[basesequence-ID]],DB06_baseline[ID],DB06_baseline[確認済],FALSE,0)</f>
        <v>0</v>
      </c>
      <c r="J458" s="1" t="s">
        <v>2802</v>
      </c>
      <c r="K458" s="4"/>
      <c r="L458" s="3"/>
    </row>
    <row r="459" spans="1:12" x14ac:dyDescent="0.45">
      <c r="A459" s="1">
        <v>471</v>
      </c>
      <c r="B459" s="1" t="str">
        <f>"07-"&amp;LEFT(RIGHTB(REPT(0,4)&amp;_xlfn.BASE(DB07_baselinesequence[[#This Row],[num]],36),4),2)&amp;"-"&amp;RIGHT(RIGHTB(REPT(0,4)&amp;_xlfn.BASE(DB07_baselinesequence[[#This Row],[num]],36),4),2)</f>
        <v>07-00-D3</v>
      </c>
      <c r="C459" s="1" t="s">
        <v>2086</v>
      </c>
      <c r="F459" s="1" t="s">
        <v>2085</v>
      </c>
      <c r="G459" s="1" t="s">
        <v>2087</v>
      </c>
      <c r="H459" s="1">
        <f>_xlfn.XLOOKUP(DB07_baselinesequence[[#This Row],[basesequence-ID]],DB06_baseline[ID],DB06_baseline[確認済],FALSE,0)</f>
        <v>0</v>
      </c>
      <c r="J459" s="1" t="s">
        <v>2803</v>
      </c>
      <c r="K459" s="4"/>
      <c r="L459" s="3"/>
    </row>
    <row r="460" spans="1:12" x14ac:dyDescent="0.45">
      <c r="A460" s="1">
        <v>472</v>
      </c>
      <c r="B460" s="1" t="str">
        <f>"07-"&amp;LEFT(RIGHTB(REPT(0,4)&amp;_xlfn.BASE(DB07_baselinesequence[[#This Row],[num]],36),4),2)&amp;"-"&amp;RIGHT(RIGHTB(REPT(0,4)&amp;_xlfn.BASE(DB07_baselinesequence[[#This Row],[num]],36),4),2)</f>
        <v>07-00-D4</v>
      </c>
      <c r="C460" s="1" t="s">
        <v>2089</v>
      </c>
      <c r="F460" s="1" t="s">
        <v>2088</v>
      </c>
      <c r="G460" s="1" t="s">
        <v>2090</v>
      </c>
      <c r="H460" s="1">
        <f>_xlfn.XLOOKUP(DB07_baselinesequence[[#This Row],[basesequence-ID]],DB06_baseline[ID],DB06_baseline[確認済],FALSE,0)</f>
        <v>0</v>
      </c>
      <c r="J460" s="1" t="s">
        <v>2804</v>
      </c>
      <c r="K460" s="4"/>
      <c r="L460" s="3"/>
    </row>
    <row r="461" spans="1:12" x14ac:dyDescent="0.45">
      <c r="A461" s="1">
        <v>473</v>
      </c>
      <c r="B461" s="1" t="str">
        <f>"07-"&amp;LEFT(RIGHTB(REPT(0,4)&amp;_xlfn.BASE(DB07_baselinesequence[[#This Row],[num]],36),4),2)&amp;"-"&amp;RIGHT(RIGHTB(REPT(0,4)&amp;_xlfn.BASE(DB07_baselinesequence[[#This Row],[num]],36),4),2)</f>
        <v>07-00-D5</v>
      </c>
      <c r="C461" s="1" t="s">
        <v>2092</v>
      </c>
      <c r="F461" s="1" t="s">
        <v>2091</v>
      </c>
      <c r="G461" s="1" t="s">
        <v>2093</v>
      </c>
      <c r="H461" s="1">
        <f>_xlfn.XLOOKUP(DB07_baselinesequence[[#This Row],[basesequence-ID]],DB06_baseline[ID],DB06_baseline[確認済],FALSE,0)</f>
        <v>0</v>
      </c>
      <c r="J461" s="1" t="s">
        <v>2805</v>
      </c>
      <c r="K461" s="4"/>
      <c r="L461" s="3"/>
    </row>
    <row r="462" spans="1:12" x14ac:dyDescent="0.45">
      <c r="A462" s="1">
        <v>474</v>
      </c>
      <c r="B462" s="1" t="str">
        <f>"07-"&amp;LEFT(RIGHTB(REPT(0,4)&amp;_xlfn.BASE(DB07_baselinesequence[[#This Row],[num]],36),4),2)&amp;"-"&amp;RIGHT(RIGHTB(REPT(0,4)&amp;_xlfn.BASE(DB07_baselinesequence[[#This Row],[num]],36),4),2)</f>
        <v>07-00-D6</v>
      </c>
      <c r="C462" s="1" t="s">
        <v>2095</v>
      </c>
      <c r="F462" s="1" t="s">
        <v>2094</v>
      </c>
      <c r="G462" s="1" t="s">
        <v>2096</v>
      </c>
      <c r="H462" s="1">
        <f>_xlfn.XLOOKUP(DB07_baselinesequence[[#This Row],[basesequence-ID]],DB06_baseline[ID],DB06_baseline[確認済],FALSE,0)</f>
        <v>0</v>
      </c>
      <c r="J462" s="1" t="s">
        <v>2806</v>
      </c>
      <c r="K462" s="4"/>
      <c r="L462" s="3"/>
    </row>
    <row r="463" spans="1:12" x14ac:dyDescent="0.45">
      <c r="A463" s="1">
        <v>475</v>
      </c>
      <c r="B463" s="1" t="str">
        <f>"07-"&amp;LEFT(RIGHTB(REPT(0,4)&amp;_xlfn.BASE(DB07_baselinesequence[[#This Row],[num]],36),4),2)&amp;"-"&amp;RIGHT(RIGHTB(REPT(0,4)&amp;_xlfn.BASE(DB07_baselinesequence[[#This Row],[num]],36),4),2)</f>
        <v>07-00-D7</v>
      </c>
      <c r="C463" s="1" t="s">
        <v>2098</v>
      </c>
      <c r="F463" s="1" t="s">
        <v>2097</v>
      </c>
      <c r="G463" s="1" t="s">
        <v>2099</v>
      </c>
      <c r="H463" s="1">
        <f>_xlfn.XLOOKUP(DB07_baselinesequence[[#This Row],[basesequence-ID]],DB06_baseline[ID],DB06_baseline[確認済],FALSE,0)</f>
        <v>0</v>
      </c>
      <c r="J463" s="1" t="s">
        <v>2807</v>
      </c>
      <c r="K463" s="4"/>
      <c r="L463" s="3"/>
    </row>
    <row r="464" spans="1:12" x14ac:dyDescent="0.45">
      <c r="A464" s="1">
        <v>476</v>
      </c>
      <c r="B464" s="1" t="str">
        <f>"07-"&amp;LEFT(RIGHTB(REPT(0,4)&amp;_xlfn.BASE(DB07_baselinesequence[[#This Row],[num]],36),4),2)&amp;"-"&amp;RIGHT(RIGHTB(REPT(0,4)&amp;_xlfn.BASE(DB07_baselinesequence[[#This Row],[num]],36),4),2)</f>
        <v>07-00-D8</v>
      </c>
      <c r="C464" s="1" t="s">
        <v>2101</v>
      </c>
      <c r="F464" s="1" t="s">
        <v>2100</v>
      </c>
      <c r="G464" s="1" t="s">
        <v>2102</v>
      </c>
      <c r="H464" s="1">
        <f>_xlfn.XLOOKUP(DB07_baselinesequence[[#This Row],[basesequence-ID]],DB06_baseline[ID],DB06_baseline[確認済],FALSE,0)</f>
        <v>0</v>
      </c>
      <c r="J464" s="1" t="s">
        <v>2808</v>
      </c>
      <c r="K464" s="4"/>
      <c r="L464" s="3"/>
    </row>
    <row r="465" spans="1:12" x14ac:dyDescent="0.45">
      <c r="A465" s="1">
        <v>477</v>
      </c>
      <c r="B465" s="1" t="str">
        <f>"07-"&amp;LEFT(RIGHTB(REPT(0,4)&amp;_xlfn.BASE(DB07_baselinesequence[[#This Row],[num]],36),4),2)&amp;"-"&amp;RIGHT(RIGHTB(REPT(0,4)&amp;_xlfn.BASE(DB07_baselinesequence[[#This Row],[num]],36),4),2)</f>
        <v>07-00-D9</v>
      </c>
      <c r="C465" s="1" t="s">
        <v>3087</v>
      </c>
      <c r="F465" s="1" t="s">
        <v>2103</v>
      </c>
      <c r="G465" s="1" t="s">
        <v>2104</v>
      </c>
      <c r="H465" s="1">
        <f>_xlfn.XLOOKUP(DB07_baselinesequence[[#This Row],[basesequence-ID]],DB06_baseline[ID],DB06_baseline[確認済],FALSE,0)</f>
        <v>0</v>
      </c>
      <c r="J465" s="1" t="s">
        <v>3053</v>
      </c>
      <c r="K465" s="4"/>
      <c r="L465" s="3"/>
    </row>
    <row r="466" spans="1:12" x14ac:dyDescent="0.45">
      <c r="A466" s="1">
        <v>478</v>
      </c>
      <c r="B466" s="1" t="str">
        <f>"07-"&amp;LEFT(RIGHTB(REPT(0,4)&amp;_xlfn.BASE(DB07_baselinesequence[[#This Row],[num]],36),4),2)&amp;"-"&amp;RIGHT(RIGHTB(REPT(0,4)&amp;_xlfn.BASE(DB07_baselinesequence[[#This Row],[num]],36),4),2)</f>
        <v>07-00-DA</v>
      </c>
      <c r="C466" s="1" t="s">
        <v>2106</v>
      </c>
      <c r="F466" s="1" t="s">
        <v>2105</v>
      </c>
      <c r="G466" s="1" t="s">
        <v>2107</v>
      </c>
      <c r="H466" s="1">
        <f>_xlfn.XLOOKUP(DB07_baselinesequence[[#This Row],[basesequence-ID]],DB06_baseline[ID],DB06_baseline[確認済],FALSE,0)</f>
        <v>0</v>
      </c>
      <c r="J466" s="1" t="s">
        <v>2809</v>
      </c>
      <c r="K466" s="4"/>
      <c r="L466" s="3"/>
    </row>
    <row r="467" spans="1:12" x14ac:dyDescent="0.45">
      <c r="A467" s="1">
        <v>479</v>
      </c>
      <c r="B467" s="1" t="str">
        <f>"07-"&amp;LEFT(RIGHTB(REPT(0,4)&amp;_xlfn.BASE(DB07_baselinesequence[[#This Row],[num]],36),4),2)&amp;"-"&amp;RIGHT(RIGHTB(REPT(0,4)&amp;_xlfn.BASE(DB07_baselinesequence[[#This Row],[num]],36),4),2)</f>
        <v>07-00-DB</v>
      </c>
      <c r="C467" s="1" t="s">
        <v>2109</v>
      </c>
      <c r="F467" s="1" t="s">
        <v>2108</v>
      </c>
      <c r="G467" s="1" t="s">
        <v>2110</v>
      </c>
      <c r="H467" s="1">
        <f>_xlfn.XLOOKUP(DB07_baselinesequence[[#This Row],[basesequence-ID]],DB06_baseline[ID],DB06_baseline[確認済],FALSE,0)</f>
        <v>0</v>
      </c>
      <c r="J467" s="1" t="s">
        <v>2810</v>
      </c>
      <c r="K467" s="4"/>
      <c r="L467" s="3"/>
    </row>
    <row r="468" spans="1:12" x14ac:dyDescent="0.45">
      <c r="A468" s="1">
        <v>480</v>
      </c>
      <c r="B468" s="1" t="str">
        <f>"07-"&amp;LEFT(RIGHTB(REPT(0,4)&amp;_xlfn.BASE(DB07_baselinesequence[[#This Row],[num]],36),4),2)&amp;"-"&amp;RIGHT(RIGHTB(REPT(0,4)&amp;_xlfn.BASE(DB07_baselinesequence[[#This Row],[num]],36),4),2)</f>
        <v>07-00-DC</v>
      </c>
      <c r="C468" s="1" t="s">
        <v>2112</v>
      </c>
      <c r="F468" s="1" t="s">
        <v>2111</v>
      </c>
      <c r="G468" s="1" t="s">
        <v>2113</v>
      </c>
      <c r="H468" s="1">
        <f>_xlfn.XLOOKUP(DB07_baselinesequence[[#This Row],[basesequence-ID]],DB06_baseline[ID],DB06_baseline[確認済],FALSE,0)</f>
        <v>0</v>
      </c>
      <c r="J468" s="1" t="s">
        <v>2811</v>
      </c>
      <c r="K468" s="4"/>
      <c r="L468" s="3"/>
    </row>
    <row r="469" spans="1:12" x14ac:dyDescent="0.45">
      <c r="A469" s="1">
        <v>481</v>
      </c>
      <c r="B469" s="1" t="str">
        <f>"07-"&amp;LEFT(RIGHTB(REPT(0,4)&amp;_xlfn.BASE(DB07_baselinesequence[[#This Row],[num]],36),4),2)&amp;"-"&amp;RIGHT(RIGHTB(REPT(0,4)&amp;_xlfn.BASE(DB07_baselinesequence[[#This Row],[num]],36),4),2)</f>
        <v>07-00-DD</v>
      </c>
      <c r="C469" s="1" t="s">
        <v>2115</v>
      </c>
      <c r="F469" s="1" t="s">
        <v>2114</v>
      </c>
      <c r="G469" s="1" t="s">
        <v>2116</v>
      </c>
      <c r="H469" s="1">
        <f>_xlfn.XLOOKUP(DB07_baselinesequence[[#This Row],[basesequence-ID]],DB06_baseline[ID],DB06_baseline[確認済],FALSE,0)</f>
        <v>0</v>
      </c>
      <c r="J469" s="1" t="s">
        <v>2812</v>
      </c>
      <c r="K469" s="4"/>
      <c r="L469" s="3"/>
    </row>
    <row r="470" spans="1:12" x14ac:dyDescent="0.45">
      <c r="A470" s="1">
        <v>482</v>
      </c>
      <c r="B470" s="1" t="str">
        <f>"07-"&amp;LEFT(RIGHTB(REPT(0,4)&amp;_xlfn.BASE(DB07_baselinesequence[[#This Row],[num]],36),4),2)&amp;"-"&amp;RIGHT(RIGHTB(REPT(0,4)&amp;_xlfn.BASE(DB07_baselinesequence[[#This Row],[num]],36),4),2)</f>
        <v>07-00-DE</v>
      </c>
      <c r="C470" s="1" t="s">
        <v>2118</v>
      </c>
      <c r="F470" s="1" t="s">
        <v>2117</v>
      </c>
      <c r="G470" s="1" t="s">
        <v>2119</v>
      </c>
      <c r="H470" s="1">
        <f>_xlfn.XLOOKUP(DB07_baselinesequence[[#This Row],[basesequence-ID]],DB06_baseline[ID],DB06_baseline[確認済],FALSE,0)</f>
        <v>0</v>
      </c>
      <c r="J470" s="1" t="s">
        <v>2813</v>
      </c>
      <c r="K470" s="4"/>
      <c r="L470" s="3"/>
    </row>
    <row r="471" spans="1:12" x14ac:dyDescent="0.45">
      <c r="A471" s="1">
        <v>483</v>
      </c>
      <c r="B471" s="1" t="str">
        <f>"07-"&amp;LEFT(RIGHTB(REPT(0,4)&amp;_xlfn.BASE(DB07_baselinesequence[[#This Row],[num]],36),4),2)&amp;"-"&amp;RIGHT(RIGHTB(REPT(0,4)&amp;_xlfn.BASE(DB07_baselinesequence[[#This Row],[num]],36),4),2)</f>
        <v>07-00-DF</v>
      </c>
      <c r="C471" s="1" t="s">
        <v>2121</v>
      </c>
      <c r="F471" s="1" t="s">
        <v>2120</v>
      </c>
      <c r="G471" s="1" t="s">
        <v>2122</v>
      </c>
      <c r="H471" s="1">
        <f>_xlfn.XLOOKUP(DB07_baselinesequence[[#This Row],[basesequence-ID]],DB06_baseline[ID],DB06_baseline[確認済],FALSE,0)</f>
        <v>0</v>
      </c>
      <c r="J471" s="1" t="s">
        <v>2814</v>
      </c>
      <c r="K471" s="4"/>
      <c r="L471" s="3"/>
    </row>
    <row r="472" spans="1:12" x14ac:dyDescent="0.45">
      <c r="A472" s="1">
        <v>484</v>
      </c>
      <c r="B472" s="1" t="str">
        <f>"07-"&amp;LEFT(RIGHTB(REPT(0,4)&amp;_xlfn.BASE(DB07_baselinesequence[[#This Row],[num]],36),4),2)&amp;"-"&amp;RIGHT(RIGHTB(REPT(0,4)&amp;_xlfn.BASE(DB07_baselinesequence[[#This Row],[num]],36),4),2)</f>
        <v>07-00-DG</v>
      </c>
      <c r="C472" s="1" t="s">
        <v>2124</v>
      </c>
      <c r="F472" s="1" t="s">
        <v>2123</v>
      </c>
      <c r="G472" s="1" t="s">
        <v>2125</v>
      </c>
      <c r="H472" s="1">
        <f>_xlfn.XLOOKUP(DB07_baselinesequence[[#This Row],[basesequence-ID]],DB06_baseline[ID],DB06_baseline[確認済],FALSE,0)</f>
        <v>0</v>
      </c>
      <c r="J472" s="1" t="s">
        <v>2815</v>
      </c>
      <c r="K472" s="4"/>
      <c r="L472" s="3"/>
    </row>
    <row r="473" spans="1:12" x14ac:dyDescent="0.45">
      <c r="A473" s="1">
        <v>485</v>
      </c>
      <c r="B473" s="1" t="str">
        <f>"07-"&amp;LEFT(RIGHTB(REPT(0,4)&amp;_xlfn.BASE(DB07_baselinesequence[[#This Row],[num]],36),4),2)&amp;"-"&amp;RIGHT(RIGHTB(REPT(0,4)&amp;_xlfn.BASE(DB07_baselinesequence[[#This Row],[num]],36),4),2)</f>
        <v>07-00-DH</v>
      </c>
      <c r="C473" s="1" t="s">
        <v>2127</v>
      </c>
      <c r="F473" s="1" t="s">
        <v>2126</v>
      </c>
      <c r="G473" s="1" t="s">
        <v>2128</v>
      </c>
      <c r="H473" s="1">
        <f>_xlfn.XLOOKUP(DB07_baselinesequence[[#This Row],[basesequence-ID]],DB06_baseline[ID],DB06_baseline[確認済],FALSE,0)</f>
        <v>0</v>
      </c>
      <c r="J473" s="1" t="s">
        <v>2816</v>
      </c>
      <c r="K473" s="4"/>
      <c r="L473" s="3"/>
    </row>
    <row r="474" spans="1:12" x14ac:dyDescent="0.45">
      <c r="A474" s="1">
        <v>486</v>
      </c>
      <c r="B474" s="1" t="str">
        <f>"07-"&amp;LEFT(RIGHTB(REPT(0,4)&amp;_xlfn.BASE(DB07_baselinesequence[[#This Row],[num]],36),4),2)&amp;"-"&amp;RIGHT(RIGHTB(REPT(0,4)&amp;_xlfn.BASE(DB07_baselinesequence[[#This Row],[num]],36),4),2)</f>
        <v>07-00-DI</v>
      </c>
      <c r="C474" s="1" t="s">
        <v>3089</v>
      </c>
      <c r="F474" s="1" t="s">
        <v>2129</v>
      </c>
      <c r="G474" s="1" t="s">
        <v>2130</v>
      </c>
      <c r="H474" s="1">
        <f>_xlfn.XLOOKUP(DB07_baselinesequence[[#This Row],[basesequence-ID]],DB06_baseline[ID],DB06_baseline[確認済],FALSE,0)</f>
        <v>0</v>
      </c>
      <c r="J474" s="1" t="s">
        <v>3055</v>
      </c>
      <c r="K474" s="4"/>
      <c r="L474" s="3"/>
    </row>
    <row r="475" spans="1:12" x14ac:dyDescent="0.45">
      <c r="A475" s="1">
        <v>487</v>
      </c>
      <c r="B475" s="1" t="str">
        <f>"07-"&amp;LEFT(RIGHTB(REPT(0,4)&amp;_xlfn.BASE(DB07_baselinesequence[[#This Row],[num]],36),4),2)&amp;"-"&amp;RIGHT(RIGHTB(REPT(0,4)&amp;_xlfn.BASE(DB07_baselinesequence[[#This Row],[num]],36),4),2)</f>
        <v>07-00-DJ</v>
      </c>
      <c r="C475" s="1" t="s">
        <v>2132</v>
      </c>
      <c r="F475" s="1" t="s">
        <v>2131</v>
      </c>
      <c r="G475" s="1" t="s">
        <v>2133</v>
      </c>
      <c r="H475" s="1">
        <f>_xlfn.XLOOKUP(DB07_baselinesequence[[#This Row],[basesequence-ID]],DB06_baseline[ID],DB06_baseline[確認済],FALSE,0)</f>
        <v>0</v>
      </c>
      <c r="J475" s="1" t="s">
        <v>2817</v>
      </c>
      <c r="K475" s="4"/>
      <c r="L475" s="3"/>
    </row>
    <row r="476" spans="1:12" x14ac:dyDescent="0.45">
      <c r="A476" s="1">
        <v>488</v>
      </c>
      <c r="B476" s="1" t="str">
        <f>"07-"&amp;LEFT(RIGHTB(REPT(0,4)&amp;_xlfn.BASE(DB07_baselinesequence[[#This Row],[num]],36),4),2)&amp;"-"&amp;RIGHT(RIGHTB(REPT(0,4)&amp;_xlfn.BASE(DB07_baselinesequence[[#This Row],[num]],36),4),2)</f>
        <v>07-00-DK</v>
      </c>
      <c r="C476" s="1" t="s">
        <v>2135</v>
      </c>
      <c r="F476" s="1" t="s">
        <v>2134</v>
      </c>
      <c r="G476" s="1" t="s">
        <v>2136</v>
      </c>
      <c r="H476" s="1">
        <f>_xlfn.XLOOKUP(DB07_baselinesequence[[#This Row],[basesequence-ID]],DB06_baseline[ID],DB06_baseline[確認済],FALSE,0)</f>
        <v>0</v>
      </c>
      <c r="J476" s="1" t="s">
        <v>2818</v>
      </c>
      <c r="K476" s="4"/>
      <c r="L476" s="3"/>
    </row>
    <row r="477" spans="1:12" x14ac:dyDescent="0.45">
      <c r="A477" s="1">
        <v>489</v>
      </c>
      <c r="B477" s="1" t="str">
        <f>"07-"&amp;LEFT(RIGHTB(REPT(0,4)&amp;_xlfn.BASE(DB07_baselinesequence[[#This Row],[num]],36),4),2)&amp;"-"&amp;RIGHT(RIGHTB(REPT(0,4)&amp;_xlfn.BASE(DB07_baselinesequence[[#This Row],[num]],36),4),2)</f>
        <v>07-00-DL</v>
      </c>
      <c r="C477" s="1" t="s">
        <v>2138</v>
      </c>
      <c r="F477" s="1" t="s">
        <v>2137</v>
      </c>
      <c r="G477" s="1" t="s">
        <v>2139</v>
      </c>
      <c r="H477" s="1">
        <f>_xlfn.XLOOKUP(DB07_baselinesequence[[#This Row],[basesequence-ID]],DB06_baseline[ID],DB06_baseline[確認済],FALSE,0)</f>
        <v>0</v>
      </c>
      <c r="J477" s="1" t="s">
        <v>2819</v>
      </c>
      <c r="K477" s="4"/>
      <c r="L477" s="3"/>
    </row>
    <row r="478" spans="1:12" x14ac:dyDescent="0.45">
      <c r="A478" s="1">
        <v>490</v>
      </c>
      <c r="B478" s="1" t="str">
        <f>"07-"&amp;LEFT(RIGHTB(REPT(0,4)&amp;_xlfn.BASE(DB07_baselinesequence[[#This Row],[num]],36),4),2)&amp;"-"&amp;RIGHT(RIGHTB(REPT(0,4)&amp;_xlfn.BASE(DB07_baselinesequence[[#This Row],[num]],36),4),2)</f>
        <v>07-00-DM</v>
      </c>
      <c r="C478" s="1" t="s">
        <v>2141</v>
      </c>
      <c r="F478" s="1" t="s">
        <v>2140</v>
      </c>
      <c r="G478" s="1" t="s">
        <v>2142</v>
      </c>
      <c r="H478" s="1">
        <f>_xlfn.XLOOKUP(DB07_baselinesequence[[#This Row],[basesequence-ID]],DB06_baseline[ID],DB06_baseline[確認済],FALSE,0)</f>
        <v>0</v>
      </c>
      <c r="J478" s="1" t="s">
        <v>2820</v>
      </c>
      <c r="K478" s="4"/>
      <c r="L478" s="3"/>
    </row>
    <row r="479" spans="1:12" x14ac:dyDescent="0.45">
      <c r="A479" s="1">
        <v>491</v>
      </c>
      <c r="B479" s="1" t="str">
        <f>"07-"&amp;LEFT(RIGHTB(REPT(0,4)&amp;_xlfn.BASE(DB07_baselinesequence[[#This Row],[num]],36),4),2)&amp;"-"&amp;RIGHT(RIGHTB(REPT(0,4)&amp;_xlfn.BASE(DB07_baselinesequence[[#This Row],[num]],36),4),2)</f>
        <v>07-00-DN</v>
      </c>
      <c r="C479" s="1" t="s">
        <v>2144</v>
      </c>
      <c r="F479" s="1" t="s">
        <v>2143</v>
      </c>
      <c r="G479" s="1" t="s">
        <v>2145</v>
      </c>
      <c r="H479" s="1">
        <f>_xlfn.XLOOKUP(DB07_baselinesequence[[#This Row],[basesequence-ID]],DB06_baseline[ID],DB06_baseline[確認済],FALSE,0)</f>
        <v>0</v>
      </c>
      <c r="J479" s="1" t="s">
        <v>2821</v>
      </c>
      <c r="K479" s="4"/>
      <c r="L479" s="3"/>
    </row>
    <row r="480" spans="1:12" x14ac:dyDescent="0.45">
      <c r="A480" s="1">
        <v>492</v>
      </c>
      <c r="B480" s="1" t="str">
        <f>"07-"&amp;LEFT(RIGHTB(REPT(0,4)&amp;_xlfn.BASE(DB07_baselinesequence[[#This Row],[num]],36),4),2)&amp;"-"&amp;RIGHT(RIGHTB(REPT(0,4)&amp;_xlfn.BASE(DB07_baselinesequence[[#This Row],[num]],36),4),2)</f>
        <v>07-00-DO</v>
      </c>
      <c r="C480" s="1" t="s">
        <v>2147</v>
      </c>
      <c r="F480" s="1" t="s">
        <v>2146</v>
      </c>
      <c r="G480" s="1" t="s">
        <v>2148</v>
      </c>
      <c r="H480" s="1">
        <f>_xlfn.XLOOKUP(DB07_baselinesequence[[#This Row],[basesequence-ID]],DB06_baseline[ID],DB06_baseline[確認済],FALSE,0)</f>
        <v>0</v>
      </c>
      <c r="J480" s="1" t="s">
        <v>2822</v>
      </c>
      <c r="K480" s="4"/>
      <c r="L480" s="3"/>
    </row>
    <row r="481" spans="1:12" x14ac:dyDescent="0.45">
      <c r="A481" s="1">
        <v>493</v>
      </c>
      <c r="B481" s="1" t="str">
        <f>"07-"&amp;LEFT(RIGHTB(REPT(0,4)&amp;_xlfn.BASE(DB07_baselinesequence[[#This Row],[num]],36),4),2)&amp;"-"&amp;RIGHT(RIGHTB(REPT(0,4)&amp;_xlfn.BASE(DB07_baselinesequence[[#This Row],[num]],36),4),2)</f>
        <v>07-00-DP</v>
      </c>
      <c r="C481" s="1" t="s">
        <v>2150</v>
      </c>
      <c r="F481" s="1" t="s">
        <v>2149</v>
      </c>
      <c r="G481" s="1" t="s">
        <v>2151</v>
      </c>
      <c r="H481" s="1">
        <f>_xlfn.XLOOKUP(DB07_baselinesequence[[#This Row],[basesequence-ID]],DB06_baseline[ID],DB06_baseline[確認済],FALSE,0)</f>
        <v>0</v>
      </c>
      <c r="J481" s="1" t="s">
        <v>2823</v>
      </c>
      <c r="K481" s="4"/>
      <c r="L481" s="3"/>
    </row>
    <row r="482" spans="1:12" x14ac:dyDescent="0.45">
      <c r="A482" s="1">
        <v>494</v>
      </c>
      <c r="B482" s="1" t="str">
        <f>"07-"&amp;LEFT(RIGHTB(REPT(0,4)&amp;_xlfn.BASE(DB07_baselinesequence[[#This Row],[num]],36),4),2)&amp;"-"&amp;RIGHT(RIGHTB(REPT(0,4)&amp;_xlfn.BASE(DB07_baselinesequence[[#This Row],[num]],36),4),2)</f>
        <v>07-00-DQ</v>
      </c>
      <c r="C482" s="1" t="s">
        <v>3090</v>
      </c>
      <c r="F482" s="1" t="s">
        <v>2152</v>
      </c>
      <c r="G482" s="1" t="s">
        <v>2153</v>
      </c>
      <c r="H482" s="1">
        <f>_xlfn.XLOOKUP(DB07_baselinesequence[[#This Row],[basesequence-ID]],DB06_baseline[ID],DB06_baseline[確認済],FALSE,0)</f>
        <v>0</v>
      </c>
      <c r="J482" s="1" t="s">
        <v>3056</v>
      </c>
      <c r="K482" s="4"/>
      <c r="L482" s="3"/>
    </row>
    <row r="483" spans="1:12" x14ac:dyDescent="0.45">
      <c r="A483" s="1">
        <v>495</v>
      </c>
      <c r="B483" s="1" t="str">
        <f>"07-"&amp;LEFT(RIGHTB(REPT(0,4)&amp;_xlfn.BASE(DB07_baselinesequence[[#This Row],[num]],36),4),2)&amp;"-"&amp;RIGHT(RIGHTB(REPT(0,4)&amp;_xlfn.BASE(DB07_baselinesequence[[#This Row],[num]],36),4),2)</f>
        <v>07-00-DR</v>
      </c>
      <c r="C483" s="1" t="s">
        <v>2155</v>
      </c>
      <c r="F483" s="1" t="s">
        <v>2154</v>
      </c>
      <c r="G483" s="1" t="s">
        <v>2156</v>
      </c>
      <c r="H483" s="1">
        <f>_xlfn.XLOOKUP(DB07_baselinesequence[[#This Row],[basesequence-ID]],DB06_baseline[ID],DB06_baseline[確認済],FALSE,0)</f>
        <v>0</v>
      </c>
      <c r="J483" s="1" t="s">
        <v>2824</v>
      </c>
      <c r="K483" s="4"/>
      <c r="L483" s="3"/>
    </row>
    <row r="484" spans="1:12" x14ac:dyDescent="0.45">
      <c r="A484" s="1">
        <v>496</v>
      </c>
      <c r="B484" s="1" t="str">
        <f>"07-"&amp;LEFT(RIGHTB(REPT(0,4)&amp;_xlfn.BASE(DB07_baselinesequence[[#This Row],[num]],36),4),2)&amp;"-"&amp;RIGHT(RIGHTB(REPT(0,4)&amp;_xlfn.BASE(DB07_baselinesequence[[#This Row],[num]],36),4),2)</f>
        <v>07-00-DS</v>
      </c>
      <c r="C484" s="1" t="s">
        <v>2158</v>
      </c>
      <c r="F484" s="1" t="s">
        <v>2157</v>
      </c>
      <c r="G484" s="1" t="s">
        <v>2159</v>
      </c>
      <c r="H484" s="1">
        <f>_xlfn.XLOOKUP(DB07_baselinesequence[[#This Row],[basesequence-ID]],DB06_baseline[ID],DB06_baseline[確認済],FALSE,0)</f>
        <v>0</v>
      </c>
      <c r="J484" s="1" t="s">
        <v>2825</v>
      </c>
      <c r="K484" s="4"/>
      <c r="L484" s="3"/>
    </row>
    <row r="485" spans="1:12" x14ac:dyDescent="0.45">
      <c r="A485" s="1">
        <v>497</v>
      </c>
      <c r="B485" s="1" t="str">
        <f>"07-"&amp;LEFT(RIGHTB(REPT(0,4)&amp;_xlfn.BASE(DB07_baselinesequence[[#This Row],[num]],36),4),2)&amp;"-"&amp;RIGHT(RIGHTB(REPT(0,4)&amp;_xlfn.BASE(DB07_baselinesequence[[#This Row],[num]],36),4),2)</f>
        <v>07-00-DT</v>
      </c>
      <c r="C485" s="1" t="s">
        <v>2161</v>
      </c>
      <c r="F485" s="1" t="s">
        <v>2160</v>
      </c>
      <c r="G485" s="1" t="s">
        <v>2162</v>
      </c>
      <c r="H485" s="1">
        <f>_xlfn.XLOOKUP(DB07_baselinesequence[[#This Row],[basesequence-ID]],DB06_baseline[ID],DB06_baseline[確認済],FALSE,0)</f>
        <v>0</v>
      </c>
      <c r="J485" s="1" t="s">
        <v>2826</v>
      </c>
      <c r="K485" s="4"/>
      <c r="L485" s="3"/>
    </row>
    <row r="486" spans="1:12" x14ac:dyDescent="0.45">
      <c r="A486" s="1">
        <v>498</v>
      </c>
      <c r="B486" s="1" t="str">
        <f>"07-"&amp;LEFT(RIGHTB(REPT(0,4)&amp;_xlfn.BASE(DB07_baselinesequence[[#This Row],[num]],36),4),2)&amp;"-"&amp;RIGHT(RIGHTB(REPT(0,4)&amp;_xlfn.BASE(DB07_baselinesequence[[#This Row],[num]],36),4),2)</f>
        <v>07-00-DU</v>
      </c>
      <c r="C486" s="1" t="s">
        <v>2164</v>
      </c>
      <c r="F486" s="1" t="s">
        <v>2163</v>
      </c>
      <c r="G486" s="1" t="s">
        <v>2165</v>
      </c>
      <c r="H486" s="1">
        <f>_xlfn.XLOOKUP(DB07_baselinesequence[[#This Row],[basesequence-ID]],DB06_baseline[ID],DB06_baseline[確認済],FALSE,0)</f>
        <v>0</v>
      </c>
      <c r="J486" s="1" t="s">
        <v>2827</v>
      </c>
      <c r="K486" s="4"/>
      <c r="L486" s="3"/>
    </row>
    <row r="487" spans="1:12" x14ac:dyDescent="0.45">
      <c r="A487" s="1">
        <v>499</v>
      </c>
      <c r="B487" s="1" t="str">
        <f>"07-"&amp;LEFT(RIGHTB(REPT(0,4)&amp;_xlfn.BASE(DB07_baselinesequence[[#This Row],[num]],36),4),2)&amp;"-"&amp;RIGHT(RIGHTB(REPT(0,4)&amp;_xlfn.BASE(DB07_baselinesequence[[#This Row],[num]],36),4),2)</f>
        <v>07-00-DV</v>
      </c>
      <c r="C487" s="1" t="s">
        <v>2167</v>
      </c>
      <c r="F487" s="1" t="s">
        <v>2166</v>
      </c>
      <c r="G487" s="1" t="s">
        <v>2168</v>
      </c>
      <c r="H487" s="1">
        <f>_xlfn.XLOOKUP(DB07_baselinesequence[[#This Row],[basesequence-ID]],DB06_baseline[ID],DB06_baseline[確認済],FALSE,0)</f>
        <v>0</v>
      </c>
      <c r="J487" s="1" t="s">
        <v>2828</v>
      </c>
      <c r="K487" s="4"/>
      <c r="L487" s="3"/>
    </row>
    <row r="488" spans="1:12" x14ac:dyDescent="0.45">
      <c r="A488" s="1">
        <v>500</v>
      </c>
      <c r="B488" s="1" t="str">
        <f>"07-"&amp;LEFT(RIGHTB(REPT(0,4)&amp;_xlfn.BASE(DB07_baselinesequence[[#This Row],[num]],36),4),2)&amp;"-"&amp;RIGHT(RIGHTB(REPT(0,4)&amp;_xlfn.BASE(DB07_baselinesequence[[#This Row],[num]],36),4),2)</f>
        <v>07-00-DW</v>
      </c>
      <c r="C488" s="1" t="s">
        <v>2170</v>
      </c>
      <c r="F488" s="1" t="s">
        <v>2169</v>
      </c>
      <c r="G488" s="1" t="s">
        <v>2171</v>
      </c>
      <c r="H488" s="1">
        <f>_xlfn.XLOOKUP(DB07_baselinesequence[[#This Row],[basesequence-ID]],DB06_baseline[ID],DB06_baseline[確認済],FALSE,0)</f>
        <v>0</v>
      </c>
      <c r="J488" s="1" t="s">
        <v>2829</v>
      </c>
      <c r="K488" s="4"/>
      <c r="L488" s="3"/>
    </row>
    <row r="489" spans="1:12" x14ac:dyDescent="0.45">
      <c r="A489" s="1">
        <v>501</v>
      </c>
      <c r="B489" s="1" t="str">
        <f>"07-"&amp;LEFT(RIGHTB(REPT(0,4)&amp;_xlfn.BASE(DB07_baselinesequence[[#This Row],[num]],36),4),2)&amp;"-"&amp;RIGHT(RIGHTB(REPT(0,4)&amp;_xlfn.BASE(DB07_baselinesequence[[#This Row],[num]],36),4),2)</f>
        <v>07-00-DX</v>
      </c>
      <c r="C489" s="1" t="s">
        <v>2173</v>
      </c>
      <c r="F489" s="1" t="s">
        <v>2172</v>
      </c>
      <c r="G489" s="1" t="s">
        <v>2174</v>
      </c>
      <c r="H489" s="1">
        <f>_xlfn.XLOOKUP(DB07_baselinesequence[[#This Row],[basesequence-ID]],DB06_baseline[ID],DB06_baseline[確認済],FALSE,0)</f>
        <v>0</v>
      </c>
      <c r="J489" s="1" t="s">
        <v>2830</v>
      </c>
      <c r="K489" s="4"/>
      <c r="L489" s="3"/>
    </row>
    <row r="490" spans="1:12" x14ac:dyDescent="0.45">
      <c r="A490" s="1">
        <v>502</v>
      </c>
      <c r="B490" s="1" t="str">
        <f>"07-"&amp;LEFT(RIGHTB(REPT(0,4)&amp;_xlfn.BASE(DB07_baselinesequence[[#This Row],[num]],36),4),2)&amp;"-"&amp;RIGHT(RIGHTB(REPT(0,4)&amp;_xlfn.BASE(DB07_baselinesequence[[#This Row],[num]],36),4),2)</f>
        <v>07-00-DY</v>
      </c>
      <c r="C490" s="1" t="s">
        <v>2176</v>
      </c>
      <c r="F490" s="1" t="s">
        <v>2175</v>
      </c>
      <c r="G490" s="1" t="s">
        <v>2177</v>
      </c>
      <c r="H490" s="1">
        <f>_xlfn.XLOOKUP(DB07_baselinesequence[[#This Row],[basesequence-ID]],DB06_baseline[ID],DB06_baseline[確認済],FALSE,0)</f>
        <v>0</v>
      </c>
      <c r="J490" s="1" t="s">
        <v>2831</v>
      </c>
      <c r="K490" s="4"/>
      <c r="L490" s="3"/>
    </row>
    <row r="491" spans="1:12" x14ac:dyDescent="0.45">
      <c r="A491" s="1">
        <v>503</v>
      </c>
      <c r="B491" s="1" t="str">
        <f>"07-"&amp;LEFT(RIGHTB(REPT(0,4)&amp;_xlfn.BASE(DB07_baselinesequence[[#This Row],[num]],36),4),2)&amp;"-"&amp;RIGHT(RIGHTB(REPT(0,4)&amp;_xlfn.BASE(DB07_baselinesequence[[#This Row],[num]],36),4),2)</f>
        <v>07-00-DZ</v>
      </c>
      <c r="C491" s="1" t="s">
        <v>2179</v>
      </c>
      <c r="F491" s="1" t="s">
        <v>2178</v>
      </c>
      <c r="G491" s="1" t="s">
        <v>2180</v>
      </c>
      <c r="H491" s="1">
        <f>_xlfn.XLOOKUP(DB07_baselinesequence[[#This Row],[basesequence-ID]],DB06_baseline[ID],DB06_baseline[確認済],FALSE,0)</f>
        <v>0</v>
      </c>
      <c r="J491" s="1" t="s">
        <v>2832</v>
      </c>
      <c r="K491" s="4"/>
      <c r="L491" s="3"/>
    </row>
    <row r="492" spans="1:12" x14ac:dyDescent="0.45">
      <c r="A492" s="1">
        <v>504</v>
      </c>
      <c r="B492" s="1" t="str">
        <f>"07-"&amp;LEFT(RIGHTB(REPT(0,4)&amp;_xlfn.BASE(DB07_baselinesequence[[#This Row],[num]],36),4),2)&amp;"-"&amp;RIGHT(RIGHTB(REPT(0,4)&amp;_xlfn.BASE(DB07_baselinesequence[[#This Row],[num]],36),4),2)</f>
        <v>07-00-E0</v>
      </c>
      <c r="C492" s="1" t="s">
        <v>2182</v>
      </c>
      <c r="F492" s="1" t="s">
        <v>2181</v>
      </c>
      <c r="G492" s="1" t="s">
        <v>2183</v>
      </c>
      <c r="H492" s="1">
        <f>_xlfn.XLOOKUP(DB07_baselinesequence[[#This Row],[basesequence-ID]],DB06_baseline[ID],DB06_baseline[確認済],FALSE,0)</f>
        <v>0</v>
      </c>
      <c r="J492" s="1" t="s">
        <v>2833</v>
      </c>
      <c r="K492" s="4"/>
      <c r="L492" s="3"/>
    </row>
    <row r="493" spans="1:12" x14ac:dyDescent="0.45">
      <c r="A493" s="1">
        <v>505</v>
      </c>
      <c r="B493" s="1" t="str">
        <f>"07-"&amp;LEFT(RIGHTB(REPT(0,4)&amp;_xlfn.BASE(DB07_baselinesequence[[#This Row],[num]],36),4),2)&amp;"-"&amp;RIGHT(RIGHTB(REPT(0,4)&amp;_xlfn.BASE(DB07_baselinesequence[[#This Row],[num]],36),4),2)</f>
        <v>07-00-E1</v>
      </c>
      <c r="C493" s="1" t="s">
        <v>2185</v>
      </c>
      <c r="F493" s="1" t="s">
        <v>2184</v>
      </c>
      <c r="G493" s="1" t="s">
        <v>2186</v>
      </c>
      <c r="H493" s="1">
        <f>_xlfn.XLOOKUP(DB07_baselinesequence[[#This Row],[basesequence-ID]],DB06_baseline[ID],DB06_baseline[確認済],FALSE,0)</f>
        <v>0</v>
      </c>
      <c r="J493" s="1" t="s">
        <v>2834</v>
      </c>
      <c r="K493" s="4"/>
      <c r="L493" s="3"/>
    </row>
    <row r="494" spans="1:12" x14ac:dyDescent="0.45">
      <c r="A494" s="1">
        <v>506</v>
      </c>
      <c r="B494" s="1" t="str">
        <f>"07-"&amp;LEFT(RIGHTB(REPT(0,4)&amp;_xlfn.BASE(DB07_baselinesequence[[#This Row],[num]],36),4),2)&amp;"-"&amp;RIGHT(RIGHTB(REPT(0,4)&amp;_xlfn.BASE(DB07_baselinesequence[[#This Row],[num]],36),4),2)</f>
        <v>07-00-E2</v>
      </c>
      <c r="C494" s="1" t="s">
        <v>2188</v>
      </c>
      <c r="F494" s="1" t="s">
        <v>2187</v>
      </c>
      <c r="G494" s="1" t="s">
        <v>2189</v>
      </c>
      <c r="H494" s="1">
        <f>_xlfn.XLOOKUP(DB07_baselinesequence[[#This Row],[basesequence-ID]],DB06_baseline[ID],DB06_baseline[確認済],FALSE,0)</f>
        <v>0</v>
      </c>
      <c r="J494" s="1" t="s">
        <v>2835</v>
      </c>
      <c r="K494" s="4"/>
      <c r="L494" s="3"/>
    </row>
    <row r="495" spans="1:12" x14ac:dyDescent="0.45">
      <c r="A495" s="1">
        <v>507</v>
      </c>
      <c r="B495" s="1" t="str">
        <f>"07-"&amp;LEFT(RIGHTB(REPT(0,4)&amp;_xlfn.BASE(DB07_baselinesequence[[#This Row],[num]],36),4),2)&amp;"-"&amp;RIGHT(RIGHTB(REPT(0,4)&amp;_xlfn.BASE(DB07_baselinesequence[[#This Row],[num]],36),4),2)</f>
        <v>07-00-E3</v>
      </c>
      <c r="C495" s="1" t="s">
        <v>2191</v>
      </c>
      <c r="F495" s="1" t="s">
        <v>2190</v>
      </c>
      <c r="G495" s="1" t="s">
        <v>2192</v>
      </c>
      <c r="H495" s="1">
        <f>_xlfn.XLOOKUP(DB07_baselinesequence[[#This Row],[basesequence-ID]],DB06_baseline[ID],DB06_baseline[確認済],FALSE,0)</f>
        <v>0</v>
      </c>
      <c r="J495" s="1" t="s">
        <v>2836</v>
      </c>
      <c r="K495" s="4"/>
      <c r="L495" s="3"/>
    </row>
    <row r="496" spans="1:12" x14ac:dyDescent="0.45">
      <c r="A496" s="1">
        <v>508</v>
      </c>
      <c r="B496" s="1" t="str">
        <f>"07-"&amp;LEFT(RIGHTB(REPT(0,4)&amp;_xlfn.BASE(DB07_baselinesequence[[#This Row],[num]],36),4),2)&amp;"-"&amp;RIGHT(RIGHTB(REPT(0,4)&amp;_xlfn.BASE(DB07_baselinesequence[[#This Row],[num]],36),4),2)</f>
        <v>07-00-E4</v>
      </c>
      <c r="C496" s="1" t="s">
        <v>2194</v>
      </c>
      <c r="F496" s="1" t="s">
        <v>2193</v>
      </c>
      <c r="G496" s="1" t="s">
        <v>2195</v>
      </c>
      <c r="H496" s="1">
        <f>_xlfn.XLOOKUP(DB07_baselinesequence[[#This Row],[basesequence-ID]],DB06_baseline[ID],DB06_baseline[確認済],FALSE,0)</f>
        <v>0</v>
      </c>
      <c r="J496" s="1" t="s">
        <v>2837</v>
      </c>
      <c r="K496" s="4"/>
      <c r="L496" s="3"/>
    </row>
    <row r="497" spans="1:12" x14ac:dyDescent="0.45">
      <c r="A497" s="1">
        <v>509</v>
      </c>
      <c r="B497" s="1" t="str">
        <f>"07-"&amp;LEFT(RIGHTB(REPT(0,4)&amp;_xlfn.BASE(DB07_baselinesequence[[#This Row],[num]],36),4),2)&amp;"-"&amp;RIGHT(RIGHTB(REPT(0,4)&amp;_xlfn.BASE(DB07_baselinesequence[[#This Row],[num]],36),4),2)</f>
        <v>07-00-E5</v>
      </c>
      <c r="C497" s="1" t="s">
        <v>2197</v>
      </c>
      <c r="F497" s="1" t="s">
        <v>2196</v>
      </c>
      <c r="G497" s="1" t="s">
        <v>2198</v>
      </c>
      <c r="H497" s="1">
        <f>_xlfn.XLOOKUP(DB07_baselinesequence[[#This Row],[basesequence-ID]],DB06_baseline[ID],DB06_baseline[確認済],FALSE,0)</f>
        <v>0</v>
      </c>
      <c r="J497" s="1" t="s">
        <v>2838</v>
      </c>
      <c r="K497" s="4"/>
      <c r="L497" s="3"/>
    </row>
    <row r="498" spans="1:12" x14ac:dyDescent="0.45">
      <c r="A498" s="1">
        <v>510</v>
      </c>
      <c r="B498" s="1" t="str">
        <f>"07-"&amp;LEFT(RIGHTB(REPT(0,4)&amp;_xlfn.BASE(DB07_baselinesequence[[#This Row],[num]],36),4),2)&amp;"-"&amp;RIGHT(RIGHTB(REPT(0,4)&amp;_xlfn.BASE(DB07_baselinesequence[[#This Row],[num]],36),4),2)</f>
        <v>07-00-E6</v>
      </c>
      <c r="C498" s="1" t="s">
        <v>2200</v>
      </c>
      <c r="F498" s="1" t="s">
        <v>2199</v>
      </c>
      <c r="G498" s="1" t="s">
        <v>2201</v>
      </c>
      <c r="H498" s="1">
        <f>_xlfn.XLOOKUP(DB07_baselinesequence[[#This Row],[basesequence-ID]],DB06_baseline[ID],DB06_baseline[確認済],FALSE,0)</f>
        <v>0</v>
      </c>
      <c r="J498" s="1" t="s">
        <v>2839</v>
      </c>
      <c r="K498" s="4"/>
      <c r="L498" s="3"/>
    </row>
    <row r="499" spans="1:12" x14ac:dyDescent="0.45">
      <c r="A499" s="1">
        <v>511</v>
      </c>
      <c r="B499" s="1" t="str">
        <f>"07-"&amp;LEFT(RIGHTB(REPT(0,4)&amp;_xlfn.BASE(DB07_baselinesequence[[#This Row],[num]],36),4),2)&amp;"-"&amp;RIGHT(RIGHTB(REPT(0,4)&amp;_xlfn.BASE(DB07_baselinesequence[[#This Row],[num]],36),4),2)</f>
        <v>07-00-E7</v>
      </c>
      <c r="C499" s="1" t="s">
        <v>2203</v>
      </c>
      <c r="F499" s="1" t="s">
        <v>2202</v>
      </c>
      <c r="G499" s="1" t="s">
        <v>2204</v>
      </c>
      <c r="H499" s="1">
        <f>_xlfn.XLOOKUP(DB07_baselinesequence[[#This Row],[basesequence-ID]],DB06_baseline[ID],DB06_baseline[確認済],FALSE,0)</f>
        <v>0</v>
      </c>
      <c r="J499" s="1" t="s">
        <v>2840</v>
      </c>
      <c r="K499" s="4"/>
      <c r="L499" s="3"/>
    </row>
    <row r="500" spans="1:12" x14ac:dyDescent="0.45">
      <c r="A500" s="1">
        <v>512</v>
      </c>
      <c r="B500" s="1" t="str">
        <f>"07-"&amp;LEFT(RIGHTB(REPT(0,4)&amp;_xlfn.BASE(DB07_baselinesequence[[#This Row],[num]],36),4),2)&amp;"-"&amp;RIGHT(RIGHTB(REPT(0,4)&amp;_xlfn.BASE(DB07_baselinesequence[[#This Row],[num]],36),4),2)</f>
        <v>07-00-E8</v>
      </c>
      <c r="C500" s="1" t="s">
        <v>2206</v>
      </c>
      <c r="F500" s="1" t="s">
        <v>2205</v>
      </c>
      <c r="G500" s="1" t="s">
        <v>2207</v>
      </c>
      <c r="H500" s="1">
        <f>_xlfn.XLOOKUP(DB07_baselinesequence[[#This Row],[basesequence-ID]],DB06_baseline[ID],DB06_baseline[確認済],FALSE,0)</f>
        <v>0</v>
      </c>
      <c r="J500" s="1" t="s">
        <v>2841</v>
      </c>
      <c r="K500" s="4"/>
      <c r="L500" s="3"/>
    </row>
    <row r="501" spans="1:12" x14ac:dyDescent="0.45">
      <c r="A501" s="1">
        <v>513</v>
      </c>
      <c r="B501" s="1" t="str">
        <f>"07-"&amp;LEFT(RIGHTB(REPT(0,4)&amp;_xlfn.BASE(DB07_baselinesequence[[#This Row],[num]],36),4),2)&amp;"-"&amp;RIGHT(RIGHTB(REPT(0,4)&amp;_xlfn.BASE(DB07_baselinesequence[[#This Row],[num]],36),4),2)</f>
        <v>07-00-E9</v>
      </c>
      <c r="C501" s="1" t="s">
        <v>2209</v>
      </c>
      <c r="F501" s="1" t="s">
        <v>2208</v>
      </c>
      <c r="G501" s="1" t="s">
        <v>2210</v>
      </c>
      <c r="H501" s="1">
        <f>_xlfn.XLOOKUP(DB07_baselinesequence[[#This Row],[basesequence-ID]],DB06_baseline[ID],DB06_baseline[確認済],FALSE,0)</f>
        <v>0</v>
      </c>
      <c r="J501" s="1" t="s">
        <v>2842</v>
      </c>
      <c r="K501" s="4"/>
      <c r="L501" s="3"/>
    </row>
    <row r="502" spans="1:12" x14ac:dyDescent="0.45">
      <c r="A502" s="1">
        <v>514</v>
      </c>
      <c r="B502" s="1" t="str">
        <f>"07-"&amp;LEFT(RIGHTB(REPT(0,4)&amp;_xlfn.BASE(DB07_baselinesequence[[#This Row],[num]],36),4),2)&amp;"-"&amp;RIGHT(RIGHTB(REPT(0,4)&amp;_xlfn.BASE(DB07_baselinesequence[[#This Row],[num]],36),4),2)</f>
        <v>07-00-EA</v>
      </c>
      <c r="C502" s="1" t="s">
        <v>2212</v>
      </c>
      <c r="F502" s="1" t="s">
        <v>2211</v>
      </c>
      <c r="G502" s="1" t="s">
        <v>2213</v>
      </c>
      <c r="H502" s="1">
        <f>_xlfn.XLOOKUP(DB07_baselinesequence[[#This Row],[basesequence-ID]],DB06_baseline[ID],DB06_baseline[確認済],FALSE,0)</f>
        <v>0</v>
      </c>
      <c r="J502" s="1" t="s">
        <v>2843</v>
      </c>
      <c r="K502" s="4"/>
      <c r="L502" s="3"/>
    </row>
    <row r="503" spans="1:12" x14ac:dyDescent="0.45">
      <c r="A503" s="1">
        <v>515</v>
      </c>
      <c r="B503" s="1" t="str">
        <f>"07-"&amp;LEFT(RIGHTB(REPT(0,4)&amp;_xlfn.BASE(DB07_baselinesequence[[#This Row],[num]],36),4),2)&amp;"-"&amp;RIGHT(RIGHTB(REPT(0,4)&amp;_xlfn.BASE(DB07_baselinesequence[[#This Row],[num]],36),4),2)</f>
        <v>07-00-EB</v>
      </c>
      <c r="C503" s="1" t="s">
        <v>2215</v>
      </c>
      <c r="F503" s="1" t="s">
        <v>2214</v>
      </c>
      <c r="G503" s="1" t="s">
        <v>2216</v>
      </c>
      <c r="H503" s="1">
        <f>_xlfn.XLOOKUP(DB07_baselinesequence[[#This Row],[basesequence-ID]],DB06_baseline[ID],DB06_baseline[確認済],FALSE,0)</f>
        <v>0</v>
      </c>
      <c r="J503" s="1" t="s">
        <v>2844</v>
      </c>
      <c r="K503" s="4"/>
      <c r="L503" s="3"/>
    </row>
    <row r="504" spans="1:12" x14ac:dyDescent="0.45">
      <c r="A504" s="1">
        <v>516</v>
      </c>
      <c r="B504" s="1" t="str">
        <f>"07-"&amp;LEFT(RIGHTB(REPT(0,4)&amp;_xlfn.BASE(DB07_baselinesequence[[#This Row],[num]],36),4),2)&amp;"-"&amp;RIGHT(RIGHTB(REPT(0,4)&amp;_xlfn.BASE(DB07_baselinesequence[[#This Row],[num]],36),4),2)</f>
        <v>07-00-EC</v>
      </c>
      <c r="C504" s="1" t="s">
        <v>2218</v>
      </c>
      <c r="F504" s="1" t="s">
        <v>2217</v>
      </c>
      <c r="G504" s="1" t="s">
        <v>2219</v>
      </c>
      <c r="H504" s="1">
        <f>_xlfn.XLOOKUP(DB07_baselinesequence[[#This Row],[basesequence-ID]],DB06_baseline[ID],DB06_baseline[確認済],FALSE,0)</f>
        <v>0</v>
      </c>
      <c r="J504" s="1" t="s">
        <v>2845</v>
      </c>
      <c r="K504" s="4"/>
      <c r="L504" s="3"/>
    </row>
    <row r="505" spans="1:12" x14ac:dyDescent="0.45">
      <c r="A505" s="1">
        <v>517</v>
      </c>
      <c r="B505" s="1" t="str">
        <f>"07-"&amp;LEFT(RIGHTB(REPT(0,4)&amp;_xlfn.BASE(DB07_baselinesequence[[#This Row],[num]],36),4),2)&amp;"-"&amp;RIGHT(RIGHTB(REPT(0,4)&amp;_xlfn.BASE(DB07_baselinesequence[[#This Row],[num]],36),4),2)</f>
        <v>07-00-ED</v>
      </c>
      <c r="C505" s="1" t="s">
        <v>2221</v>
      </c>
      <c r="F505" s="1" t="s">
        <v>2220</v>
      </c>
      <c r="G505" s="1" t="s">
        <v>2222</v>
      </c>
      <c r="H505" s="1">
        <f>_xlfn.XLOOKUP(DB07_baselinesequence[[#This Row],[basesequence-ID]],DB06_baseline[ID],DB06_baseline[確認済],FALSE,0)</f>
        <v>0</v>
      </c>
      <c r="J505" s="1" t="s">
        <v>2846</v>
      </c>
      <c r="K505" s="4"/>
      <c r="L505" s="3"/>
    </row>
    <row r="506" spans="1:12" x14ac:dyDescent="0.45">
      <c r="A506" s="1">
        <v>518</v>
      </c>
      <c r="B506" s="1" t="str">
        <f>"07-"&amp;LEFT(RIGHTB(REPT(0,4)&amp;_xlfn.BASE(DB07_baselinesequence[[#This Row],[num]],36),4),2)&amp;"-"&amp;RIGHT(RIGHTB(REPT(0,4)&amp;_xlfn.BASE(DB07_baselinesequence[[#This Row],[num]],36),4),2)</f>
        <v>07-00-EE</v>
      </c>
      <c r="C506" s="1" t="s">
        <v>2224</v>
      </c>
      <c r="F506" s="1" t="s">
        <v>2223</v>
      </c>
      <c r="G506" s="1" t="s">
        <v>2225</v>
      </c>
      <c r="H506" s="1">
        <f>_xlfn.XLOOKUP(DB07_baselinesequence[[#This Row],[basesequence-ID]],DB06_baseline[ID],DB06_baseline[確認済],FALSE,0)</f>
        <v>0</v>
      </c>
      <c r="J506" s="1" t="s">
        <v>2847</v>
      </c>
      <c r="K506" s="4"/>
      <c r="L506" s="3"/>
    </row>
    <row r="507" spans="1:12" x14ac:dyDescent="0.45">
      <c r="A507" s="1">
        <v>519</v>
      </c>
      <c r="B507" s="1" t="str">
        <f>"07-"&amp;LEFT(RIGHTB(REPT(0,4)&amp;_xlfn.BASE(DB07_baselinesequence[[#This Row],[num]],36),4),2)&amp;"-"&amp;RIGHT(RIGHTB(REPT(0,4)&amp;_xlfn.BASE(DB07_baselinesequence[[#This Row],[num]],36),4),2)</f>
        <v>07-00-EF</v>
      </c>
      <c r="C507" s="1" t="s">
        <v>2227</v>
      </c>
      <c r="F507" s="1" t="s">
        <v>2226</v>
      </c>
      <c r="G507" s="1" t="s">
        <v>2228</v>
      </c>
      <c r="H507" s="1">
        <f>_xlfn.XLOOKUP(DB07_baselinesequence[[#This Row],[basesequence-ID]],DB06_baseline[ID],DB06_baseline[確認済],FALSE,0)</f>
        <v>0</v>
      </c>
      <c r="J507" s="1" t="s">
        <v>2848</v>
      </c>
      <c r="K507" s="4"/>
      <c r="L507" s="3"/>
    </row>
    <row r="508" spans="1:12" x14ac:dyDescent="0.45">
      <c r="A508" s="1">
        <v>520</v>
      </c>
      <c r="B508" s="1" t="str">
        <f>"07-"&amp;LEFT(RIGHTB(REPT(0,4)&amp;_xlfn.BASE(DB07_baselinesequence[[#This Row],[num]],36),4),2)&amp;"-"&amp;RIGHT(RIGHTB(REPT(0,4)&amp;_xlfn.BASE(DB07_baselinesequence[[#This Row],[num]],36),4),2)</f>
        <v>07-00-EG</v>
      </c>
      <c r="C508" s="1" t="s">
        <v>2230</v>
      </c>
      <c r="F508" s="1" t="s">
        <v>2229</v>
      </c>
      <c r="G508" s="1" t="s">
        <v>2231</v>
      </c>
      <c r="H508" s="1">
        <f>_xlfn.XLOOKUP(DB07_baselinesequence[[#This Row],[basesequence-ID]],DB06_baseline[ID],DB06_baseline[確認済],FALSE,0)</f>
        <v>0</v>
      </c>
      <c r="J508" s="1" t="s">
        <v>2849</v>
      </c>
      <c r="K508" s="4"/>
      <c r="L508" s="3"/>
    </row>
    <row r="509" spans="1:12" x14ac:dyDescent="0.45">
      <c r="A509" s="1">
        <v>521</v>
      </c>
      <c r="B509" s="1" t="str">
        <f>"07-"&amp;LEFT(RIGHTB(REPT(0,4)&amp;_xlfn.BASE(DB07_baselinesequence[[#This Row],[num]],36),4),2)&amp;"-"&amp;RIGHT(RIGHTB(REPT(0,4)&amp;_xlfn.BASE(DB07_baselinesequence[[#This Row],[num]],36),4),2)</f>
        <v>07-00-EH</v>
      </c>
      <c r="C509" s="1" t="s">
        <v>2233</v>
      </c>
      <c r="F509" s="1" t="s">
        <v>2232</v>
      </c>
      <c r="G509" s="1" t="s">
        <v>2234</v>
      </c>
      <c r="H509" s="1">
        <f>_xlfn.XLOOKUP(DB07_baselinesequence[[#This Row],[basesequence-ID]],DB06_baseline[ID],DB06_baseline[確認済],FALSE,0)</f>
        <v>0</v>
      </c>
      <c r="J509" s="1" t="s">
        <v>2850</v>
      </c>
      <c r="K509" s="4"/>
      <c r="L509" s="3"/>
    </row>
    <row r="510" spans="1:12" x14ac:dyDescent="0.45">
      <c r="A510" s="1">
        <v>522</v>
      </c>
      <c r="B510" s="1" t="str">
        <f>"07-"&amp;LEFT(RIGHTB(REPT(0,4)&amp;_xlfn.BASE(DB07_baselinesequence[[#This Row],[num]],36),4),2)&amp;"-"&amp;RIGHT(RIGHTB(REPT(0,4)&amp;_xlfn.BASE(DB07_baselinesequence[[#This Row],[num]],36),4),2)</f>
        <v>07-00-EI</v>
      </c>
      <c r="C510" s="1" t="s">
        <v>2236</v>
      </c>
      <c r="F510" s="1" t="s">
        <v>2235</v>
      </c>
      <c r="G510" s="1" t="s">
        <v>2237</v>
      </c>
      <c r="H510" s="1">
        <f>_xlfn.XLOOKUP(DB07_baselinesequence[[#This Row],[basesequence-ID]],DB06_baseline[ID],DB06_baseline[確認済],FALSE,0)</f>
        <v>0</v>
      </c>
      <c r="J510" s="1" t="s">
        <v>2851</v>
      </c>
      <c r="K510" s="4"/>
      <c r="L510" s="3"/>
    </row>
    <row r="511" spans="1:12" x14ac:dyDescent="0.45">
      <c r="A511" s="1">
        <v>523</v>
      </c>
      <c r="B511" s="1" t="str">
        <f>"07-"&amp;LEFT(RIGHTB(REPT(0,4)&amp;_xlfn.BASE(DB07_baselinesequence[[#This Row],[num]],36),4),2)&amp;"-"&amp;RIGHT(RIGHTB(REPT(0,4)&amp;_xlfn.BASE(DB07_baselinesequence[[#This Row],[num]],36),4),2)</f>
        <v>07-00-EJ</v>
      </c>
      <c r="C511" s="1" t="s">
        <v>2239</v>
      </c>
      <c r="F511" s="1" t="s">
        <v>2238</v>
      </c>
      <c r="G511" s="1" t="s">
        <v>2240</v>
      </c>
      <c r="H511" s="1">
        <f>_xlfn.XLOOKUP(DB07_baselinesequence[[#This Row],[basesequence-ID]],DB06_baseline[ID],DB06_baseline[確認済],FALSE,0)</f>
        <v>0</v>
      </c>
      <c r="J511" s="1" t="s">
        <v>2852</v>
      </c>
      <c r="K511" s="4"/>
      <c r="L511" s="3"/>
    </row>
    <row r="512" spans="1:12" x14ac:dyDescent="0.45">
      <c r="A512" s="1">
        <v>524</v>
      </c>
      <c r="B512" s="1" t="str">
        <f>"07-"&amp;LEFT(RIGHTB(REPT(0,4)&amp;_xlfn.BASE(DB07_baselinesequence[[#This Row],[num]],36),4),2)&amp;"-"&amp;RIGHT(RIGHTB(REPT(0,4)&amp;_xlfn.BASE(DB07_baselinesequence[[#This Row],[num]],36),4),2)</f>
        <v>07-00-EK</v>
      </c>
      <c r="C512" s="1" t="s">
        <v>2242</v>
      </c>
      <c r="F512" s="1" t="s">
        <v>2241</v>
      </c>
      <c r="G512" s="1" t="s">
        <v>2243</v>
      </c>
      <c r="H512" s="1">
        <f>_xlfn.XLOOKUP(DB07_baselinesequence[[#This Row],[basesequence-ID]],DB06_baseline[ID],DB06_baseline[確認済],FALSE,0)</f>
        <v>0</v>
      </c>
      <c r="J512" s="1" t="s">
        <v>2853</v>
      </c>
      <c r="K512" s="4"/>
      <c r="L512" s="3"/>
    </row>
    <row r="513" spans="1:12" x14ac:dyDescent="0.45">
      <c r="A513" s="1">
        <v>525</v>
      </c>
      <c r="B513" s="1" t="str">
        <f>"07-"&amp;LEFT(RIGHTB(REPT(0,4)&amp;_xlfn.BASE(DB07_baselinesequence[[#This Row],[num]],36),4),2)&amp;"-"&amp;RIGHT(RIGHTB(REPT(0,4)&amp;_xlfn.BASE(DB07_baselinesequence[[#This Row],[num]],36),4),2)</f>
        <v>07-00-EL</v>
      </c>
      <c r="C513" s="1" t="s">
        <v>2245</v>
      </c>
      <c r="F513" s="1" t="s">
        <v>2244</v>
      </c>
      <c r="G513" s="1" t="s">
        <v>2246</v>
      </c>
      <c r="H513" s="1">
        <f>_xlfn.XLOOKUP(DB07_baselinesequence[[#This Row],[basesequence-ID]],DB06_baseline[ID],DB06_baseline[確認済],FALSE,0)</f>
        <v>0</v>
      </c>
      <c r="J513" s="1" t="s">
        <v>2854</v>
      </c>
      <c r="K513" s="4"/>
      <c r="L513" s="3"/>
    </row>
    <row r="514" spans="1:12" x14ac:dyDescent="0.45">
      <c r="A514" s="1">
        <v>526</v>
      </c>
      <c r="B514" s="1" t="str">
        <f>"07-"&amp;LEFT(RIGHTB(REPT(0,4)&amp;_xlfn.BASE(DB07_baselinesequence[[#This Row],[num]],36),4),2)&amp;"-"&amp;RIGHT(RIGHTB(REPT(0,4)&amp;_xlfn.BASE(DB07_baselinesequence[[#This Row],[num]],36),4),2)</f>
        <v>07-00-EM</v>
      </c>
      <c r="C514" s="1" t="s">
        <v>2248</v>
      </c>
      <c r="F514" s="1" t="s">
        <v>2247</v>
      </c>
      <c r="G514" s="1" t="s">
        <v>2249</v>
      </c>
      <c r="H514" s="1">
        <f>_xlfn.XLOOKUP(DB07_baselinesequence[[#This Row],[basesequence-ID]],DB06_baseline[ID],DB06_baseline[確認済],FALSE,0)</f>
        <v>0</v>
      </c>
      <c r="J514" s="1" t="s">
        <v>2855</v>
      </c>
      <c r="K514" s="4"/>
      <c r="L514" s="3"/>
    </row>
    <row r="515" spans="1:12" x14ac:dyDescent="0.45">
      <c r="A515" s="1">
        <v>527</v>
      </c>
      <c r="B515" s="1" t="str">
        <f>"07-"&amp;LEFT(RIGHTB(REPT(0,4)&amp;_xlfn.BASE(DB07_baselinesequence[[#This Row],[num]],36),4),2)&amp;"-"&amp;RIGHT(RIGHTB(REPT(0,4)&amp;_xlfn.BASE(DB07_baselinesequence[[#This Row],[num]],36),4),2)</f>
        <v>07-00-EN</v>
      </c>
      <c r="C515" s="1" t="s">
        <v>2251</v>
      </c>
      <c r="F515" s="1" t="s">
        <v>2250</v>
      </c>
      <c r="G515" s="1" t="s">
        <v>2252</v>
      </c>
      <c r="H515" s="1">
        <f>_xlfn.XLOOKUP(DB07_baselinesequence[[#This Row],[basesequence-ID]],DB06_baseline[ID],DB06_baseline[確認済],FALSE,0)</f>
        <v>0</v>
      </c>
      <c r="J515" s="1" t="s">
        <v>2856</v>
      </c>
      <c r="K515" s="4"/>
      <c r="L515" s="3"/>
    </row>
    <row r="516" spans="1:12" x14ac:dyDescent="0.45">
      <c r="A516" s="1">
        <v>528</v>
      </c>
      <c r="B516" s="1" t="str">
        <f>"07-"&amp;LEFT(RIGHTB(REPT(0,4)&amp;_xlfn.BASE(DB07_baselinesequence[[#This Row],[num]],36),4),2)&amp;"-"&amp;RIGHT(RIGHTB(REPT(0,4)&amp;_xlfn.BASE(DB07_baselinesequence[[#This Row],[num]],36),4),2)</f>
        <v>07-00-EO</v>
      </c>
      <c r="C516" s="1" t="s">
        <v>2254</v>
      </c>
      <c r="F516" s="1" t="s">
        <v>2253</v>
      </c>
      <c r="G516" s="1" t="s">
        <v>2255</v>
      </c>
      <c r="H516" s="1">
        <f>_xlfn.XLOOKUP(DB07_baselinesequence[[#This Row],[basesequence-ID]],DB06_baseline[ID],DB06_baseline[確認済],FALSE,0)</f>
        <v>0</v>
      </c>
      <c r="J516" s="1" t="s">
        <v>2857</v>
      </c>
      <c r="K516" s="4"/>
      <c r="L516" s="3"/>
    </row>
    <row r="517" spans="1:12" x14ac:dyDescent="0.45">
      <c r="A517" s="1">
        <v>529</v>
      </c>
      <c r="B517" s="1" t="str">
        <f>"07-"&amp;LEFT(RIGHTB(REPT(0,4)&amp;_xlfn.BASE(DB07_baselinesequence[[#This Row],[num]],36),4),2)&amp;"-"&amp;RIGHT(RIGHTB(REPT(0,4)&amp;_xlfn.BASE(DB07_baselinesequence[[#This Row],[num]],36),4),2)</f>
        <v>07-00-EP</v>
      </c>
      <c r="C517" s="1" t="s">
        <v>2257</v>
      </c>
      <c r="F517" s="1" t="s">
        <v>2256</v>
      </c>
      <c r="G517" s="1" t="s">
        <v>2258</v>
      </c>
      <c r="H517" s="1">
        <f>_xlfn.XLOOKUP(DB07_baselinesequence[[#This Row],[basesequence-ID]],DB06_baseline[ID],DB06_baseline[確認済],FALSE,0)</f>
        <v>0</v>
      </c>
      <c r="J517" s="1" t="s">
        <v>2858</v>
      </c>
      <c r="K517" s="4"/>
      <c r="L517" s="3"/>
    </row>
    <row r="518" spans="1:12" x14ac:dyDescent="0.45">
      <c r="A518" s="1">
        <v>530</v>
      </c>
      <c r="B518" s="1" t="str">
        <f>"07-"&amp;LEFT(RIGHTB(REPT(0,4)&amp;_xlfn.BASE(DB07_baselinesequence[[#This Row],[num]],36),4),2)&amp;"-"&amp;RIGHT(RIGHTB(REPT(0,4)&amp;_xlfn.BASE(DB07_baselinesequence[[#This Row],[num]],36),4),2)</f>
        <v>07-00-EQ</v>
      </c>
      <c r="C518" s="1" t="s">
        <v>2260</v>
      </c>
      <c r="F518" s="1" t="s">
        <v>2259</v>
      </c>
      <c r="G518" s="1" t="s">
        <v>2261</v>
      </c>
      <c r="H518" s="1">
        <f>_xlfn.XLOOKUP(DB07_baselinesequence[[#This Row],[basesequence-ID]],DB06_baseline[ID],DB06_baseline[確認済],FALSE,0)</f>
        <v>0</v>
      </c>
      <c r="J518" s="1" t="s">
        <v>2859</v>
      </c>
      <c r="K518" s="4"/>
      <c r="L518" s="3"/>
    </row>
    <row r="519" spans="1:12" x14ac:dyDescent="0.45">
      <c r="A519" s="1">
        <v>531</v>
      </c>
      <c r="B519" s="1" t="str">
        <f>"07-"&amp;LEFT(RIGHTB(REPT(0,4)&amp;_xlfn.BASE(DB07_baselinesequence[[#This Row],[num]],36),4),2)&amp;"-"&amp;RIGHT(RIGHTB(REPT(0,4)&amp;_xlfn.BASE(DB07_baselinesequence[[#This Row],[num]],36),4),2)</f>
        <v>07-00-ER</v>
      </c>
      <c r="C519" s="1" t="s">
        <v>2263</v>
      </c>
      <c r="F519" s="1" t="s">
        <v>2262</v>
      </c>
      <c r="G519" s="1" t="s">
        <v>2264</v>
      </c>
      <c r="H519" s="1">
        <f>_xlfn.XLOOKUP(DB07_baselinesequence[[#This Row],[basesequence-ID]],DB06_baseline[ID],DB06_baseline[確認済],FALSE,0)</f>
        <v>0</v>
      </c>
      <c r="J519" s="1" t="s">
        <v>2860</v>
      </c>
      <c r="K519" s="4"/>
      <c r="L519" s="3"/>
    </row>
    <row r="520" spans="1:12" x14ac:dyDescent="0.45">
      <c r="A520" s="1">
        <v>532</v>
      </c>
      <c r="B520" s="1" t="str">
        <f>"07-"&amp;LEFT(RIGHTB(REPT(0,4)&amp;_xlfn.BASE(DB07_baselinesequence[[#This Row],[num]],36),4),2)&amp;"-"&amp;RIGHT(RIGHTB(REPT(0,4)&amp;_xlfn.BASE(DB07_baselinesequence[[#This Row],[num]],36),4),2)</f>
        <v>07-00-ES</v>
      </c>
      <c r="C520" s="1" t="s">
        <v>2266</v>
      </c>
      <c r="F520" s="1" t="s">
        <v>2265</v>
      </c>
      <c r="G520" s="1" t="s">
        <v>2267</v>
      </c>
      <c r="H520" s="1">
        <f>_xlfn.XLOOKUP(DB07_baselinesequence[[#This Row],[basesequence-ID]],DB06_baseline[ID],DB06_baseline[確認済],FALSE,0)</f>
        <v>0</v>
      </c>
      <c r="J520" s="1" t="s">
        <v>2861</v>
      </c>
      <c r="K520" s="4"/>
      <c r="L520" s="3"/>
    </row>
    <row r="521" spans="1:12" x14ac:dyDescent="0.45">
      <c r="A521" s="1">
        <v>533</v>
      </c>
      <c r="B521" s="1" t="str">
        <f>"07-"&amp;LEFT(RIGHTB(REPT(0,4)&amp;_xlfn.BASE(DB07_baselinesequence[[#This Row],[num]],36),4),2)&amp;"-"&amp;RIGHT(RIGHTB(REPT(0,4)&amp;_xlfn.BASE(DB07_baselinesequence[[#This Row],[num]],36),4),2)</f>
        <v>07-00-ET</v>
      </c>
      <c r="C521" s="1" t="s">
        <v>2269</v>
      </c>
      <c r="F521" s="1" t="s">
        <v>2268</v>
      </c>
      <c r="G521" s="1" t="s">
        <v>2270</v>
      </c>
      <c r="H521" s="1">
        <f>_xlfn.XLOOKUP(DB07_baselinesequence[[#This Row],[basesequence-ID]],DB06_baseline[ID],DB06_baseline[確認済],FALSE,0)</f>
        <v>0</v>
      </c>
      <c r="J521" s="1" t="s">
        <v>2862</v>
      </c>
      <c r="K521" s="4"/>
      <c r="L521" s="3"/>
    </row>
    <row r="522" spans="1:12" x14ac:dyDescent="0.45">
      <c r="A522" s="1">
        <v>534</v>
      </c>
      <c r="B522" s="1" t="str">
        <f>"07-"&amp;LEFT(RIGHTB(REPT(0,4)&amp;_xlfn.BASE(DB07_baselinesequence[[#This Row],[num]],36),4),2)&amp;"-"&amp;RIGHT(RIGHTB(REPT(0,4)&amp;_xlfn.BASE(DB07_baselinesequence[[#This Row],[num]],36),4),2)</f>
        <v>07-00-EU</v>
      </c>
      <c r="C522" s="1" t="s">
        <v>2272</v>
      </c>
      <c r="F522" s="1" t="s">
        <v>2271</v>
      </c>
      <c r="G522" s="1" t="s">
        <v>2273</v>
      </c>
      <c r="H522" s="1">
        <f>_xlfn.XLOOKUP(DB07_baselinesequence[[#This Row],[basesequence-ID]],DB06_baseline[ID],DB06_baseline[確認済],FALSE,0)</f>
        <v>0</v>
      </c>
      <c r="J522" s="1" t="s">
        <v>2863</v>
      </c>
      <c r="K522" s="4"/>
      <c r="L522" s="3"/>
    </row>
    <row r="523" spans="1:12" x14ac:dyDescent="0.45">
      <c r="A523" s="1">
        <v>535</v>
      </c>
      <c r="B523" s="1" t="str">
        <f>"07-"&amp;LEFT(RIGHTB(REPT(0,4)&amp;_xlfn.BASE(DB07_baselinesequence[[#This Row],[num]],36),4),2)&amp;"-"&amp;RIGHT(RIGHTB(REPT(0,4)&amp;_xlfn.BASE(DB07_baselinesequence[[#This Row],[num]],36),4),2)</f>
        <v>07-00-EV</v>
      </c>
      <c r="C523" s="1" t="s">
        <v>2275</v>
      </c>
      <c r="F523" s="1" t="s">
        <v>2274</v>
      </c>
      <c r="G523" s="1" t="s">
        <v>2276</v>
      </c>
      <c r="H523" s="1">
        <f>_xlfn.XLOOKUP(DB07_baselinesequence[[#This Row],[basesequence-ID]],DB06_baseline[ID],DB06_baseline[確認済],FALSE,0)</f>
        <v>0</v>
      </c>
      <c r="J523" s="1" t="s">
        <v>2864</v>
      </c>
      <c r="K523" s="4"/>
      <c r="L523" s="3"/>
    </row>
    <row r="524" spans="1:12" x14ac:dyDescent="0.45">
      <c r="A524" s="1">
        <v>536</v>
      </c>
      <c r="B524" s="1" t="str">
        <f>"07-"&amp;LEFT(RIGHTB(REPT(0,4)&amp;_xlfn.BASE(DB07_baselinesequence[[#This Row],[num]],36),4),2)&amp;"-"&amp;RIGHT(RIGHTB(REPT(0,4)&amp;_xlfn.BASE(DB07_baselinesequence[[#This Row],[num]],36),4),2)</f>
        <v>07-00-EW</v>
      </c>
      <c r="C524" s="1" t="s">
        <v>2278</v>
      </c>
      <c r="F524" s="1" t="s">
        <v>2277</v>
      </c>
      <c r="G524" s="1" t="s">
        <v>2279</v>
      </c>
      <c r="H524" s="1">
        <f>_xlfn.XLOOKUP(DB07_baselinesequence[[#This Row],[basesequence-ID]],DB06_baseline[ID],DB06_baseline[確認済],FALSE,0)</f>
        <v>0</v>
      </c>
      <c r="J524" s="1" t="s">
        <v>2865</v>
      </c>
      <c r="K524" s="4"/>
      <c r="L524" s="3"/>
    </row>
    <row r="525" spans="1:12" x14ac:dyDescent="0.45">
      <c r="A525" s="1">
        <v>537</v>
      </c>
      <c r="B525" s="1" t="str">
        <f>"07-"&amp;LEFT(RIGHTB(REPT(0,4)&amp;_xlfn.BASE(DB07_baselinesequence[[#This Row],[num]],36),4),2)&amp;"-"&amp;RIGHT(RIGHTB(REPT(0,4)&amp;_xlfn.BASE(DB07_baselinesequence[[#This Row],[num]],36),4),2)</f>
        <v>07-00-EX</v>
      </c>
      <c r="C525" s="1" t="s">
        <v>2281</v>
      </c>
      <c r="F525" s="1" t="s">
        <v>2280</v>
      </c>
      <c r="G525" s="1" t="s">
        <v>2282</v>
      </c>
      <c r="H525" s="1">
        <f>_xlfn.XLOOKUP(DB07_baselinesequence[[#This Row],[basesequence-ID]],DB06_baseline[ID],DB06_baseline[確認済],FALSE,0)</f>
        <v>0</v>
      </c>
      <c r="J525" s="1" t="s">
        <v>2866</v>
      </c>
      <c r="K525" s="4"/>
      <c r="L525" s="3"/>
    </row>
    <row r="526" spans="1:12" x14ac:dyDescent="0.45">
      <c r="A526" s="1">
        <v>538</v>
      </c>
      <c r="B526" s="1" t="str">
        <f>"07-"&amp;LEFT(RIGHTB(REPT(0,4)&amp;_xlfn.BASE(DB07_baselinesequence[[#This Row],[num]],36),4),2)&amp;"-"&amp;RIGHT(RIGHTB(REPT(0,4)&amp;_xlfn.BASE(DB07_baselinesequence[[#This Row],[num]],36),4),2)</f>
        <v>07-00-EY</v>
      </c>
      <c r="C526" s="1" t="s">
        <v>2284</v>
      </c>
      <c r="F526" s="1" t="s">
        <v>2283</v>
      </c>
      <c r="G526" s="1" t="s">
        <v>2285</v>
      </c>
      <c r="H526" s="1">
        <f>_xlfn.XLOOKUP(DB07_baselinesequence[[#This Row],[basesequence-ID]],DB06_baseline[ID],DB06_baseline[確認済],FALSE,0)</f>
        <v>0</v>
      </c>
      <c r="J526" s="1" t="s">
        <v>2867</v>
      </c>
      <c r="K526" s="4"/>
      <c r="L526" s="3"/>
    </row>
    <row r="527" spans="1:12" x14ac:dyDescent="0.45">
      <c r="A527" s="1">
        <v>539</v>
      </c>
      <c r="B527" s="1" t="str">
        <f>"07-"&amp;LEFT(RIGHTB(REPT(0,4)&amp;_xlfn.BASE(DB07_baselinesequence[[#This Row],[num]],36),4),2)&amp;"-"&amp;RIGHT(RIGHTB(REPT(0,4)&amp;_xlfn.BASE(DB07_baselinesequence[[#This Row],[num]],36),4),2)</f>
        <v>07-00-EZ</v>
      </c>
      <c r="C527" s="1" t="s">
        <v>2287</v>
      </c>
      <c r="F527" s="1" t="s">
        <v>2286</v>
      </c>
      <c r="G527" s="1" t="s">
        <v>2288</v>
      </c>
      <c r="H527" s="1">
        <f>_xlfn.XLOOKUP(DB07_baselinesequence[[#This Row],[basesequence-ID]],DB06_baseline[ID],DB06_baseline[確認済],FALSE,0)</f>
        <v>0</v>
      </c>
      <c r="J527" s="1" t="s">
        <v>2868</v>
      </c>
      <c r="K527" s="4"/>
      <c r="L527" s="3"/>
    </row>
    <row r="528" spans="1:12" x14ac:dyDescent="0.45">
      <c r="A528" s="1">
        <v>540</v>
      </c>
      <c r="B528" s="1" t="str">
        <f>"07-"&amp;LEFT(RIGHTB(REPT(0,4)&amp;_xlfn.BASE(DB07_baselinesequence[[#This Row],[num]],36),4),2)&amp;"-"&amp;RIGHT(RIGHTB(REPT(0,4)&amp;_xlfn.BASE(DB07_baselinesequence[[#This Row],[num]],36),4),2)</f>
        <v>07-00-F0</v>
      </c>
      <c r="C528" s="1" t="s">
        <v>2290</v>
      </c>
      <c r="F528" s="1" t="s">
        <v>2289</v>
      </c>
      <c r="G528" s="1" t="s">
        <v>2291</v>
      </c>
      <c r="H528" s="1">
        <f>_xlfn.XLOOKUP(DB07_baselinesequence[[#This Row],[basesequence-ID]],DB06_baseline[ID],DB06_baseline[確認済],FALSE,0)</f>
        <v>0</v>
      </c>
      <c r="J528" s="1" t="s">
        <v>2869</v>
      </c>
      <c r="K528" s="4"/>
      <c r="L528" s="3"/>
    </row>
    <row r="529" spans="1:12" x14ac:dyDescent="0.45">
      <c r="A529" s="1">
        <v>541</v>
      </c>
      <c r="B529" s="1" t="str">
        <f>"07-"&amp;LEFT(RIGHTB(REPT(0,4)&amp;_xlfn.BASE(DB07_baselinesequence[[#This Row],[num]],36),4),2)&amp;"-"&amp;RIGHT(RIGHTB(REPT(0,4)&amp;_xlfn.BASE(DB07_baselinesequence[[#This Row],[num]],36),4),2)</f>
        <v>07-00-F1</v>
      </c>
      <c r="C529" s="1" t="s">
        <v>2293</v>
      </c>
      <c r="F529" s="1" t="s">
        <v>2292</v>
      </c>
      <c r="G529" s="1" t="s">
        <v>2294</v>
      </c>
      <c r="H529" s="1">
        <f>_xlfn.XLOOKUP(DB07_baselinesequence[[#This Row],[basesequence-ID]],DB06_baseline[ID],DB06_baseline[確認済],FALSE,0)</f>
        <v>0</v>
      </c>
      <c r="J529" s="1" t="s">
        <v>2870</v>
      </c>
      <c r="K529" s="4"/>
      <c r="L529" s="3"/>
    </row>
    <row r="530" spans="1:12" x14ac:dyDescent="0.45">
      <c r="A530" s="1">
        <v>542</v>
      </c>
      <c r="B530" s="1" t="str">
        <f>"07-"&amp;LEFT(RIGHTB(REPT(0,4)&amp;_xlfn.BASE(DB07_baselinesequence[[#This Row],[num]],36),4),2)&amp;"-"&amp;RIGHT(RIGHTB(REPT(0,4)&amp;_xlfn.BASE(DB07_baselinesequence[[#This Row],[num]],36),4),2)</f>
        <v>07-00-F2</v>
      </c>
      <c r="C530" s="1" t="s">
        <v>2296</v>
      </c>
      <c r="F530" s="1" t="s">
        <v>2295</v>
      </c>
      <c r="G530" s="1" t="s">
        <v>2297</v>
      </c>
      <c r="H530" s="1">
        <f>_xlfn.XLOOKUP(DB07_baselinesequence[[#This Row],[basesequence-ID]],DB06_baseline[ID],DB06_baseline[確認済],FALSE,0)</f>
        <v>0</v>
      </c>
      <c r="J530" s="1" t="s">
        <v>2871</v>
      </c>
      <c r="K530" s="4"/>
      <c r="L530" s="3"/>
    </row>
    <row r="531" spans="1:12" x14ac:dyDescent="0.45">
      <c r="A531" s="1">
        <v>543</v>
      </c>
      <c r="B531" s="1" t="str">
        <f>"07-"&amp;LEFT(RIGHTB(REPT(0,4)&amp;_xlfn.BASE(DB07_baselinesequence[[#This Row],[num]],36),4),2)&amp;"-"&amp;RIGHT(RIGHTB(REPT(0,4)&amp;_xlfn.BASE(DB07_baselinesequence[[#This Row],[num]],36),4),2)</f>
        <v>07-00-F3</v>
      </c>
      <c r="C531" s="1" t="s">
        <v>2299</v>
      </c>
      <c r="F531" s="1" t="s">
        <v>2298</v>
      </c>
      <c r="G531" s="1" t="s">
        <v>2300</v>
      </c>
      <c r="H531" s="1">
        <f>_xlfn.XLOOKUP(DB07_baselinesequence[[#This Row],[basesequence-ID]],DB06_baseline[ID],DB06_baseline[確認済],FALSE,0)</f>
        <v>0</v>
      </c>
      <c r="J531" s="1" t="s">
        <v>2872</v>
      </c>
      <c r="K531" s="4"/>
      <c r="L531" s="3"/>
    </row>
    <row r="532" spans="1:12" x14ac:dyDescent="0.45">
      <c r="A532" s="1">
        <v>544</v>
      </c>
      <c r="B532" s="1" t="str">
        <f>"07-"&amp;LEFT(RIGHTB(REPT(0,4)&amp;_xlfn.BASE(DB07_baselinesequence[[#This Row],[num]],36),4),2)&amp;"-"&amp;RIGHT(RIGHTB(REPT(0,4)&amp;_xlfn.BASE(DB07_baselinesequence[[#This Row],[num]],36),4),2)</f>
        <v>07-00-F4</v>
      </c>
      <c r="C532" s="1" t="s">
        <v>2302</v>
      </c>
      <c r="F532" s="1" t="s">
        <v>2301</v>
      </c>
      <c r="G532" s="1" t="s">
        <v>2303</v>
      </c>
      <c r="H532" s="1">
        <f>_xlfn.XLOOKUP(DB07_baselinesequence[[#This Row],[basesequence-ID]],DB06_baseline[ID],DB06_baseline[確認済],FALSE,0)</f>
        <v>0</v>
      </c>
      <c r="J532" s="1" t="s">
        <v>2873</v>
      </c>
      <c r="K532" s="4"/>
      <c r="L532" s="3"/>
    </row>
    <row r="533" spans="1:12" x14ac:dyDescent="0.45">
      <c r="A533" s="1">
        <v>545</v>
      </c>
      <c r="B533" s="1" t="str">
        <f>"07-"&amp;LEFT(RIGHTB(REPT(0,4)&amp;_xlfn.BASE(DB07_baselinesequence[[#This Row],[num]],36),4),2)&amp;"-"&amp;RIGHT(RIGHTB(REPT(0,4)&amp;_xlfn.BASE(DB07_baselinesequence[[#This Row],[num]],36),4),2)</f>
        <v>07-00-F5</v>
      </c>
      <c r="C533" s="1" t="s">
        <v>2305</v>
      </c>
      <c r="F533" s="1" t="s">
        <v>2304</v>
      </c>
      <c r="G533" s="1" t="s">
        <v>2306</v>
      </c>
      <c r="H533" s="1">
        <f>_xlfn.XLOOKUP(DB07_baselinesequence[[#This Row],[basesequence-ID]],DB06_baseline[ID],DB06_baseline[確認済],FALSE,0)</f>
        <v>0</v>
      </c>
      <c r="J533" s="1" t="s">
        <v>2874</v>
      </c>
      <c r="K533" s="4"/>
      <c r="L533" s="3"/>
    </row>
    <row r="534" spans="1:12" x14ac:dyDescent="0.45">
      <c r="A534" s="1">
        <v>546</v>
      </c>
      <c r="B534" s="1" t="str">
        <f>"07-"&amp;LEFT(RIGHTB(REPT(0,4)&amp;_xlfn.BASE(DB07_baselinesequence[[#This Row],[num]],36),4),2)&amp;"-"&amp;RIGHT(RIGHTB(REPT(0,4)&amp;_xlfn.BASE(DB07_baselinesequence[[#This Row],[num]],36),4),2)</f>
        <v>07-00-F6</v>
      </c>
      <c r="C534" s="1" t="s">
        <v>2308</v>
      </c>
      <c r="F534" s="1" t="s">
        <v>2307</v>
      </c>
      <c r="G534" s="1" t="s">
        <v>2309</v>
      </c>
      <c r="H534" s="1">
        <f>_xlfn.XLOOKUP(DB07_baselinesequence[[#This Row],[basesequence-ID]],DB06_baseline[ID],DB06_baseline[確認済],FALSE,0)</f>
        <v>0</v>
      </c>
      <c r="J534" s="1" t="s">
        <v>2875</v>
      </c>
      <c r="K534" s="4"/>
      <c r="L534" s="3"/>
    </row>
    <row r="535" spans="1:12" x14ac:dyDescent="0.45">
      <c r="A535" s="1">
        <v>547</v>
      </c>
      <c r="B535" s="1" t="str">
        <f>"07-"&amp;LEFT(RIGHTB(REPT(0,4)&amp;_xlfn.BASE(DB07_baselinesequence[[#This Row],[num]],36),4),2)&amp;"-"&amp;RIGHT(RIGHTB(REPT(0,4)&amp;_xlfn.BASE(DB07_baselinesequence[[#This Row],[num]],36),4),2)</f>
        <v>07-00-F7</v>
      </c>
      <c r="C535" s="1" t="s">
        <v>2311</v>
      </c>
      <c r="F535" s="1" t="s">
        <v>2310</v>
      </c>
      <c r="G535" s="1" t="s">
        <v>2312</v>
      </c>
      <c r="H535" s="1">
        <f>_xlfn.XLOOKUP(DB07_baselinesequence[[#This Row],[basesequence-ID]],DB06_baseline[ID],DB06_baseline[確認済],FALSE,0)</f>
        <v>0</v>
      </c>
      <c r="J535" s="1" t="s">
        <v>2876</v>
      </c>
      <c r="K535" s="4"/>
      <c r="L535" s="3"/>
    </row>
    <row r="536" spans="1:12" x14ac:dyDescent="0.45">
      <c r="A536" s="1">
        <v>548</v>
      </c>
      <c r="B536" s="1" t="str">
        <f>"07-"&amp;LEFT(RIGHTB(REPT(0,4)&amp;_xlfn.BASE(DB07_baselinesequence[[#This Row],[num]],36),4),2)&amp;"-"&amp;RIGHT(RIGHTB(REPT(0,4)&amp;_xlfn.BASE(DB07_baselinesequence[[#This Row],[num]],36),4),2)</f>
        <v>07-00-F8</v>
      </c>
      <c r="C536" s="1" t="s">
        <v>3091</v>
      </c>
      <c r="F536" s="1" t="s">
        <v>2313</v>
      </c>
      <c r="G536" s="1" t="s">
        <v>2314</v>
      </c>
      <c r="H536" s="1">
        <f>_xlfn.XLOOKUP(DB07_baselinesequence[[#This Row],[basesequence-ID]],DB06_baseline[ID],DB06_baseline[確認済],FALSE,0)</f>
        <v>0</v>
      </c>
      <c r="J536" s="1" t="s">
        <v>3057</v>
      </c>
      <c r="K536" s="4"/>
      <c r="L536" s="3"/>
    </row>
    <row r="537" spans="1:12" x14ac:dyDescent="0.45">
      <c r="A537" s="1">
        <v>549</v>
      </c>
      <c r="B537" s="1" t="str">
        <f>"07-"&amp;LEFT(RIGHTB(REPT(0,4)&amp;_xlfn.BASE(DB07_baselinesequence[[#This Row],[num]],36),4),2)&amp;"-"&amp;RIGHT(RIGHTB(REPT(0,4)&amp;_xlfn.BASE(DB07_baselinesequence[[#This Row],[num]],36),4),2)</f>
        <v>07-00-F9</v>
      </c>
      <c r="C537" s="1" t="s">
        <v>2316</v>
      </c>
      <c r="F537" s="1" t="s">
        <v>2315</v>
      </c>
      <c r="G537" s="1" t="s">
        <v>2317</v>
      </c>
      <c r="H537" s="1">
        <f>_xlfn.XLOOKUP(DB07_baselinesequence[[#This Row],[basesequence-ID]],DB06_baseline[ID],DB06_baseline[確認済],FALSE,0)</f>
        <v>0</v>
      </c>
      <c r="J537" s="1" t="s">
        <v>2877</v>
      </c>
      <c r="K537" s="4"/>
      <c r="L537" s="3"/>
    </row>
    <row r="538" spans="1:12" x14ac:dyDescent="0.45">
      <c r="A538" s="1">
        <v>550</v>
      </c>
      <c r="B538" s="1" t="str">
        <f>"07-"&amp;LEFT(RIGHTB(REPT(0,4)&amp;_xlfn.BASE(DB07_baselinesequence[[#This Row],[num]],36),4),2)&amp;"-"&amp;RIGHT(RIGHTB(REPT(0,4)&amp;_xlfn.BASE(DB07_baselinesequence[[#This Row],[num]],36),4),2)</f>
        <v>07-00-FA</v>
      </c>
      <c r="C538" s="1" t="s">
        <v>2319</v>
      </c>
      <c r="F538" s="1" t="s">
        <v>2318</v>
      </c>
      <c r="G538" s="1" t="s">
        <v>2320</v>
      </c>
      <c r="H538" s="1">
        <f>_xlfn.XLOOKUP(DB07_baselinesequence[[#This Row],[basesequence-ID]],DB06_baseline[ID],DB06_baseline[確認済],FALSE,0)</f>
        <v>0</v>
      </c>
      <c r="J538" s="1" t="s">
        <v>2878</v>
      </c>
      <c r="K538" s="4"/>
      <c r="L538" s="3"/>
    </row>
    <row r="539" spans="1:12" x14ac:dyDescent="0.45">
      <c r="A539" s="1">
        <v>551</v>
      </c>
      <c r="B539" s="1" t="str">
        <f>"07-"&amp;LEFT(RIGHTB(REPT(0,4)&amp;_xlfn.BASE(DB07_baselinesequence[[#This Row],[num]],36),4),2)&amp;"-"&amp;RIGHT(RIGHTB(REPT(0,4)&amp;_xlfn.BASE(DB07_baselinesequence[[#This Row],[num]],36),4),2)</f>
        <v>07-00-FB</v>
      </c>
      <c r="C539" s="1" t="s">
        <v>2322</v>
      </c>
      <c r="F539" s="1" t="s">
        <v>2321</v>
      </c>
      <c r="G539" s="1" t="s">
        <v>2323</v>
      </c>
      <c r="H539" s="1">
        <f>_xlfn.XLOOKUP(DB07_baselinesequence[[#This Row],[basesequence-ID]],DB06_baseline[ID],DB06_baseline[確認済],FALSE,0)</f>
        <v>0</v>
      </c>
      <c r="J539" s="1" t="s">
        <v>2879</v>
      </c>
      <c r="K539" s="4"/>
      <c r="L539" s="3"/>
    </row>
    <row r="540" spans="1:12" x14ac:dyDescent="0.45">
      <c r="A540" s="1">
        <v>552</v>
      </c>
      <c r="B540" s="1" t="str">
        <f>"07-"&amp;LEFT(RIGHTB(REPT(0,4)&amp;_xlfn.BASE(DB07_baselinesequence[[#This Row],[num]],36),4),2)&amp;"-"&amp;RIGHT(RIGHTB(REPT(0,4)&amp;_xlfn.BASE(DB07_baselinesequence[[#This Row],[num]],36),4),2)</f>
        <v>07-00-FC</v>
      </c>
      <c r="C540" s="1" t="s">
        <v>2325</v>
      </c>
      <c r="F540" s="1" t="s">
        <v>2324</v>
      </c>
      <c r="G540" s="1" t="s">
        <v>2326</v>
      </c>
      <c r="H540" s="1">
        <f>_xlfn.XLOOKUP(DB07_baselinesequence[[#This Row],[basesequence-ID]],DB06_baseline[ID],DB06_baseline[確認済],FALSE,0)</f>
        <v>0</v>
      </c>
      <c r="J540" s="1" t="s">
        <v>2880</v>
      </c>
      <c r="K540" s="4"/>
      <c r="L540" s="3"/>
    </row>
    <row r="541" spans="1:12" x14ac:dyDescent="0.45">
      <c r="A541" s="1">
        <v>553</v>
      </c>
      <c r="B541" s="1" t="str">
        <f>"07-"&amp;LEFT(RIGHTB(REPT(0,4)&amp;_xlfn.BASE(DB07_baselinesequence[[#This Row],[num]],36),4),2)&amp;"-"&amp;RIGHT(RIGHTB(REPT(0,4)&amp;_xlfn.BASE(DB07_baselinesequence[[#This Row],[num]],36),4),2)</f>
        <v>07-00-FD</v>
      </c>
      <c r="C541" s="1" t="s">
        <v>2328</v>
      </c>
      <c r="F541" s="1" t="s">
        <v>2327</v>
      </c>
      <c r="G541" s="1" t="s">
        <v>2329</v>
      </c>
      <c r="H541" s="1">
        <f>_xlfn.XLOOKUP(DB07_baselinesequence[[#This Row],[basesequence-ID]],DB06_baseline[ID],DB06_baseline[確認済],FALSE,0)</f>
        <v>0</v>
      </c>
      <c r="J541" s="1" t="s">
        <v>2881</v>
      </c>
      <c r="K541" s="4"/>
      <c r="L541" s="3"/>
    </row>
    <row r="542" spans="1:12" x14ac:dyDescent="0.45">
      <c r="A542" s="1">
        <v>554</v>
      </c>
      <c r="B542" s="1" t="str">
        <f>"07-"&amp;LEFT(RIGHTB(REPT(0,4)&amp;_xlfn.BASE(DB07_baselinesequence[[#This Row],[num]],36),4),2)&amp;"-"&amp;RIGHT(RIGHTB(REPT(0,4)&amp;_xlfn.BASE(DB07_baselinesequence[[#This Row],[num]],36),4),2)</f>
        <v>07-00-FE</v>
      </c>
      <c r="C542" s="1" t="s">
        <v>2331</v>
      </c>
      <c r="F542" s="1" t="s">
        <v>2330</v>
      </c>
      <c r="G542" s="1" t="s">
        <v>2332</v>
      </c>
      <c r="H542" s="1">
        <f>_xlfn.XLOOKUP(DB07_baselinesequence[[#This Row],[basesequence-ID]],DB06_baseline[ID],DB06_baseline[確認済],FALSE,0)</f>
        <v>0</v>
      </c>
      <c r="J542" s="1" t="s">
        <v>2882</v>
      </c>
      <c r="K542" s="4"/>
      <c r="L542" s="3"/>
    </row>
    <row r="543" spans="1:12" x14ac:dyDescent="0.45">
      <c r="A543" s="1">
        <v>555</v>
      </c>
      <c r="B543" s="1" t="str">
        <f>"07-"&amp;LEFT(RIGHTB(REPT(0,4)&amp;_xlfn.BASE(DB07_baselinesequence[[#This Row],[num]],36),4),2)&amp;"-"&amp;RIGHT(RIGHTB(REPT(0,4)&amp;_xlfn.BASE(DB07_baselinesequence[[#This Row],[num]],36),4),2)</f>
        <v>07-00-FF</v>
      </c>
      <c r="C543" s="1" t="s">
        <v>2334</v>
      </c>
      <c r="F543" s="1" t="s">
        <v>2333</v>
      </c>
      <c r="G543" s="1" t="s">
        <v>2335</v>
      </c>
      <c r="H543" s="1">
        <f>_xlfn.XLOOKUP(DB07_baselinesequence[[#This Row],[basesequence-ID]],DB06_baseline[ID],DB06_baseline[確認済],FALSE,0)</f>
        <v>0</v>
      </c>
      <c r="J543" s="1" t="s">
        <v>2883</v>
      </c>
      <c r="K543" s="4"/>
      <c r="L543" s="3"/>
    </row>
    <row r="544" spans="1:12" x14ac:dyDescent="0.45">
      <c r="A544" s="1">
        <v>556</v>
      </c>
      <c r="B544" s="1" t="str">
        <f>"07-"&amp;LEFT(RIGHTB(REPT(0,4)&amp;_xlfn.BASE(DB07_baselinesequence[[#This Row],[num]],36),4),2)&amp;"-"&amp;RIGHT(RIGHTB(REPT(0,4)&amp;_xlfn.BASE(DB07_baselinesequence[[#This Row],[num]],36),4),2)</f>
        <v>07-00-FG</v>
      </c>
      <c r="C544" s="1" t="s">
        <v>2337</v>
      </c>
      <c r="F544" s="1" t="s">
        <v>2336</v>
      </c>
      <c r="G544" s="1" t="s">
        <v>2338</v>
      </c>
      <c r="H544" s="1">
        <f>_xlfn.XLOOKUP(DB07_baselinesequence[[#This Row],[basesequence-ID]],DB06_baseline[ID],DB06_baseline[確認済],FALSE,0)</f>
        <v>0</v>
      </c>
      <c r="J544" s="1" t="s">
        <v>2884</v>
      </c>
      <c r="K544" s="4"/>
      <c r="L544" s="3"/>
    </row>
    <row r="545" spans="1:12" x14ac:dyDescent="0.45">
      <c r="A545" s="1">
        <v>557</v>
      </c>
      <c r="B545" s="1" t="str">
        <f>"07-"&amp;LEFT(RIGHTB(REPT(0,4)&amp;_xlfn.BASE(DB07_baselinesequence[[#This Row],[num]],36),4),2)&amp;"-"&amp;RIGHT(RIGHTB(REPT(0,4)&amp;_xlfn.BASE(DB07_baselinesequence[[#This Row],[num]],36),4),2)</f>
        <v>07-00-FH</v>
      </c>
      <c r="C545" s="1" t="s">
        <v>2340</v>
      </c>
      <c r="F545" s="1" t="s">
        <v>2339</v>
      </c>
      <c r="G545" s="1" t="s">
        <v>2341</v>
      </c>
      <c r="H545" s="1">
        <f>_xlfn.XLOOKUP(DB07_baselinesequence[[#This Row],[basesequence-ID]],DB06_baseline[ID],DB06_baseline[確認済],FALSE,0)</f>
        <v>0</v>
      </c>
      <c r="J545" s="1" t="s">
        <v>2885</v>
      </c>
      <c r="K545" s="4"/>
      <c r="L545" s="3"/>
    </row>
    <row r="546" spans="1:12" x14ac:dyDescent="0.45">
      <c r="A546" s="1">
        <v>558</v>
      </c>
      <c r="B546" s="1" t="str">
        <f>"07-"&amp;LEFT(RIGHTB(REPT(0,4)&amp;_xlfn.BASE(DB07_baselinesequence[[#This Row],[num]],36),4),2)&amp;"-"&amp;RIGHT(RIGHTB(REPT(0,4)&amp;_xlfn.BASE(DB07_baselinesequence[[#This Row],[num]],36),4),2)</f>
        <v>07-00-FI</v>
      </c>
      <c r="C546" s="1" t="s">
        <v>2343</v>
      </c>
      <c r="F546" s="1" t="s">
        <v>2342</v>
      </c>
      <c r="G546" s="1" t="s">
        <v>2344</v>
      </c>
      <c r="H546" s="1">
        <f>_xlfn.XLOOKUP(DB07_baselinesequence[[#This Row],[basesequence-ID]],DB06_baseline[ID],DB06_baseline[確認済],FALSE,0)</f>
        <v>0</v>
      </c>
      <c r="J546" s="1" t="s">
        <v>2886</v>
      </c>
      <c r="K546" s="4"/>
      <c r="L546" s="3"/>
    </row>
    <row r="547" spans="1:12" x14ac:dyDescent="0.45">
      <c r="A547" s="1">
        <v>559</v>
      </c>
      <c r="B547" s="1" t="str">
        <f>"07-"&amp;LEFT(RIGHTB(REPT(0,4)&amp;_xlfn.BASE(DB07_baselinesequence[[#This Row],[num]],36),4),2)&amp;"-"&amp;RIGHT(RIGHTB(REPT(0,4)&amp;_xlfn.BASE(DB07_baselinesequence[[#This Row],[num]],36),4),2)</f>
        <v>07-00-FJ</v>
      </c>
      <c r="C547" s="1" t="s">
        <v>2346</v>
      </c>
      <c r="F547" s="1" t="s">
        <v>2345</v>
      </c>
      <c r="G547" s="1" t="s">
        <v>2347</v>
      </c>
      <c r="H547" s="1">
        <f>_xlfn.XLOOKUP(DB07_baselinesequence[[#This Row],[basesequence-ID]],DB06_baseline[ID],DB06_baseline[確認済],FALSE,0)</f>
        <v>0</v>
      </c>
      <c r="J547" s="1" t="s">
        <v>2887</v>
      </c>
      <c r="K547" s="4"/>
      <c r="L547" s="3"/>
    </row>
    <row r="548" spans="1:12" x14ac:dyDescent="0.45">
      <c r="A548" s="1">
        <v>560</v>
      </c>
      <c r="B548" s="1" t="str">
        <f>"07-"&amp;LEFT(RIGHTB(REPT(0,4)&amp;_xlfn.BASE(DB07_baselinesequence[[#This Row],[num]],36),4),2)&amp;"-"&amp;RIGHT(RIGHTB(REPT(0,4)&amp;_xlfn.BASE(DB07_baselinesequence[[#This Row],[num]],36),4),2)</f>
        <v>07-00-FK</v>
      </c>
      <c r="C548" s="1" t="s">
        <v>2349</v>
      </c>
      <c r="F548" s="1" t="s">
        <v>2348</v>
      </c>
      <c r="G548" s="1" t="s">
        <v>2350</v>
      </c>
      <c r="H548" s="1">
        <f>_xlfn.XLOOKUP(DB07_baselinesequence[[#This Row],[basesequence-ID]],DB06_baseline[ID],DB06_baseline[確認済],FALSE,0)</f>
        <v>0</v>
      </c>
      <c r="J548" s="1" t="s">
        <v>2888</v>
      </c>
      <c r="K548" s="4"/>
      <c r="L548" s="3"/>
    </row>
    <row r="549" spans="1:12" x14ac:dyDescent="0.45">
      <c r="A549" s="1">
        <v>561</v>
      </c>
      <c r="B549" s="1" t="str">
        <f>"07-"&amp;LEFT(RIGHTB(REPT(0,4)&amp;_xlfn.BASE(DB07_baselinesequence[[#This Row],[num]],36),4),2)&amp;"-"&amp;RIGHT(RIGHTB(REPT(0,4)&amp;_xlfn.BASE(DB07_baselinesequence[[#This Row],[num]],36),4),2)</f>
        <v>07-00-FL</v>
      </c>
      <c r="C549" s="1" t="s">
        <v>2352</v>
      </c>
      <c r="F549" s="1" t="s">
        <v>2351</v>
      </c>
      <c r="G549" s="1" t="s">
        <v>2353</v>
      </c>
      <c r="H549" s="1">
        <f>_xlfn.XLOOKUP(DB07_baselinesequence[[#This Row],[basesequence-ID]],DB06_baseline[ID],DB06_baseline[確認済],FALSE,0)</f>
        <v>0</v>
      </c>
      <c r="J549" s="1" t="s">
        <v>2889</v>
      </c>
      <c r="K549" s="4"/>
      <c r="L549" s="3"/>
    </row>
    <row r="550" spans="1:12" x14ac:dyDescent="0.45">
      <c r="A550" s="1">
        <v>562</v>
      </c>
      <c r="B550" s="1" t="str">
        <f>"07-"&amp;LEFT(RIGHTB(REPT(0,4)&amp;_xlfn.BASE(DB07_baselinesequence[[#This Row],[num]],36),4),2)&amp;"-"&amp;RIGHT(RIGHTB(REPT(0,4)&amp;_xlfn.BASE(DB07_baselinesequence[[#This Row],[num]],36),4),2)</f>
        <v>07-00-FM</v>
      </c>
      <c r="C550" s="1" t="s">
        <v>2355</v>
      </c>
      <c r="F550" s="1" t="s">
        <v>2354</v>
      </c>
      <c r="G550" s="1" t="s">
        <v>2356</v>
      </c>
      <c r="H550" s="1">
        <f>_xlfn.XLOOKUP(DB07_baselinesequence[[#This Row],[basesequence-ID]],DB06_baseline[ID],DB06_baseline[確認済],FALSE,0)</f>
        <v>0</v>
      </c>
      <c r="J550" s="1" t="s">
        <v>2890</v>
      </c>
      <c r="K550" s="4"/>
      <c r="L550" s="3"/>
    </row>
    <row r="551" spans="1:12" x14ac:dyDescent="0.45">
      <c r="A551" s="1">
        <v>563</v>
      </c>
      <c r="B551" s="1" t="str">
        <f>"07-"&amp;LEFT(RIGHTB(REPT(0,4)&amp;_xlfn.BASE(DB07_baselinesequence[[#This Row],[num]],36),4),2)&amp;"-"&amp;RIGHT(RIGHTB(REPT(0,4)&amp;_xlfn.BASE(DB07_baselinesequence[[#This Row],[num]],36),4),2)</f>
        <v>07-00-FN</v>
      </c>
      <c r="C551" s="1" t="s">
        <v>2358</v>
      </c>
      <c r="F551" s="1" t="s">
        <v>2357</v>
      </c>
      <c r="G551" s="1" t="s">
        <v>2359</v>
      </c>
      <c r="H551" s="1">
        <f>_xlfn.XLOOKUP(DB07_baselinesequence[[#This Row],[basesequence-ID]],DB06_baseline[ID],DB06_baseline[確認済],FALSE,0)</f>
        <v>0</v>
      </c>
      <c r="J551" s="1" t="s">
        <v>2891</v>
      </c>
      <c r="K551" s="4"/>
      <c r="L551" s="3"/>
    </row>
    <row r="552" spans="1:12" x14ac:dyDescent="0.45">
      <c r="A552" s="1">
        <v>564</v>
      </c>
      <c r="B552" s="1" t="str">
        <f>"07-"&amp;LEFT(RIGHTB(REPT(0,4)&amp;_xlfn.BASE(DB07_baselinesequence[[#This Row],[num]],36),4),2)&amp;"-"&amp;RIGHT(RIGHTB(REPT(0,4)&amp;_xlfn.BASE(DB07_baselinesequence[[#This Row],[num]],36),4),2)</f>
        <v>07-00-FO</v>
      </c>
      <c r="C552" s="1" t="s">
        <v>2361</v>
      </c>
      <c r="F552" s="1" t="s">
        <v>2360</v>
      </c>
      <c r="G552" s="1" t="s">
        <v>2362</v>
      </c>
      <c r="H552" s="1">
        <f>_xlfn.XLOOKUP(DB07_baselinesequence[[#This Row],[basesequence-ID]],DB06_baseline[ID],DB06_baseline[確認済],FALSE,0)</f>
        <v>0</v>
      </c>
      <c r="J552" s="1" t="s">
        <v>2892</v>
      </c>
      <c r="K552" s="4"/>
      <c r="L552" s="3"/>
    </row>
    <row r="553" spans="1:12" x14ac:dyDescent="0.45">
      <c r="A553" s="1">
        <v>565</v>
      </c>
      <c r="B553" s="1" t="str">
        <f>"07-"&amp;LEFT(RIGHTB(REPT(0,4)&amp;_xlfn.BASE(DB07_baselinesequence[[#This Row],[num]],36),4),2)&amp;"-"&amp;RIGHT(RIGHTB(REPT(0,4)&amp;_xlfn.BASE(DB07_baselinesequence[[#This Row],[num]],36),4),2)</f>
        <v>07-00-FP</v>
      </c>
      <c r="C553" s="1" t="s">
        <v>2364</v>
      </c>
      <c r="F553" s="1" t="s">
        <v>2363</v>
      </c>
      <c r="G553" s="1" t="s">
        <v>2365</v>
      </c>
      <c r="H553" s="1">
        <f>_xlfn.XLOOKUP(DB07_baselinesequence[[#This Row],[basesequence-ID]],DB06_baseline[ID],DB06_baseline[確認済],FALSE,0)</f>
        <v>0</v>
      </c>
      <c r="J553" s="1" t="s">
        <v>2893</v>
      </c>
      <c r="K553" s="4"/>
      <c r="L553" s="3"/>
    </row>
    <row r="554" spans="1:12" x14ac:dyDescent="0.45">
      <c r="A554" s="1">
        <v>566</v>
      </c>
      <c r="B554" s="1" t="str">
        <f>"07-"&amp;LEFT(RIGHTB(REPT(0,4)&amp;_xlfn.BASE(DB07_baselinesequence[[#This Row],[num]],36),4),2)&amp;"-"&amp;RIGHT(RIGHTB(REPT(0,4)&amp;_xlfn.BASE(DB07_baselinesequence[[#This Row],[num]],36),4),2)</f>
        <v>07-00-FQ</v>
      </c>
      <c r="C554" s="1" t="s">
        <v>2367</v>
      </c>
      <c r="F554" s="1" t="s">
        <v>2366</v>
      </c>
      <c r="G554" s="1" t="s">
        <v>2368</v>
      </c>
      <c r="H554" s="1">
        <f>_xlfn.XLOOKUP(DB07_baselinesequence[[#This Row],[basesequence-ID]],DB06_baseline[ID],DB06_baseline[確認済],FALSE,0)</f>
        <v>0</v>
      </c>
      <c r="J554" s="1" t="s">
        <v>2894</v>
      </c>
      <c r="K554" s="4"/>
      <c r="L554" s="3"/>
    </row>
    <row r="555" spans="1:12" x14ac:dyDescent="0.45">
      <c r="A555" s="1">
        <v>567</v>
      </c>
      <c r="B555" s="1" t="str">
        <f>"07-"&amp;LEFT(RIGHTB(REPT(0,4)&amp;_xlfn.BASE(DB07_baselinesequence[[#This Row],[num]],36),4),2)&amp;"-"&amp;RIGHT(RIGHTB(REPT(0,4)&amp;_xlfn.BASE(DB07_baselinesequence[[#This Row],[num]],36),4),2)</f>
        <v>07-00-FR</v>
      </c>
      <c r="C555" s="1" t="s">
        <v>2370</v>
      </c>
      <c r="F555" s="1" t="s">
        <v>2369</v>
      </c>
      <c r="G555" s="1" t="s">
        <v>2371</v>
      </c>
      <c r="H555" s="1">
        <f>_xlfn.XLOOKUP(DB07_baselinesequence[[#This Row],[basesequence-ID]],DB06_baseline[ID],DB06_baseline[確認済],FALSE,0)</f>
        <v>0</v>
      </c>
      <c r="J555" s="1" t="s">
        <v>2895</v>
      </c>
      <c r="K555" s="4"/>
      <c r="L555" s="3"/>
    </row>
    <row r="556" spans="1:12" x14ac:dyDescent="0.45">
      <c r="A556" s="1">
        <v>568</v>
      </c>
      <c r="B556" s="1" t="str">
        <f>"07-"&amp;LEFT(RIGHTB(REPT(0,4)&amp;_xlfn.BASE(DB07_baselinesequence[[#This Row],[num]],36),4),2)&amp;"-"&amp;RIGHT(RIGHTB(REPT(0,4)&amp;_xlfn.BASE(DB07_baselinesequence[[#This Row],[num]],36),4),2)</f>
        <v>07-00-FS</v>
      </c>
      <c r="C556" s="1" t="s">
        <v>2373</v>
      </c>
      <c r="F556" s="1" t="s">
        <v>2372</v>
      </c>
      <c r="G556" s="1" t="s">
        <v>2374</v>
      </c>
      <c r="H556" s="1">
        <f>_xlfn.XLOOKUP(DB07_baselinesequence[[#This Row],[basesequence-ID]],DB06_baseline[ID],DB06_baseline[確認済],FALSE,0)</f>
        <v>0</v>
      </c>
      <c r="J556" s="1" t="s">
        <v>2896</v>
      </c>
      <c r="K556" s="4"/>
      <c r="L556" s="3"/>
    </row>
    <row r="557" spans="1:12" x14ac:dyDescent="0.45">
      <c r="A557" s="1">
        <v>569</v>
      </c>
      <c r="B557" s="1" t="str">
        <f>"07-"&amp;LEFT(RIGHTB(REPT(0,4)&amp;_xlfn.BASE(DB07_baselinesequence[[#This Row],[num]],36),4),2)&amp;"-"&amp;RIGHT(RIGHTB(REPT(0,4)&amp;_xlfn.BASE(DB07_baselinesequence[[#This Row],[num]],36),4),2)</f>
        <v>07-00-FT</v>
      </c>
      <c r="C557" s="1" t="s">
        <v>2376</v>
      </c>
      <c r="F557" s="1" t="s">
        <v>2375</v>
      </c>
      <c r="G557" s="1" t="s">
        <v>2377</v>
      </c>
      <c r="H557" s="1">
        <f>_xlfn.XLOOKUP(DB07_baselinesequence[[#This Row],[basesequence-ID]],DB06_baseline[ID],DB06_baseline[確認済],FALSE,0)</f>
        <v>0</v>
      </c>
      <c r="J557" s="1" t="s">
        <v>2897</v>
      </c>
      <c r="K557" s="4"/>
      <c r="L557" s="3"/>
    </row>
    <row r="558" spans="1:12" x14ac:dyDescent="0.45">
      <c r="A558" s="1">
        <v>570</v>
      </c>
      <c r="B558" s="1" t="str">
        <f>"07-"&amp;LEFT(RIGHTB(REPT(0,4)&amp;_xlfn.BASE(DB07_baselinesequence[[#This Row],[num]],36),4),2)&amp;"-"&amp;RIGHT(RIGHTB(REPT(0,4)&amp;_xlfn.BASE(DB07_baselinesequence[[#This Row],[num]],36),4),2)</f>
        <v>07-00-FU</v>
      </c>
      <c r="C558" s="1" t="s">
        <v>2379</v>
      </c>
      <c r="F558" s="1" t="s">
        <v>2378</v>
      </c>
      <c r="G558" s="1" t="s">
        <v>2380</v>
      </c>
      <c r="H558" s="1">
        <f>_xlfn.XLOOKUP(DB07_baselinesequence[[#This Row],[basesequence-ID]],DB06_baseline[ID],DB06_baseline[確認済],FALSE,0)</f>
        <v>0</v>
      </c>
      <c r="J558" s="1" t="s">
        <v>2898</v>
      </c>
      <c r="K558" s="4"/>
      <c r="L558" s="3"/>
    </row>
    <row r="559" spans="1:12" x14ac:dyDescent="0.45">
      <c r="A559" s="1">
        <v>571</v>
      </c>
      <c r="B559" s="1" t="str">
        <f>"07-"&amp;LEFT(RIGHTB(REPT(0,4)&amp;_xlfn.BASE(DB07_baselinesequence[[#This Row],[num]],36),4),2)&amp;"-"&amp;RIGHT(RIGHTB(REPT(0,4)&amp;_xlfn.BASE(DB07_baselinesequence[[#This Row],[num]],36),4),2)</f>
        <v>07-00-FV</v>
      </c>
      <c r="C559" s="1" t="s">
        <v>2382</v>
      </c>
      <c r="F559" s="1" t="s">
        <v>2381</v>
      </c>
      <c r="G559" s="1" t="s">
        <v>2383</v>
      </c>
      <c r="H559" s="1">
        <f>_xlfn.XLOOKUP(DB07_baselinesequence[[#This Row],[basesequence-ID]],DB06_baseline[ID],DB06_baseline[確認済],FALSE,0)</f>
        <v>0</v>
      </c>
      <c r="J559" s="1" t="s">
        <v>2899</v>
      </c>
      <c r="K559" s="4"/>
      <c r="L559" s="3"/>
    </row>
    <row r="560" spans="1:12" x14ac:dyDescent="0.45">
      <c r="A560" s="1">
        <v>572</v>
      </c>
      <c r="B560" s="1" t="str">
        <f>"07-"&amp;LEFT(RIGHTB(REPT(0,4)&amp;_xlfn.BASE(DB07_baselinesequence[[#This Row],[num]],36),4),2)&amp;"-"&amp;RIGHT(RIGHTB(REPT(0,4)&amp;_xlfn.BASE(DB07_baselinesequence[[#This Row],[num]],36),4),2)</f>
        <v>07-00-FW</v>
      </c>
      <c r="C560" s="1" t="s">
        <v>2385</v>
      </c>
      <c r="F560" s="1" t="s">
        <v>2384</v>
      </c>
      <c r="G560" s="1" t="s">
        <v>2386</v>
      </c>
      <c r="H560" s="1">
        <f>_xlfn.XLOOKUP(DB07_baselinesequence[[#This Row],[basesequence-ID]],DB06_baseline[ID],DB06_baseline[確認済],FALSE,0)</f>
        <v>0</v>
      </c>
      <c r="J560" s="1" t="s">
        <v>2900</v>
      </c>
      <c r="K560" s="4"/>
      <c r="L560" s="3"/>
    </row>
    <row r="561" spans="1:12" x14ac:dyDescent="0.45">
      <c r="A561" s="1">
        <v>573</v>
      </c>
      <c r="B561" s="1" t="str">
        <f>"07-"&amp;LEFT(RIGHTB(REPT(0,4)&amp;_xlfn.BASE(DB07_baselinesequence[[#This Row],[num]],36),4),2)&amp;"-"&amp;RIGHT(RIGHTB(REPT(0,4)&amp;_xlfn.BASE(DB07_baselinesequence[[#This Row],[num]],36),4),2)</f>
        <v>07-00-FX</v>
      </c>
      <c r="C561" s="1" t="s">
        <v>2388</v>
      </c>
      <c r="F561" s="1" t="s">
        <v>2387</v>
      </c>
      <c r="G561" s="1" t="s">
        <v>2389</v>
      </c>
      <c r="H561" s="1">
        <f>_xlfn.XLOOKUP(DB07_baselinesequence[[#This Row],[basesequence-ID]],DB06_baseline[ID],DB06_baseline[確認済],FALSE,0)</f>
        <v>0</v>
      </c>
      <c r="J561" s="1" t="s">
        <v>2901</v>
      </c>
      <c r="K561" s="4"/>
      <c r="L561" s="3"/>
    </row>
    <row r="562" spans="1:12" x14ac:dyDescent="0.45">
      <c r="A562" s="1">
        <v>574</v>
      </c>
      <c r="B562" s="1" t="str">
        <f>"07-"&amp;LEFT(RIGHTB(REPT(0,4)&amp;_xlfn.BASE(DB07_baselinesequence[[#This Row],[num]],36),4),2)&amp;"-"&amp;RIGHT(RIGHTB(REPT(0,4)&amp;_xlfn.BASE(DB07_baselinesequence[[#This Row],[num]],36),4),2)</f>
        <v>07-00-FY</v>
      </c>
      <c r="C562" s="1" t="s">
        <v>2391</v>
      </c>
      <c r="F562" s="1" t="s">
        <v>2390</v>
      </c>
      <c r="G562" s="1" t="s">
        <v>2392</v>
      </c>
      <c r="H562" s="1">
        <f>_xlfn.XLOOKUP(DB07_baselinesequence[[#This Row],[basesequence-ID]],DB06_baseline[ID],DB06_baseline[確認済],FALSE,0)</f>
        <v>0</v>
      </c>
      <c r="J562" s="1" t="s">
        <v>2902</v>
      </c>
      <c r="K562" s="4"/>
      <c r="L562" s="3"/>
    </row>
    <row r="563" spans="1:12" x14ac:dyDescent="0.45">
      <c r="A563" s="1">
        <v>575</v>
      </c>
      <c r="B563" s="1" t="str">
        <f>"07-"&amp;LEFT(RIGHTB(REPT(0,4)&amp;_xlfn.BASE(DB07_baselinesequence[[#This Row],[num]],36),4),2)&amp;"-"&amp;RIGHT(RIGHTB(REPT(0,4)&amp;_xlfn.BASE(DB07_baselinesequence[[#This Row],[num]],36),4),2)</f>
        <v>07-00-FZ</v>
      </c>
      <c r="C563" s="1" t="s">
        <v>2394</v>
      </c>
      <c r="F563" s="1" t="s">
        <v>2393</v>
      </c>
      <c r="G563" s="1" t="s">
        <v>2395</v>
      </c>
      <c r="H563" s="1">
        <f>_xlfn.XLOOKUP(DB07_baselinesequence[[#This Row],[basesequence-ID]],DB06_baseline[ID],DB06_baseline[確認済],FALSE,0)</f>
        <v>0</v>
      </c>
      <c r="J563" s="1" t="s">
        <v>2903</v>
      </c>
      <c r="K563" s="4"/>
      <c r="L563" s="3"/>
    </row>
    <row r="564" spans="1:12" x14ac:dyDescent="0.45">
      <c r="A564" s="1">
        <v>576</v>
      </c>
      <c r="B564" s="1" t="str">
        <f>"07-"&amp;LEFT(RIGHTB(REPT(0,4)&amp;_xlfn.BASE(DB07_baselinesequence[[#This Row],[num]],36),4),2)&amp;"-"&amp;RIGHT(RIGHTB(REPT(0,4)&amp;_xlfn.BASE(DB07_baselinesequence[[#This Row],[num]],36),4),2)</f>
        <v>07-00-G0</v>
      </c>
      <c r="C564" s="1" t="s">
        <v>2397</v>
      </c>
      <c r="F564" s="1" t="s">
        <v>2396</v>
      </c>
      <c r="G564" s="1" t="s">
        <v>2398</v>
      </c>
      <c r="H564" s="1">
        <f>_xlfn.XLOOKUP(DB07_baselinesequence[[#This Row],[basesequence-ID]],DB06_baseline[ID],DB06_baseline[確認済],FALSE,0)</f>
        <v>0</v>
      </c>
      <c r="J564" s="1" t="s">
        <v>2904</v>
      </c>
      <c r="K564" s="4"/>
      <c r="L564" s="3"/>
    </row>
    <row r="565" spans="1:12" x14ac:dyDescent="0.45">
      <c r="A565" s="1">
        <v>577</v>
      </c>
      <c r="B565" s="1" t="str">
        <f>"07-"&amp;LEFT(RIGHTB(REPT(0,4)&amp;_xlfn.BASE(DB07_baselinesequence[[#This Row],[num]],36),4),2)&amp;"-"&amp;RIGHT(RIGHTB(REPT(0,4)&amp;_xlfn.BASE(DB07_baselinesequence[[#This Row],[num]],36),4),2)</f>
        <v>07-00-G1</v>
      </c>
      <c r="C565" s="1" t="s">
        <v>2400</v>
      </c>
      <c r="F565" s="1" t="s">
        <v>2399</v>
      </c>
      <c r="G565" s="1" t="s">
        <v>2401</v>
      </c>
      <c r="H565" s="1">
        <f>_xlfn.XLOOKUP(DB07_baselinesequence[[#This Row],[basesequence-ID]],DB06_baseline[ID],DB06_baseline[確認済],FALSE,0)</f>
        <v>0</v>
      </c>
      <c r="J565" s="1" t="s">
        <v>2905</v>
      </c>
      <c r="K565" s="4"/>
      <c r="L565" s="3"/>
    </row>
    <row r="566" spans="1:12" x14ac:dyDescent="0.45">
      <c r="A566" s="1">
        <v>578</v>
      </c>
      <c r="B566" s="1" t="str">
        <f>"07-"&amp;LEFT(RIGHTB(REPT(0,4)&amp;_xlfn.BASE(DB07_baselinesequence[[#This Row],[num]],36),4),2)&amp;"-"&amp;RIGHT(RIGHTB(REPT(0,4)&amp;_xlfn.BASE(DB07_baselinesequence[[#This Row],[num]],36),4),2)</f>
        <v>07-00-G2</v>
      </c>
      <c r="C566" s="1" t="s">
        <v>2403</v>
      </c>
      <c r="F566" s="1" t="s">
        <v>2402</v>
      </c>
      <c r="G566" s="1" t="s">
        <v>2404</v>
      </c>
      <c r="H566" s="1">
        <f>_xlfn.XLOOKUP(DB07_baselinesequence[[#This Row],[basesequence-ID]],DB06_baseline[ID],DB06_baseline[確認済],FALSE,0)</f>
        <v>0</v>
      </c>
      <c r="J566" s="1" t="s">
        <v>2906</v>
      </c>
      <c r="K566" s="4"/>
      <c r="L566" s="3"/>
    </row>
    <row r="567" spans="1:12" x14ac:dyDescent="0.45">
      <c r="A567" s="1">
        <v>579</v>
      </c>
      <c r="B567" s="1" t="str">
        <f>"07-"&amp;LEFT(RIGHTB(REPT(0,4)&amp;_xlfn.BASE(DB07_baselinesequence[[#This Row],[num]],36),4),2)&amp;"-"&amp;RIGHT(RIGHTB(REPT(0,4)&amp;_xlfn.BASE(DB07_baselinesequence[[#This Row],[num]],36),4),2)</f>
        <v>07-00-G3</v>
      </c>
      <c r="C567" s="1" t="s">
        <v>2406</v>
      </c>
      <c r="F567" s="1" t="s">
        <v>2405</v>
      </c>
      <c r="G567" s="1" t="s">
        <v>2407</v>
      </c>
      <c r="H567" s="1">
        <f>_xlfn.XLOOKUP(DB07_baselinesequence[[#This Row],[basesequence-ID]],DB06_baseline[ID],DB06_baseline[確認済],FALSE,0)</f>
        <v>0</v>
      </c>
      <c r="J567" s="1" t="s">
        <v>2907</v>
      </c>
      <c r="K567" s="4"/>
      <c r="L567" s="3"/>
    </row>
    <row r="568" spans="1:12" x14ac:dyDescent="0.45">
      <c r="A568" s="1">
        <v>580</v>
      </c>
      <c r="B568" s="1" t="str">
        <f>"07-"&amp;LEFT(RIGHTB(REPT(0,4)&amp;_xlfn.BASE(DB07_baselinesequence[[#This Row],[num]],36),4),2)&amp;"-"&amp;RIGHT(RIGHTB(REPT(0,4)&amp;_xlfn.BASE(DB07_baselinesequence[[#This Row],[num]],36),4),2)</f>
        <v>07-00-G4</v>
      </c>
      <c r="C568" s="1" t="s">
        <v>2409</v>
      </c>
      <c r="F568" s="1" t="s">
        <v>2408</v>
      </c>
      <c r="G568" s="1" t="s">
        <v>2410</v>
      </c>
      <c r="H568" s="1">
        <f>_xlfn.XLOOKUP(DB07_baselinesequence[[#This Row],[basesequence-ID]],DB06_baseline[ID],DB06_baseline[確認済],FALSE,0)</f>
        <v>0</v>
      </c>
      <c r="J568" s="1" t="s">
        <v>2908</v>
      </c>
      <c r="K568" s="4"/>
      <c r="L568" s="3"/>
    </row>
    <row r="569" spans="1:12" x14ac:dyDescent="0.45">
      <c r="A569" s="1">
        <v>581</v>
      </c>
      <c r="B569" s="1" t="str">
        <f>"07-"&amp;LEFT(RIGHTB(REPT(0,4)&amp;_xlfn.BASE(DB07_baselinesequence[[#This Row],[num]],36),4),2)&amp;"-"&amp;RIGHT(RIGHTB(REPT(0,4)&amp;_xlfn.BASE(DB07_baselinesequence[[#This Row],[num]],36),4),2)</f>
        <v>07-00-G5</v>
      </c>
      <c r="C569" s="1" t="s">
        <v>2412</v>
      </c>
      <c r="F569" s="1" t="s">
        <v>2411</v>
      </c>
      <c r="G569" s="1" t="s">
        <v>2413</v>
      </c>
      <c r="H569" s="1">
        <f>_xlfn.XLOOKUP(DB07_baselinesequence[[#This Row],[basesequence-ID]],DB06_baseline[ID],DB06_baseline[確認済],FALSE,0)</f>
        <v>0</v>
      </c>
      <c r="J569" s="1" t="s">
        <v>2909</v>
      </c>
      <c r="K569" s="4"/>
      <c r="L569" s="3"/>
    </row>
    <row r="570" spans="1:12" x14ac:dyDescent="0.45">
      <c r="A570" s="1">
        <v>582</v>
      </c>
      <c r="B570" s="1" t="str">
        <f>"07-"&amp;LEFT(RIGHTB(REPT(0,4)&amp;_xlfn.BASE(DB07_baselinesequence[[#This Row],[num]],36),4),2)&amp;"-"&amp;RIGHT(RIGHTB(REPT(0,4)&amp;_xlfn.BASE(DB07_baselinesequence[[#This Row],[num]],36),4),2)</f>
        <v>07-00-G6</v>
      </c>
      <c r="C570" s="1" t="s">
        <v>2415</v>
      </c>
      <c r="F570" s="1" t="s">
        <v>2414</v>
      </c>
      <c r="G570" s="1" t="s">
        <v>2416</v>
      </c>
      <c r="H570" s="1">
        <f>_xlfn.XLOOKUP(DB07_baselinesequence[[#This Row],[basesequence-ID]],DB06_baseline[ID],DB06_baseline[確認済],FALSE,0)</f>
        <v>0</v>
      </c>
      <c r="J570" s="1" t="s">
        <v>2910</v>
      </c>
      <c r="K570" s="4"/>
      <c r="L570" s="3"/>
    </row>
    <row r="571" spans="1:12" x14ac:dyDescent="0.45">
      <c r="A571" s="1">
        <v>583</v>
      </c>
      <c r="B571" s="1" t="str">
        <f>"07-"&amp;LEFT(RIGHTB(REPT(0,4)&amp;_xlfn.BASE(DB07_baselinesequence[[#This Row],[num]],36),4),2)&amp;"-"&amp;RIGHT(RIGHTB(REPT(0,4)&amp;_xlfn.BASE(DB07_baselinesequence[[#This Row],[num]],36),4),2)</f>
        <v>07-00-G7</v>
      </c>
      <c r="C571" s="1" t="s">
        <v>2418</v>
      </c>
      <c r="F571" s="1" t="s">
        <v>2417</v>
      </c>
      <c r="G571" s="1" t="s">
        <v>2419</v>
      </c>
      <c r="H571" s="1">
        <f>_xlfn.XLOOKUP(DB07_baselinesequence[[#This Row],[basesequence-ID]],DB06_baseline[ID],DB06_baseline[確認済],FALSE,0)</f>
        <v>0</v>
      </c>
      <c r="J571" s="1" t="s">
        <v>2911</v>
      </c>
      <c r="K571" s="4"/>
      <c r="L571" s="3"/>
    </row>
    <row r="572" spans="1:12" x14ac:dyDescent="0.45">
      <c r="A572" s="1">
        <v>584</v>
      </c>
      <c r="B572" s="1" t="str">
        <f>"07-"&amp;LEFT(RIGHTB(REPT(0,4)&amp;_xlfn.BASE(DB07_baselinesequence[[#This Row],[num]],36),4),2)&amp;"-"&amp;RIGHT(RIGHTB(REPT(0,4)&amp;_xlfn.BASE(DB07_baselinesequence[[#This Row],[num]],36),4),2)</f>
        <v>07-00-G8</v>
      </c>
      <c r="C572" s="1" t="s">
        <v>2421</v>
      </c>
      <c r="F572" s="1" t="s">
        <v>2420</v>
      </c>
      <c r="G572" s="1" t="s">
        <v>2422</v>
      </c>
      <c r="H572" s="1">
        <f>_xlfn.XLOOKUP(DB07_baselinesequence[[#This Row],[basesequence-ID]],DB06_baseline[ID],DB06_baseline[確認済],FALSE,0)</f>
        <v>0</v>
      </c>
      <c r="J572" s="1" t="s">
        <v>2912</v>
      </c>
      <c r="K572" s="4"/>
      <c r="L572" s="3"/>
    </row>
    <row r="573" spans="1:12" x14ac:dyDescent="0.45">
      <c r="A573" s="1">
        <v>585</v>
      </c>
      <c r="B573" s="1" t="str">
        <f>"07-"&amp;LEFT(RIGHTB(REPT(0,4)&amp;_xlfn.BASE(DB07_baselinesequence[[#This Row],[num]],36),4),2)&amp;"-"&amp;RIGHT(RIGHTB(REPT(0,4)&amp;_xlfn.BASE(DB07_baselinesequence[[#This Row],[num]],36),4),2)</f>
        <v>07-00-G9</v>
      </c>
      <c r="C573" s="1" t="s">
        <v>2424</v>
      </c>
      <c r="F573" s="1" t="s">
        <v>2423</v>
      </c>
      <c r="G573" s="1" t="s">
        <v>2425</v>
      </c>
      <c r="H573" s="1">
        <f>_xlfn.XLOOKUP(DB07_baselinesequence[[#This Row],[basesequence-ID]],DB06_baseline[ID],DB06_baseline[確認済],FALSE,0)</f>
        <v>0</v>
      </c>
      <c r="J573" s="1" t="s">
        <v>2913</v>
      </c>
      <c r="K573" s="4"/>
      <c r="L573" s="3"/>
    </row>
    <row r="574" spans="1:12" x14ac:dyDescent="0.45">
      <c r="A574" s="1">
        <v>586</v>
      </c>
      <c r="B574" s="1" t="str">
        <f>"07-"&amp;LEFT(RIGHTB(REPT(0,4)&amp;_xlfn.BASE(DB07_baselinesequence[[#This Row],[num]],36),4),2)&amp;"-"&amp;RIGHT(RIGHTB(REPT(0,4)&amp;_xlfn.BASE(DB07_baselinesequence[[#This Row],[num]],36),4),2)</f>
        <v>07-00-GA</v>
      </c>
      <c r="C574" s="1" t="s">
        <v>2427</v>
      </c>
      <c r="F574" s="1" t="s">
        <v>2426</v>
      </c>
      <c r="G574" s="1" t="s">
        <v>2428</v>
      </c>
      <c r="H574" s="1">
        <f>_xlfn.XLOOKUP(DB07_baselinesequence[[#This Row],[basesequence-ID]],DB06_baseline[ID],DB06_baseline[確認済],FALSE,0)</f>
        <v>0</v>
      </c>
      <c r="J574" s="1" t="s">
        <v>2914</v>
      </c>
      <c r="K574" s="4"/>
      <c r="L574" s="3"/>
    </row>
    <row r="575" spans="1:12" x14ac:dyDescent="0.45">
      <c r="A575" s="1">
        <v>587</v>
      </c>
      <c r="B575" s="1" t="str">
        <f>"07-"&amp;LEFT(RIGHTB(REPT(0,4)&amp;_xlfn.BASE(DB07_baselinesequence[[#This Row],[num]],36),4),2)&amp;"-"&amp;RIGHT(RIGHTB(REPT(0,4)&amp;_xlfn.BASE(DB07_baselinesequence[[#This Row],[num]],36),4),2)</f>
        <v>07-00-GB</v>
      </c>
      <c r="C575" s="1" t="s">
        <v>2430</v>
      </c>
      <c r="F575" s="1" t="s">
        <v>2429</v>
      </c>
      <c r="G575" s="1" t="s">
        <v>2431</v>
      </c>
      <c r="H575" s="1">
        <f>_xlfn.XLOOKUP(DB07_baselinesequence[[#This Row],[basesequence-ID]],DB06_baseline[ID],DB06_baseline[確認済],FALSE,0)</f>
        <v>0</v>
      </c>
      <c r="J575" s="1" t="s">
        <v>2915</v>
      </c>
      <c r="K575" s="4"/>
      <c r="L575" s="3"/>
    </row>
    <row r="576" spans="1:12" x14ac:dyDescent="0.45">
      <c r="A576" s="1">
        <v>588</v>
      </c>
      <c r="B576" s="1" t="str">
        <f>"07-"&amp;LEFT(RIGHTB(REPT(0,4)&amp;_xlfn.BASE(DB07_baselinesequence[[#This Row],[num]],36),4),2)&amp;"-"&amp;RIGHT(RIGHTB(REPT(0,4)&amp;_xlfn.BASE(DB07_baselinesequence[[#This Row],[num]],36),4),2)</f>
        <v>07-00-GC</v>
      </c>
      <c r="C576" s="1" t="s">
        <v>2433</v>
      </c>
      <c r="F576" s="1" t="s">
        <v>2432</v>
      </c>
      <c r="G576" s="1" t="s">
        <v>2434</v>
      </c>
      <c r="H576" s="1">
        <f>_xlfn.XLOOKUP(DB07_baselinesequence[[#This Row],[basesequence-ID]],DB06_baseline[ID],DB06_baseline[確認済],FALSE,0)</f>
        <v>0</v>
      </c>
      <c r="J576" s="1" t="s">
        <v>2916</v>
      </c>
      <c r="K576" s="4"/>
      <c r="L576" s="3"/>
    </row>
    <row r="577" spans="1:12" x14ac:dyDescent="0.45">
      <c r="A577" s="1">
        <v>589</v>
      </c>
      <c r="B577" s="1" t="str">
        <f>"07-"&amp;LEFT(RIGHTB(REPT(0,4)&amp;_xlfn.BASE(DB07_baselinesequence[[#This Row],[num]],36),4),2)&amp;"-"&amp;RIGHT(RIGHTB(REPT(0,4)&amp;_xlfn.BASE(DB07_baselinesequence[[#This Row],[num]],36),4),2)</f>
        <v>07-00-GD</v>
      </c>
      <c r="C577" s="1" t="s">
        <v>2436</v>
      </c>
      <c r="F577" s="1" t="s">
        <v>2435</v>
      </c>
      <c r="G577" s="1" t="s">
        <v>2437</v>
      </c>
      <c r="H577" s="1">
        <f>_xlfn.XLOOKUP(DB07_baselinesequence[[#This Row],[basesequence-ID]],DB06_baseline[ID],DB06_baseline[確認済],FALSE,0)</f>
        <v>0</v>
      </c>
      <c r="J577" s="1" t="s">
        <v>2917</v>
      </c>
      <c r="K577" s="4"/>
      <c r="L577" s="3"/>
    </row>
    <row r="578" spans="1:12" x14ac:dyDescent="0.45">
      <c r="A578" s="1">
        <v>590</v>
      </c>
      <c r="B578" s="1" t="str">
        <f>"07-"&amp;LEFT(RIGHTB(REPT(0,4)&amp;_xlfn.BASE(DB07_baselinesequence[[#This Row],[num]],36),4),2)&amp;"-"&amp;RIGHT(RIGHTB(REPT(0,4)&amp;_xlfn.BASE(DB07_baselinesequence[[#This Row],[num]],36),4),2)</f>
        <v>07-00-GE</v>
      </c>
      <c r="C578" s="1" t="s">
        <v>2439</v>
      </c>
      <c r="F578" s="1" t="s">
        <v>2438</v>
      </c>
      <c r="G578" s="1" t="s">
        <v>2440</v>
      </c>
      <c r="H578" s="1">
        <f>_xlfn.XLOOKUP(DB07_baselinesequence[[#This Row],[basesequence-ID]],DB06_baseline[ID],DB06_baseline[確認済],FALSE,0)</f>
        <v>0</v>
      </c>
      <c r="J578" s="1" t="s">
        <v>2918</v>
      </c>
      <c r="K578" s="4"/>
      <c r="L578" s="3"/>
    </row>
    <row r="579" spans="1:12" x14ac:dyDescent="0.45">
      <c r="A579" s="1">
        <v>591</v>
      </c>
      <c r="B579" s="1" t="str">
        <f>"07-"&amp;LEFT(RIGHTB(REPT(0,4)&amp;_xlfn.BASE(DB07_baselinesequence[[#This Row],[num]],36),4),2)&amp;"-"&amp;RIGHT(RIGHTB(REPT(0,4)&amp;_xlfn.BASE(DB07_baselinesequence[[#This Row],[num]],36),4),2)</f>
        <v>07-00-GF</v>
      </c>
      <c r="C579" s="1" t="s">
        <v>2442</v>
      </c>
      <c r="F579" s="1" t="s">
        <v>2441</v>
      </c>
      <c r="G579" s="1" t="s">
        <v>2443</v>
      </c>
      <c r="H579" s="1">
        <f>_xlfn.XLOOKUP(DB07_baselinesequence[[#This Row],[basesequence-ID]],DB06_baseline[ID],DB06_baseline[確認済],FALSE,0)</f>
        <v>0</v>
      </c>
      <c r="J579" s="1" t="s">
        <v>2919</v>
      </c>
      <c r="K579" s="4"/>
      <c r="L579" s="3"/>
    </row>
    <row r="580" spans="1:12" x14ac:dyDescent="0.45">
      <c r="A580" s="1">
        <v>592</v>
      </c>
      <c r="B580" s="1" t="str">
        <f>"07-"&amp;LEFT(RIGHTB(REPT(0,4)&amp;_xlfn.BASE(DB07_baselinesequence[[#This Row],[num]],36),4),2)&amp;"-"&amp;RIGHT(RIGHTB(REPT(0,4)&amp;_xlfn.BASE(DB07_baselinesequence[[#This Row],[num]],36),4),2)</f>
        <v>07-00-GG</v>
      </c>
      <c r="C580" s="1" t="s">
        <v>2445</v>
      </c>
      <c r="F580" s="1" t="s">
        <v>2444</v>
      </c>
      <c r="G580" s="1" t="s">
        <v>2446</v>
      </c>
      <c r="H580" s="1">
        <f>_xlfn.XLOOKUP(DB07_baselinesequence[[#This Row],[basesequence-ID]],DB06_baseline[ID],DB06_baseline[確認済],FALSE,0)</f>
        <v>0</v>
      </c>
      <c r="J580" s="1" t="s">
        <v>2920</v>
      </c>
      <c r="K580" s="4"/>
      <c r="L580" s="3"/>
    </row>
    <row r="581" spans="1:12" x14ac:dyDescent="0.45">
      <c r="A581" s="1">
        <v>593</v>
      </c>
      <c r="B581" s="1" t="str">
        <f>"07-"&amp;LEFT(RIGHTB(REPT(0,4)&amp;_xlfn.BASE(DB07_baselinesequence[[#This Row],[num]],36),4),2)&amp;"-"&amp;RIGHT(RIGHTB(REPT(0,4)&amp;_xlfn.BASE(DB07_baselinesequence[[#This Row],[num]],36),4),2)</f>
        <v>07-00-GH</v>
      </c>
      <c r="C581" s="1" t="s">
        <v>2448</v>
      </c>
      <c r="F581" s="1" t="s">
        <v>2447</v>
      </c>
      <c r="G581" s="1" t="s">
        <v>2449</v>
      </c>
      <c r="H581" s="1">
        <f>_xlfn.XLOOKUP(DB07_baselinesequence[[#This Row],[basesequence-ID]],DB06_baseline[ID],DB06_baseline[確認済],FALSE,0)</f>
        <v>0</v>
      </c>
      <c r="J581" s="1" t="s">
        <v>2921</v>
      </c>
      <c r="K581" s="4"/>
      <c r="L581" s="3"/>
    </row>
    <row r="582" spans="1:12" x14ac:dyDescent="0.45">
      <c r="A582" s="1">
        <v>594</v>
      </c>
      <c r="B582" s="1" t="str">
        <f>"07-"&amp;LEFT(RIGHTB(REPT(0,4)&amp;_xlfn.BASE(DB07_baselinesequence[[#This Row],[num]],36),4),2)&amp;"-"&amp;RIGHT(RIGHTB(REPT(0,4)&amp;_xlfn.BASE(DB07_baselinesequence[[#This Row],[num]],36),4),2)</f>
        <v>07-00-GI</v>
      </c>
      <c r="C582" s="1" t="s">
        <v>2451</v>
      </c>
      <c r="F582" s="1" t="s">
        <v>2450</v>
      </c>
      <c r="G582" s="1" t="s">
        <v>2452</v>
      </c>
      <c r="H582" s="1">
        <f>_xlfn.XLOOKUP(DB07_baselinesequence[[#This Row],[basesequence-ID]],DB06_baseline[ID],DB06_baseline[確認済],FALSE,0)</f>
        <v>0</v>
      </c>
      <c r="J582" s="1" t="s">
        <v>2922</v>
      </c>
      <c r="K582" s="4"/>
      <c r="L582" s="3"/>
    </row>
    <row r="583" spans="1:12" x14ac:dyDescent="0.45">
      <c r="A583" s="1">
        <v>595</v>
      </c>
      <c r="B583" s="1" t="str">
        <f>"07-"&amp;LEFT(RIGHTB(REPT(0,4)&amp;_xlfn.BASE(DB07_baselinesequence[[#This Row],[num]],36),4),2)&amp;"-"&amp;RIGHT(RIGHTB(REPT(0,4)&amp;_xlfn.BASE(DB07_baselinesequence[[#This Row],[num]],36),4),2)</f>
        <v>07-00-GJ</v>
      </c>
      <c r="C583" s="1" t="s">
        <v>2454</v>
      </c>
      <c r="F583" s="1" t="s">
        <v>2453</v>
      </c>
      <c r="G583" s="1" t="s">
        <v>2455</v>
      </c>
      <c r="H583" s="1">
        <f>_xlfn.XLOOKUP(DB07_baselinesequence[[#This Row],[basesequence-ID]],DB06_baseline[ID],DB06_baseline[確認済],FALSE,0)</f>
        <v>0</v>
      </c>
      <c r="J583" s="1" t="s">
        <v>2923</v>
      </c>
      <c r="K583" s="4"/>
      <c r="L583" s="3"/>
    </row>
    <row r="584" spans="1:12" x14ac:dyDescent="0.45">
      <c r="A584" s="1">
        <v>596</v>
      </c>
      <c r="B584" s="1" t="str">
        <f>"07-"&amp;LEFT(RIGHTB(REPT(0,4)&amp;_xlfn.BASE(DB07_baselinesequence[[#This Row],[num]],36),4),2)&amp;"-"&amp;RIGHT(RIGHTB(REPT(0,4)&amp;_xlfn.BASE(DB07_baselinesequence[[#This Row],[num]],36),4),2)</f>
        <v>07-00-GK</v>
      </c>
      <c r="C584" s="1" t="s">
        <v>2457</v>
      </c>
      <c r="F584" s="1" t="s">
        <v>2456</v>
      </c>
      <c r="G584" s="1" t="s">
        <v>2458</v>
      </c>
      <c r="H584" s="1">
        <f>_xlfn.XLOOKUP(DB07_baselinesequence[[#This Row],[basesequence-ID]],DB06_baseline[ID],DB06_baseline[確認済],FALSE,0)</f>
        <v>0</v>
      </c>
      <c r="J584" s="1" t="s">
        <v>2924</v>
      </c>
      <c r="K584" s="4"/>
      <c r="L584" s="3"/>
    </row>
    <row r="585" spans="1:12" x14ac:dyDescent="0.45">
      <c r="A585" s="1">
        <v>597</v>
      </c>
      <c r="B585" s="1" t="str">
        <f>"07-"&amp;LEFT(RIGHTB(REPT(0,4)&amp;_xlfn.BASE(DB07_baselinesequence[[#This Row],[num]],36),4),2)&amp;"-"&amp;RIGHT(RIGHTB(REPT(0,4)&amp;_xlfn.BASE(DB07_baselinesequence[[#This Row],[num]],36),4),2)</f>
        <v>07-00-GL</v>
      </c>
      <c r="C585" s="1" t="s">
        <v>2460</v>
      </c>
      <c r="F585" s="1" t="s">
        <v>2459</v>
      </c>
      <c r="G585" s="1" t="s">
        <v>2461</v>
      </c>
      <c r="H585" s="1">
        <f>_xlfn.XLOOKUP(DB07_baselinesequence[[#This Row],[basesequence-ID]],DB06_baseline[ID],DB06_baseline[確認済],FALSE,0)</f>
        <v>0</v>
      </c>
      <c r="J585" s="1" t="s">
        <v>2925</v>
      </c>
      <c r="K585" s="4"/>
      <c r="L585" s="3"/>
    </row>
    <row r="586" spans="1:12" x14ac:dyDescent="0.45">
      <c r="A586" s="1">
        <v>598</v>
      </c>
      <c r="B586" s="1" t="str">
        <f>"07-"&amp;LEFT(RIGHTB(REPT(0,4)&amp;_xlfn.BASE(DB07_baselinesequence[[#This Row],[num]],36),4),2)&amp;"-"&amp;RIGHT(RIGHTB(REPT(0,4)&amp;_xlfn.BASE(DB07_baselinesequence[[#This Row],[num]],36),4),2)</f>
        <v>07-00-GM</v>
      </c>
      <c r="C586" s="1" t="s">
        <v>2463</v>
      </c>
      <c r="F586" s="1" t="s">
        <v>2462</v>
      </c>
      <c r="G586" s="1" t="s">
        <v>2464</v>
      </c>
      <c r="H586" s="1">
        <f>_xlfn.XLOOKUP(DB07_baselinesequence[[#This Row],[basesequence-ID]],DB06_baseline[ID],DB06_baseline[確認済],FALSE,0)</f>
        <v>0</v>
      </c>
      <c r="J586" s="1" t="s">
        <v>2926</v>
      </c>
      <c r="K586" s="4"/>
      <c r="L586" s="3"/>
    </row>
    <row r="587" spans="1:12" x14ac:dyDescent="0.45">
      <c r="A587" s="1">
        <v>599</v>
      </c>
      <c r="B587" s="1" t="str">
        <f>"07-"&amp;LEFT(RIGHTB(REPT(0,4)&amp;_xlfn.BASE(DB07_baselinesequence[[#This Row],[num]],36),4),2)&amp;"-"&amp;RIGHT(RIGHTB(REPT(0,4)&amp;_xlfn.BASE(DB07_baselinesequence[[#This Row],[num]],36),4),2)</f>
        <v>07-00-GN</v>
      </c>
      <c r="C587" s="1" t="s">
        <v>2466</v>
      </c>
      <c r="F587" s="1" t="s">
        <v>2465</v>
      </c>
      <c r="G587" s="1" t="s">
        <v>2467</v>
      </c>
      <c r="H587" s="1">
        <f>_xlfn.XLOOKUP(DB07_baselinesequence[[#This Row],[basesequence-ID]],DB06_baseline[ID],DB06_baseline[確認済],FALSE,0)</f>
        <v>0</v>
      </c>
      <c r="J587" s="1" t="s">
        <v>2927</v>
      </c>
      <c r="K587" s="4"/>
      <c r="L587" s="3"/>
    </row>
    <row r="588" spans="1:12" x14ac:dyDescent="0.45">
      <c r="A588" s="1">
        <v>600</v>
      </c>
      <c r="B588" s="1" t="str">
        <f>"07-"&amp;LEFT(RIGHTB(REPT(0,4)&amp;_xlfn.BASE(DB07_baselinesequence[[#This Row],[num]],36),4),2)&amp;"-"&amp;RIGHT(RIGHTB(REPT(0,4)&amp;_xlfn.BASE(DB07_baselinesequence[[#This Row],[num]],36),4),2)</f>
        <v>07-00-GO</v>
      </c>
      <c r="C588" s="1" t="s">
        <v>2469</v>
      </c>
      <c r="F588" s="1" t="s">
        <v>2468</v>
      </c>
      <c r="G588" s="1" t="s">
        <v>2470</v>
      </c>
      <c r="H588" s="1">
        <f>_xlfn.XLOOKUP(DB07_baselinesequence[[#This Row],[basesequence-ID]],DB06_baseline[ID],DB06_baseline[確認済],FALSE,0)</f>
        <v>0</v>
      </c>
      <c r="J588" s="1" t="s">
        <v>2928</v>
      </c>
      <c r="K588" s="4"/>
      <c r="L588" s="3"/>
    </row>
    <row r="589" spans="1:12" x14ac:dyDescent="0.45">
      <c r="A589" s="1">
        <v>601</v>
      </c>
      <c r="B589" s="1" t="str">
        <f>"07-"&amp;LEFT(RIGHTB(REPT(0,4)&amp;_xlfn.BASE(DB07_baselinesequence[[#This Row],[num]],36),4),2)&amp;"-"&amp;RIGHT(RIGHTB(REPT(0,4)&amp;_xlfn.BASE(DB07_baselinesequence[[#This Row],[num]],36),4),2)</f>
        <v>07-00-GP</v>
      </c>
      <c r="C589" s="1" t="s">
        <v>2472</v>
      </c>
      <c r="F589" s="1" t="s">
        <v>2471</v>
      </c>
      <c r="G589" s="1" t="s">
        <v>2473</v>
      </c>
      <c r="H589" s="1">
        <f>_xlfn.XLOOKUP(DB07_baselinesequence[[#This Row],[basesequence-ID]],DB06_baseline[ID],DB06_baseline[確認済],FALSE,0)</f>
        <v>0</v>
      </c>
      <c r="J589" s="1" t="s">
        <v>2929</v>
      </c>
      <c r="K589" s="4"/>
      <c r="L589" s="3"/>
    </row>
    <row r="590" spans="1:12" x14ac:dyDescent="0.45">
      <c r="A590" s="1">
        <v>602</v>
      </c>
      <c r="B590" s="1" t="str">
        <f>"07-"&amp;LEFT(RIGHTB(REPT(0,4)&amp;_xlfn.BASE(DB07_baselinesequence[[#This Row],[num]],36),4),2)&amp;"-"&amp;RIGHT(RIGHTB(REPT(0,4)&amp;_xlfn.BASE(DB07_baselinesequence[[#This Row],[num]],36),4),2)</f>
        <v>07-00-GQ</v>
      </c>
      <c r="C590" s="1" t="s">
        <v>2475</v>
      </c>
      <c r="F590" s="1" t="s">
        <v>2474</v>
      </c>
      <c r="G590" s="1" t="s">
        <v>2476</v>
      </c>
      <c r="H590" s="1">
        <f>_xlfn.XLOOKUP(DB07_baselinesequence[[#This Row],[basesequence-ID]],DB06_baseline[ID],DB06_baseline[確認済],FALSE,0)</f>
        <v>0</v>
      </c>
      <c r="J590" s="1" t="s">
        <v>2930</v>
      </c>
      <c r="K590" s="4"/>
      <c r="L590" s="3"/>
    </row>
    <row r="591" spans="1:12" x14ac:dyDescent="0.45">
      <c r="A591" s="1">
        <v>603</v>
      </c>
      <c r="B591" s="1" t="str">
        <f>"07-"&amp;LEFT(RIGHTB(REPT(0,4)&amp;_xlfn.BASE(DB07_baselinesequence[[#This Row],[num]],36),4),2)&amp;"-"&amp;RIGHT(RIGHTB(REPT(0,4)&amp;_xlfn.BASE(DB07_baselinesequence[[#This Row],[num]],36),4),2)</f>
        <v>07-00-GR</v>
      </c>
      <c r="C591" s="1" t="s">
        <v>2478</v>
      </c>
      <c r="F591" s="1" t="s">
        <v>2477</v>
      </c>
      <c r="G591" s="1" t="s">
        <v>2479</v>
      </c>
      <c r="H591" s="1">
        <f>_xlfn.XLOOKUP(DB07_baselinesequence[[#This Row],[basesequence-ID]],DB06_baseline[ID],DB06_baseline[確認済],FALSE,0)</f>
        <v>0</v>
      </c>
      <c r="J591" s="1" t="s">
        <v>2931</v>
      </c>
      <c r="K591" s="4"/>
      <c r="L591" s="3"/>
    </row>
    <row r="592" spans="1:12" x14ac:dyDescent="0.45">
      <c r="A592" s="1">
        <v>604</v>
      </c>
      <c r="B592" s="1" t="str">
        <f>"07-"&amp;LEFT(RIGHTB(REPT(0,4)&amp;_xlfn.BASE(DB07_baselinesequence[[#This Row],[num]],36),4),2)&amp;"-"&amp;RIGHT(RIGHTB(REPT(0,4)&amp;_xlfn.BASE(DB07_baselinesequence[[#This Row],[num]],36),4),2)</f>
        <v>07-00-GS</v>
      </c>
      <c r="C592" s="1" t="s">
        <v>2481</v>
      </c>
      <c r="F592" s="1" t="s">
        <v>2480</v>
      </c>
      <c r="G592" s="1" t="s">
        <v>2482</v>
      </c>
      <c r="H592" s="1">
        <f>_xlfn.XLOOKUP(DB07_baselinesequence[[#This Row],[basesequence-ID]],DB06_baseline[ID],DB06_baseline[確認済],FALSE,0)</f>
        <v>0</v>
      </c>
      <c r="J592" s="1" t="s">
        <v>2932</v>
      </c>
      <c r="K592" s="4"/>
      <c r="L592" s="3"/>
    </row>
    <row r="593" spans="1:12" x14ac:dyDescent="0.45">
      <c r="A593" s="1">
        <v>605</v>
      </c>
      <c r="B593" s="1" t="str">
        <f>"07-"&amp;LEFT(RIGHTB(REPT(0,4)&amp;_xlfn.BASE(DB07_baselinesequence[[#This Row],[num]],36),4),2)&amp;"-"&amp;RIGHT(RIGHTB(REPT(0,4)&amp;_xlfn.BASE(DB07_baselinesequence[[#This Row],[num]],36),4),2)</f>
        <v>07-00-GT</v>
      </c>
      <c r="C593" s="1" t="s">
        <v>2484</v>
      </c>
      <c r="F593" s="1" t="s">
        <v>2483</v>
      </c>
      <c r="G593" s="1" t="s">
        <v>2485</v>
      </c>
      <c r="H593" s="1">
        <f>_xlfn.XLOOKUP(DB07_baselinesequence[[#This Row],[basesequence-ID]],DB06_baseline[ID],DB06_baseline[確認済],FALSE,0)</f>
        <v>0</v>
      </c>
      <c r="J593" s="1" t="s">
        <v>2933</v>
      </c>
      <c r="K593" s="4"/>
      <c r="L593" s="3"/>
    </row>
    <row r="594" spans="1:12" x14ac:dyDescent="0.45">
      <c r="A594" s="1">
        <v>606</v>
      </c>
      <c r="B594" s="1" t="str">
        <f>"07-"&amp;LEFT(RIGHTB(REPT(0,4)&amp;_xlfn.BASE(DB07_baselinesequence[[#This Row],[num]],36),4),2)&amp;"-"&amp;RIGHT(RIGHTB(REPT(0,4)&amp;_xlfn.BASE(DB07_baselinesequence[[#This Row],[num]],36),4),2)</f>
        <v>07-00-GU</v>
      </c>
      <c r="C594" s="1" t="s">
        <v>2487</v>
      </c>
      <c r="F594" s="1" t="s">
        <v>2486</v>
      </c>
      <c r="G594" s="1" t="s">
        <v>2488</v>
      </c>
      <c r="H594" s="1">
        <f>_xlfn.XLOOKUP(DB07_baselinesequence[[#This Row],[basesequence-ID]],DB06_baseline[ID],DB06_baseline[確認済],FALSE,0)</f>
        <v>0</v>
      </c>
      <c r="J594" s="1" t="s">
        <v>2934</v>
      </c>
      <c r="K594" s="4"/>
      <c r="L594" s="3"/>
    </row>
    <row r="595" spans="1:12" x14ac:dyDescent="0.45">
      <c r="A595" s="1">
        <v>607</v>
      </c>
      <c r="B595" s="1" t="str">
        <f>"07-"&amp;LEFT(RIGHTB(REPT(0,4)&amp;_xlfn.BASE(DB07_baselinesequence[[#This Row],[num]],36),4),2)&amp;"-"&amp;RIGHT(RIGHTB(REPT(0,4)&amp;_xlfn.BASE(DB07_baselinesequence[[#This Row],[num]],36),4),2)</f>
        <v>07-00-GV</v>
      </c>
      <c r="C595" s="1" t="s">
        <v>2490</v>
      </c>
      <c r="F595" s="1" t="s">
        <v>2489</v>
      </c>
      <c r="G595" s="1" t="s">
        <v>2491</v>
      </c>
      <c r="H595" s="1">
        <f>_xlfn.XLOOKUP(DB07_baselinesequence[[#This Row],[basesequence-ID]],DB06_baseline[ID],DB06_baseline[確認済],FALSE,0)</f>
        <v>0</v>
      </c>
      <c r="J595" s="1" t="s">
        <v>2935</v>
      </c>
      <c r="K595" s="4"/>
      <c r="L595" s="3"/>
    </row>
    <row r="596" spans="1:12" x14ac:dyDescent="0.45">
      <c r="A596" s="1">
        <v>608</v>
      </c>
      <c r="B596" s="1" t="str">
        <f>"07-"&amp;LEFT(RIGHTB(REPT(0,4)&amp;_xlfn.BASE(DB07_baselinesequence[[#This Row],[num]],36),4),2)&amp;"-"&amp;RIGHT(RIGHTB(REPT(0,4)&amp;_xlfn.BASE(DB07_baselinesequence[[#This Row],[num]],36),4),2)</f>
        <v>07-00-GW</v>
      </c>
      <c r="C596" s="1" t="s">
        <v>2493</v>
      </c>
      <c r="F596" s="1" t="s">
        <v>2492</v>
      </c>
      <c r="G596" s="1" t="s">
        <v>2494</v>
      </c>
      <c r="H596" s="1">
        <f>_xlfn.XLOOKUP(DB07_baselinesequence[[#This Row],[basesequence-ID]],DB06_baseline[ID],DB06_baseline[確認済],FALSE,0)</f>
        <v>0</v>
      </c>
      <c r="J596" s="1" t="s">
        <v>2936</v>
      </c>
      <c r="K596" s="4"/>
      <c r="L596" s="3"/>
    </row>
    <row r="597" spans="1:12" x14ac:dyDescent="0.45">
      <c r="A597" s="1">
        <v>609</v>
      </c>
      <c r="B597" s="1" t="str">
        <f>"07-"&amp;LEFT(RIGHTB(REPT(0,4)&amp;_xlfn.BASE(DB07_baselinesequence[[#This Row],[num]],36),4),2)&amp;"-"&amp;RIGHT(RIGHTB(REPT(0,4)&amp;_xlfn.BASE(DB07_baselinesequence[[#This Row],[num]],36),4),2)</f>
        <v>07-00-GX</v>
      </c>
      <c r="C597" s="1" t="s">
        <v>2496</v>
      </c>
      <c r="F597" s="1" t="s">
        <v>2495</v>
      </c>
      <c r="G597" s="1" t="s">
        <v>2497</v>
      </c>
      <c r="H597" s="1">
        <f>_xlfn.XLOOKUP(DB07_baselinesequence[[#This Row],[basesequence-ID]],DB06_baseline[ID],DB06_baseline[確認済],FALSE,0)</f>
        <v>0</v>
      </c>
      <c r="J597" s="1" t="s">
        <v>2937</v>
      </c>
      <c r="K597" s="4"/>
      <c r="L597" s="3"/>
    </row>
    <row r="598" spans="1:12" x14ac:dyDescent="0.45">
      <c r="A598" s="1">
        <v>610</v>
      </c>
      <c r="B598" s="1" t="str">
        <f>"07-"&amp;LEFT(RIGHTB(REPT(0,4)&amp;_xlfn.BASE(DB07_baselinesequence[[#This Row],[num]],36),4),2)&amp;"-"&amp;RIGHT(RIGHTB(REPT(0,4)&amp;_xlfn.BASE(DB07_baselinesequence[[#This Row],[num]],36),4),2)</f>
        <v>07-00-GY</v>
      </c>
      <c r="C598" s="1" t="s">
        <v>2499</v>
      </c>
      <c r="F598" s="1" t="s">
        <v>2498</v>
      </c>
      <c r="G598" s="1" t="s">
        <v>2500</v>
      </c>
      <c r="H598" s="1">
        <f>_xlfn.XLOOKUP(DB07_baselinesequence[[#This Row],[basesequence-ID]],DB06_baseline[ID],DB06_baseline[確認済],FALSE,0)</f>
        <v>0</v>
      </c>
      <c r="J598" s="1" t="s">
        <v>2938</v>
      </c>
      <c r="K598" s="4"/>
      <c r="L598" s="3"/>
    </row>
    <row r="599" spans="1:12" x14ac:dyDescent="0.45">
      <c r="A599" s="1">
        <v>611</v>
      </c>
      <c r="B599" s="1" t="str">
        <f>"07-"&amp;LEFT(RIGHTB(REPT(0,4)&amp;_xlfn.BASE(DB07_baselinesequence[[#This Row],[num]],36),4),2)&amp;"-"&amp;RIGHT(RIGHTB(REPT(0,4)&amp;_xlfn.BASE(DB07_baselinesequence[[#This Row],[num]],36),4),2)</f>
        <v>07-00-GZ</v>
      </c>
      <c r="C599" s="1" t="s">
        <v>2502</v>
      </c>
      <c r="F599" s="1" t="s">
        <v>2501</v>
      </c>
      <c r="G599" s="1" t="s">
        <v>2503</v>
      </c>
      <c r="H599" s="1">
        <f>_xlfn.XLOOKUP(DB07_baselinesequence[[#This Row],[basesequence-ID]],DB06_baseline[ID],DB06_baseline[確認済],FALSE,0)</f>
        <v>0</v>
      </c>
      <c r="J599" s="1" t="s">
        <v>2939</v>
      </c>
      <c r="K599" s="4"/>
      <c r="L599" s="3"/>
    </row>
    <row r="600" spans="1:12" x14ac:dyDescent="0.45">
      <c r="A600" s="1">
        <v>612</v>
      </c>
      <c r="B600" s="1" t="str">
        <f>"07-"&amp;LEFT(RIGHTB(REPT(0,4)&amp;_xlfn.BASE(DB07_baselinesequence[[#This Row],[num]],36),4),2)&amp;"-"&amp;RIGHT(RIGHTB(REPT(0,4)&amp;_xlfn.BASE(DB07_baselinesequence[[#This Row],[num]],36),4),2)</f>
        <v>07-00-H0</v>
      </c>
      <c r="C600" s="1" t="s">
        <v>2505</v>
      </c>
      <c r="F600" s="1" t="s">
        <v>2504</v>
      </c>
      <c r="G600" s="1" t="s">
        <v>2506</v>
      </c>
      <c r="H600" s="1">
        <f>_xlfn.XLOOKUP(DB07_baselinesequence[[#This Row],[basesequence-ID]],DB06_baseline[ID],DB06_baseline[確認済],FALSE,0)</f>
        <v>0</v>
      </c>
      <c r="J600" s="1" t="s">
        <v>2940</v>
      </c>
      <c r="K600" s="4"/>
      <c r="L600" s="3"/>
    </row>
    <row r="601" spans="1:12" x14ac:dyDescent="0.45">
      <c r="A601" s="1">
        <v>613</v>
      </c>
      <c r="B601" s="1" t="str">
        <f>"07-"&amp;LEFT(RIGHTB(REPT(0,4)&amp;_xlfn.BASE(DB07_baselinesequence[[#This Row],[num]],36),4),2)&amp;"-"&amp;RIGHT(RIGHTB(REPT(0,4)&amp;_xlfn.BASE(DB07_baselinesequence[[#This Row],[num]],36),4),2)</f>
        <v>07-00-H1</v>
      </c>
      <c r="C601" s="1" t="s">
        <v>2508</v>
      </c>
      <c r="F601" s="1" t="s">
        <v>2507</v>
      </c>
      <c r="G601" s="1" t="s">
        <v>2509</v>
      </c>
      <c r="H601" s="1">
        <f>_xlfn.XLOOKUP(DB07_baselinesequence[[#This Row],[basesequence-ID]],DB06_baseline[ID],DB06_baseline[確認済],FALSE,0)</f>
        <v>0</v>
      </c>
      <c r="J601" s="1" t="s">
        <v>2941</v>
      </c>
      <c r="K601" s="4"/>
      <c r="L601" s="3"/>
    </row>
    <row r="602" spans="1:12" x14ac:dyDescent="0.45">
      <c r="A602" s="1">
        <v>614</v>
      </c>
      <c r="B602" s="1" t="str">
        <f>"07-"&amp;LEFT(RIGHTB(REPT(0,4)&amp;_xlfn.BASE(DB07_baselinesequence[[#This Row],[num]],36),4),2)&amp;"-"&amp;RIGHT(RIGHTB(REPT(0,4)&amp;_xlfn.BASE(DB07_baselinesequence[[#This Row],[num]],36),4),2)</f>
        <v>07-00-H2</v>
      </c>
      <c r="C602" s="1" t="s">
        <v>2511</v>
      </c>
      <c r="F602" s="1" t="s">
        <v>2510</v>
      </c>
      <c r="G602" s="1" t="s">
        <v>2512</v>
      </c>
      <c r="H602" s="1">
        <f>_xlfn.XLOOKUP(DB07_baselinesequence[[#This Row],[basesequence-ID]],DB06_baseline[ID],DB06_baseline[確認済],FALSE,0)</f>
        <v>0</v>
      </c>
      <c r="J602" s="1" t="s">
        <v>2942</v>
      </c>
      <c r="K602" s="4"/>
      <c r="L602" s="3"/>
    </row>
    <row r="603" spans="1:12" x14ac:dyDescent="0.45">
      <c r="A603" s="1">
        <v>615</v>
      </c>
      <c r="B603" s="1" t="str">
        <f>"07-"&amp;LEFT(RIGHTB(REPT(0,4)&amp;_xlfn.BASE(DB07_baselinesequence[[#This Row],[num]],36),4),2)&amp;"-"&amp;RIGHT(RIGHTB(REPT(0,4)&amp;_xlfn.BASE(DB07_baselinesequence[[#This Row],[num]],36),4),2)</f>
        <v>07-00-H3</v>
      </c>
      <c r="C603" s="1" t="s">
        <v>2514</v>
      </c>
      <c r="F603" s="1" t="s">
        <v>2513</v>
      </c>
      <c r="G603" s="1" t="s">
        <v>2515</v>
      </c>
      <c r="H603" s="1">
        <f>_xlfn.XLOOKUP(DB07_baselinesequence[[#This Row],[basesequence-ID]],DB06_baseline[ID],DB06_baseline[確認済],FALSE,0)</f>
        <v>0</v>
      </c>
      <c r="J603" s="1" t="s">
        <v>2943</v>
      </c>
      <c r="K603" s="4"/>
      <c r="L603" s="3"/>
    </row>
    <row r="604" spans="1:12" x14ac:dyDescent="0.45">
      <c r="A604" s="1">
        <v>616</v>
      </c>
      <c r="B604" s="1" t="str">
        <f>"07-"&amp;LEFT(RIGHTB(REPT(0,4)&amp;_xlfn.BASE(DB07_baselinesequence[[#This Row],[num]],36),4),2)&amp;"-"&amp;RIGHT(RIGHTB(REPT(0,4)&amp;_xlfn.BASE(DB07_baselinesequence[[#This Row],[num]],36),4),2)</f>
        <v>07-00-H4</v>
      </c>
      <c r="C604" s="1" t="s">
        <v>2517</v>
      </c>
      <c r="F604" s="1" t="s">
        <v>2516</v>
      </c>
      <c r="G604" s="1" t="s">
        <v>2518</v>
      </c>
      <c r="H604" s="1">
        <f>_xlfn.XLOOKUP(DB07_baselinesequence[[#This Row],[basesequence-ID]],DB06_baseline[ID],DB06_baseline[確認済],FALSE,0)</f>
        <v>0</v>
      </c>
      <c r="J604" s="1" t="s">
        <v>2944</v>
      </c>
      <c r="K604" s="4"/>
      <c r="L604" s="3"/>
    </row>
    <row r="605" spans="1:12" x14ac:dyDescent="0.45">
      <c r="A605" s="1">
        <v>617</v>
      </c>
      <c r="B605" s="1" t="str">
        <f>"07-"&amp;LEFT(RIGHTB(REPT(0,4)&amp;_xlfn.BASE(DB07_baselinesequence[[#This Row],[num]],36),4),2)&amp;"-"&amp;RIGHT(RIGHTB(REPT(0,4)&amp;_xlfn.BASE(DB07_baselinesequence[[#This Row],[num]],36),4),2)</f>
        <v>07-00-H5</v>
      </c>
      <c r="C605" s="1" t="s">
        <v>2520</v>
      </c>
      <c r="F605" s="1" t="s">
        <v>2519</v>
      </c>
      <c r="G605" s="1" t="s">
        <v>2521</v>
      </c>
      <c r="H605" s="1">
        <f>_xlfn.XLOOKUP(DB07_baselinesequence[[#This Row],[basesequence-ID]],DB06_baseline[ID],DB06_baseline[確認済],FALSE,0)</f>
        <v>0</v>
      </c>
      <c r="J605" s="1" t="s">
        <v>2945</v>
      </c>
      <c r="K605" s="4"/>
      <c r="L605" s="3"/>
    </row>
    <row r="606" spans="1:12" x14ac:dyDescent="0.45">
      <c r="A606" s="1">
        <v>618</v>
      </c>
      <c r="B606" s="1" t="str">
        <f>"07-"&amp;LEFT(RIGHTB(REPT(0,4)&amp;_xlfn.BASE(DB07_baselinesequence[[#This Row],[num]],36),4),2)&amp;"-"&amp;RIGHT(RIGHTB(REPT(0,4)&amp;_xlfn.BASE(DB07_baselinesequence[[#This Row],[num]],36),4),2)</f>
        <v>07-00-H6</v>
      </c>
      <c r="C606" s="1" t="s">
        <v>2523</v>
      </c>
      <c r="F606" s="1" t="s">
        <v>2522</v>
      </c>
      <c r="G606" s="1" t="s">
        <v>2524</v>
      </c>
      <c r="H606" s="1">
        <f>_xlfn.XLOOKUP(DB07_baselinesequence[[#This Row],[basesequence-ID]],DB06_baseline[ID],DB06_baseline[確認済],FALSE,0)</f>
        <v>0</v>
      </c>
      <c r="J606" s="1" t="s">
        <v>2946</v>
      </c>
      <c r="K606" s="4"/>
      <c r="L606" s="3"/>
    </row>
    <row r="607" spans="1:12" x14ac:dyDescent="0.45">
      <c r="A607" s="1">
        <v>619</v>
      </c>
      <c r="B607" s="1" t="str">
        <f>"07-"&amp;LEFT(RIGHTB(REPT(0,4)&amp;_xlfn.BASE(DB07_baselinesequence[[#This Row],[num]],36),4),2)&amp;"-"&amp;RIGHT(RIGHTB(REPT(0,4)&amp;_xlfn.BASE(DB07_baselinesequence[[#This Row],[num]],36),4),2)</f>
        <v>07-00-H7</v>
      </c>
      <c r="C607" s="1" t="s">
        <v>2526</v>
      </c>
      <c r="F607" s="1" t="s">
        <v>2525</v>
      </c>
      <c r="G607" s="1" t="s">
        <v>2527</v>
      </c>
      <c r="H607" s="1">
        <f>_xlfn.XLOOKUP(DB07_baselinesequence[[#This Row],[basesequence-ID]],DB06_baseline[ID],DB06_baseline[確認済],FALSE,0)</f>
        <v>0</v>
      </c>
      <c r="J607" s="1" t="s">
        <v>2947</v>
      </c>
      <c r="K607" s="4"/>
      <c r="L607" s="3"/>
    </row>
    <row r="608" spans="1:12" x14ac:dyDescent="0.45">
      <c r="A608" s="1">
        <v>620</v>
      </c>
      <c r="B608" s="1" t="str">
        <f>"07-"&amp;LEFT(RIGHTB(REPT(0,4)&amp;_xlfn.BASE(DB07_baselinesequence[[#This Row],[num]],36),4),2)&amp;"-"&amp;RIGHT(RIGHTB(REPT(0,4)&amp;_xlfn.BASE(DB07_baselinesequence[[#This Row],[num]],36),4),2)</f>
        <v>07-00-H8</v>
      </c>
      <c r="C608" s="1" t="s">
        <v>2529</v>
      </c>
      <c r="F608" s="1" t="s">
        <v>2528</v>
      </c>
      <c r="G608" s="1" t="s">
        <v>2530</v>
      </c>
      <c r="H608" s="1">
        <f>_xlfn.XLOOKUP(DB07_baselinesequence[[#This Row],[basesequence-ID]],DB06_baseline[ID],DB06_baseline[確認済],FALSE,0)</f>
        <v>0</v>
      </c>
      <c r="J608" s="1" t="s">
        <v>2948</v>
      </c>
      <c r="K608" s="4"/>
      <c r="L608" s="3"/>
    </row>
    <row r="609" spans="1:12" x14ac:dyDescent="0.45">
      <c r="A609" s="1">
        <v>621</v>
      </c>
      <c r="B609" s="1" t="str">
        <f>"07-"&amp;LEFT(RIGHTB(REPT(0,4)&amp;_xlfn.BASE(DB07_baselinesequence[[#This Row],[num]],36),4),2)&amp;"-"&amp;RIGHT(RIGHTB(REPT(0,4)&amp;_xlfn.BASE(DB07_baselinesequence[[#This Row],[num]],36),4),2)</f>
        <v>07-00-H9</v>
      </c>
      <c r="C609" s="1" t="s">
        <v>2532</v>
      </c>
      <c r="F609" s="1" t="s">
        <v>2531</v>
      </c>
      <c r="G609" s="1" t="s">
        <v>2533</v>
      </c>
      <c r="H609" s="1">
        <f>_xlfn.XLOOKUP(DB07_baselinesequence[[#This Row],[basesequence-ID]],DB06_baseline[ID],DB06_baseline[確認済],FALSE,0)</f>
        <v>0</v>
      </c>
      <c r="J609" s="1" t="s">
        <v>2949</v>
      </c>
      <c r="K609" s="4"/>
      <c r="L609" s="3"/>
    </row>
    <row r="610" spans="1:12" x14ac:dyDescent="0.45">
      <c r="A610" s="1">
        <v>622</v>
      </c>
      <c r="B610" s="1" t="str">
        <f>"07-"&amp;LEFT(RIGHTB(REPT(0,4)&amp;_xlfn.BASE(DB07_baselinesequence[[#This Row],[num]],36),4),2)&amp;"-"&amp;RIGHT(RIGHTB(REPT(0,4)&amp;_xlfn.BASE(DB07_baselinesequence[[#This Row],[num]],36),4),2)</f>
        <v>07-00-HA</v>
      </c>
      <c r="C610" s="1" t="s">
        <v>2535</v>
      </c>
      <c r="F610" s="1" t="s">
        <v>2534</v>
      </c>
      <c r="G610" s="1" t="s">
        <v>2536</v>
      </c>
      <c r="H610" s="1">
        <f>_xlfn.XLOOKUP(DB07_baselinesequence[[#This Row],[basesequence-ID]],DB06_baseline[ID],DB06_baseline[確認済],FALSE,0)</f>
        <v>0</v>
      </c>
      <c r="J610" s="1" t="s">
        <v>2950</v>
      </c>
      <c r="K610" s="4"/>
      <c r="L610" s="3"/>
    </row>
    <row r="611" spans="1:12" x14ac:dyDescent="0.45">
      <c r="A611" s="1">
        <v>623</v>
      </c>
      <c r="B611" s="1" t="str">
        <f>"07-"&amp;LEFT(RIGHTB(REPT(0,4)&amp;_xlfn.BASE(DB07_baselinesequence[[#This Row],[num]],36),4),2)&amp;"-"&amp;RIGHT(RIGHTB(REPT(0,4)&amp;_xlfn.BASE(DB07_baselinesequence[[#This Row],[num]],36),4),2)</f>
        <v>07-00-HB</v>
      </c>
      <c r="C611" s="1" t="s">
        <v>2538</v>
      </c>
      <c r="F611" s="1" t="s">
        <v>2537</v>
      </c>
      <c r="G611" s="1" t="s">
        <v>2539</v>
      </c>
      <c r="H611" s="1">
        <f>_xlfn.XLOOKUP(DB07_baselinesequence[[#This Row],[basesequence-ID]],DB06_baseline[ID],DB06_baseline[確認済],FALSE,0)</f>
        <v>0</v>
      </c>
      <c r="J611" s="1" t="s">
        <v>2951</v>
      </c>
      <c r="K611" s="4"/>
      <c r="L611" s="3"/>
    </row>
    <row r="612" spans="1:12" x14ac:dyDescent="0.45">
      <c r="A612" s="1">
        <v>624</v>
      </c>
      <c r="B612" s="1" t="str">
        <f>"07-"&amp;LEFT(RIGHTB(REPT(0,4)&amp;_xlfn.BASE(DB07_baselinesequence[[#This Row],[num]],36),4),2)&amp;"-"&amp;RIGHT(RIGHTB(REPT(0,4)&amp;_xlfn.BASE(DB07_baselinesequence[[#This Row],[num]],36),4),2)</f>
        <v>07-00-HC</v>
      </c>
      <c r="C612" s="1" t="s">
        <v>2541</v>
      </c>
      <c r="F612" s="1" t="s">
        <v>2540</v>
      </c>
      <c r="G612" s="1" t="s">
        <v>2542</v>
      </c>
      <c r="H612" s="1">
        <f>_xlfn.XLOOKUP(DB07_baselinesequence[[#This Row],[basesequence-ID]],DB06_baseline[ID],DB06_baseline[確認済],FALSE,0)</f>
        <v>0</v>
      </c>
      <c r="J612" s="1" t="s">
        <v>2952</v>
      </c>
      <c r="K612" s="4"/>
      <c r="L612" s="3"/>
    </row>
    <row r="613" spans="1:12" x14ac:dyDescent="0.45">
      <c r="A613" s="1">
        <v>625</v>
      </c>
      <c r="B613" s="1" t="str">
        <f>"07-"&amp;LEFT(RIGHTB(REPT(0,4)&amp;_xlfn.BASE(DB07_baselinesequence[[#This Row],[num]],36),4),2)&amp;"-"&amp;RIGHT(RIGHTB(REPT(0,4)&amp;_xlfn.BASE(DB07_baselinesequence[[#This Row],[num]],36),4),2)</f>
        <v>07-00-HD</v>
      </c>
      <c r="C613" s="1" t="s">
        <v>2544</v>
      </c>
      <c r="F613" s="1" t="s">
        <v>2543</v>
      </c>
      <c r="G613" s="1" t="s">
        <v>2545</v>
      </c>
      <c r="H613" s="1">
        <f>_xlfn.XLOOKUP(DB07_baselinesequence[[#This Row],[basesequence-ID]],DB06_baseline[ID],DB06_baseline[確認済],FALSE,0)</f>
        <v>0</v>
      </c>
      <c r="J613" s="1" t="s">
        <v>2953</v>
      </c>
      <c r="K613" s="4"/>
      <c r="L613" s="3"/>
    </row>
    <row r="614" spans="1:12" x14ac:dyDescent="0.45">
      <c r="A614" s="1">
        <v>626</v>
      </c>
      <c r="B614" s="1" t="str">
        <f>"07-"&amp;LEFT(RIGHTB(REPT(0,4)&amp;_xlfn.BASE(DB07_baselinesequence[[#This Row],[num]],36),4),2)&amp;"-"&amp;RIGHT(RIGHTB(REPT(0,4)&amp;_xlfn.BASE(DB07_baselinesequence[[#This Row],[num]],36),4),2)</f>
        <v>07-00-HE</v>
      </c>
      <c r="C614" s="1" t="s">
        <v>2547</v>
      </c>
      <c r="F614" s="1" t="s">
        <v>2546</v>
      </c>
      <c r="G614" s="1" t="s">
        <v>2548</v>
      </c>
      <c r="H614" s="1">
        <f>_xlfn.XLOOKUP(DB07_baselinesequence[[#This Row],[basesequence-ID]],DB06_baseline[ID],DB06_baseline[確認済],FALSE,0)</f>
        <v>0</v>
      </c>
      <c r="J614" s="1" t="s">
        <v>2954</v>
      </c>
      <c r="K614" s="4"/>
      <c r="L614" s="3"/>
    </row>
    <row r="615" spans="1:12" x14ac:dyDescent="0.45">
      <c r="A615" s="1">
        <v>627</v>
      </c>
      <c r="B615" s="1" t="str">
        <f>"07-"&amp;LEFT(RIGHTB(REPT(0,4)&amp;_xlfn.BASE(DB07_baselinesequence[[#This Row],[num]],36),4),2)&amp;"-"&amp;RIGHT(RIGHTB(REPT(0,4)&amp;_xlfn.BASE(DB07_baselinesequence[[#This Row],[num]],36),4),2)</f>
        <v>07-00-HF</v>
      </c>
      <c r="C615" s="1" t="s">
        <v>2550</v>
      </c>
      <c r="F615" s="1" t="s">
        <v>2549</v>
      </c>
      <c r="G615" s="1" t="s">
        <v>2551</v>
      </c>
      <c r="H615" s="1">
        <f>_xlfn.XLOOKUP(DB07_baselinesequence[[#This Row],[basesequence-ID]],DB06_baseline[ID],DB06_baseline[確認済],FALSE,0)</f>
        <v>0</v>
      </c>
      <c r="J615" s="1" t="s">
        <v>2955</v>
      </c>
      <c r="K615" s="4"/>
      <c r="L615" s="3"/>
    </row>
    <row r="616" spans="1:12" x14ac:dyDescent="0.45">
      <c r="A616" s="1">
        <v>628</v>
      </c>
      <c r="B616" s="1" t="str">
        <f>"07-"&amp;LEFT(RIGHTB(REPT(0,4)&amp;_xlfn.BASE(DB07_baselinesequence[[#This Row],[num]],36),4),2)&amp;"-"&amp;RIGHT(RIGHTB(REPT(0,4)&amp;_xlfn.BASE(DB07_baselinesequence[[#This Row],[num]],36),4),2)</f>
        <v>07-00-HG</v>
      </c>
      <c r="C616" s="1" t="s">
        <v>2553</v>
      </c>
      <c r="F616" s="1" t="s">
        <v>2552</v>
      </c>
      <c r="G616" s="1" t="s">
        <v>2554</v>
      </c>
      <c r="H616" s="1">
        <f>_xlfn.XLOOKUP(DB07_baselinesequence[[#This Row],[basesequence-ID]],DB06_baseline[ID],DB06_baseline[確認済],FALSE,0)</f>
        <v>0</v>
      </c>
      <c r="J616" s="1" t="s">
        <v>2956</v>
      </c>
      <c r="K616" s="4"/>
      <c r="L616" s="3"/>
    </row>
    <row r="617" spans="1:12" x14ac:dyDescent="0.45">
      <c r="A617" s="1">
        <v>629</v>
      </c>
      <c r="B617" s="1" t="str">
        <f>"07-"&amp;LEFT(RIGHTB(REPT(0,4)&amp;_xlfn.BASE(DB07_baselinesequence[[#This Row],[num]],36),4),2)&amp;"-"&amp;RIGHT(RIGHTB(REPT(0,4)&amp;_xlfn.BASE(DB07_baselinesequence[[#This Row],[num]],36),4),2)</f>
        <v>07-00-HH</v>
      </c>
      <c r="C617" s="1" t="s">
        <v>2556</v>
      </c>
      <c r="F617" s="1" t="s">
        <v>2555</v>
      </c>
      <c r="G617" s="1" t="s">
        <v>2557</v>
      </c>
      <c r="H617" s="1">
        <f>_xlfn.XLOOKUP(DB07_baselinesequence[[#This Row],[basesequence-ID]],DB06_baseline[ID],DB06_baseline[確認済],FALSE,0)</f>
        <v>0</v>
      </c>
      <c r="J617" s="1" t="s">
        <v>2957</v>
      </c>
      <c r="K617" s="4"/>
      <c r="L617" s="3"/>
    </row>
    <row r="618" spans="1:12" x14ac:dyDescent="0.45">
      <c r="A618" s="1">
        <v>630</v>
      </c>
      <c r="B618" s="1" t="str">
        <f>"07-"&amp;LEFT(RIGHTB(REPT(0,4)&amp;_xlfn.BASE(DB07_baselinesequence[[#This Row],[num]],36),4),2)&amp;"-"&amp;RIGHT(RIGHTB(REPT(0,4)&amp;_xlfn.BASE(DB07_baselinesequence[[#This Row],[num]],36),4),2)</f>
        <v>07-00-HI</v>
      </c>
      <c r="C618" s="1" t="s">
        <v>2559</v>
      </c>
      <c r="F618" s="1" t="s">
        <v>2558</v>
      </c>
      <c r="G618" s="1" t="s">
        <v>2560</v>
      </c>
      <c r="H618" s="1">
        <f>_xlfn.XLOOKUP(DB07_baselinesequence[[#This Row],[basesequence-ID]],DB06_baseline[ID],DB06_baseline[確認済],FALSE,0)</f>
        <v>0</v>
      </c>
      <c r="J618" s="1" t="s">
        <v>2958</v>
      </c>
      <c r="K618" s="4"/>
      <c r="L618" s="3"/>
    </row>
    <row r="619" spans="1:12" x14ac:dyDescent="0.45">
      <c r="A619" s="1">
        <v>631</v>
      </c>
      <c r="B619" s="1" t="str">
        <f>"07-"&amp;LEFT(RIGHTB(REPT(0,4)&amp;_xlfn.BASE(DB07_baselinesequence[[#This Row],[num]],36),4),2)&amp;"-"&amp;RIGHT(RIGHTB(REPT(0,4)&amp;_xlfn.BASE(DB07_baselinesequence[[#This Row],[num]],36),4),2)</f>
        <v>07-00-HJ</v>
      </c>
      <c r="C619" s="1" t="s">
        <v>2562</v>
      </c>
      <c r="F619" s="1" t="s">
        <v>2561</v>
      </c>
      <c r="G619" s="1" t="s">
        <v>2563</v>
      </c>
      <c r="H619" s="1">
        <f>_xlfn.XLOOKUP(DB07_baselinesequence[[#This Row],[basesequence-ID]],DB06_baseline[ID],DB06_baseline[確認済],FALSE,0)</f>
        <v>0</v>
      </c>
      <c r="J619" s="1" t="s">
        <v>2959</v>
      </c>
      <c r="K619" s="4"/>
      <c r="L619" s="3"/>
    </row>
    <row r="620" spans="1:12" x14ac:dyDescent="0.45">
      <c r="A620" s="1">
        <v>632</v>
      </c>
      <c r="B620" s="1" t="str">
        <f>"07-"&amp;LEFT(RIGHTB(REPT(0,4)&amp;_xlfn.BASE(DB07_baselinesequence[[#This Row],[num]],36),4),2)&amp;"-"&amp;RIGHT(RIGHTB(REPT(0,4)&amp;_xlfn.BASE(DB07_baselinesequence[[#This Row],[num]],36),4),2)</f>
        <v>07-00-HK</v>
      </c>
      <c r="C620" s="1" t="s">
        <v>2565</v>
      </c>
      <c r="F620" s="1" t="s">
        <v>2564</v>
      </c>
      <c r="G620" s="1" t="s">
        <v>2566</v>
      </c>
      <c r="H620" s="1">
        <f>_xlfn.XLOOKUP(DB07_baselinesequence[[#This Row],[basesequence-ID]],DB06_baseline[ID],DB06_baseline[確認済],FALSE,0)</f>
        <v>0</v>
      </c>
      <c r="J620" s="1" t="s">
        <v>2960</v>
      </c>
      <c r="K620" s="4"/>
      <c r="L620" s="3"/>
    </row>
    <row r="621" spans="1:12" x14ac:dyDescent="0.45">
      <c r="A621" s="1">
        <v>633</v>
      </c>
      <c r="B621" s="1" t="str">
        <f>"07-"&amp;LEFT(RIGHTB(REPT(0,4)&amp;_xlfn.BASE(DB07_baselinesequence[[#This Row],[num]],36),4),2)&amp;"-"&amp;RIGHT(RIGHTB(REPT(0,4)&amp;_xlfn.BASE(DB07_baselinesequence[[#This Row],[num]],36),4),2)</f>
        <v>07-00-HL</v>
      </c>
      <c r="C621" s="1" t="s">
        <v>2568</v>
      </c>
      <c r="F621" s="1" t="s">
        <v>2567</v>
      </c>
      <c r="G621" s="1" t="s">
        <v>2569</v>
      </c>
      <c r="H621" s="1">
        <f>_xlfn.XLOOKUP(DB07_baselinesequence[[#This Row],[basesequence-ID]],DB06_baseline[ID],DB06_baseline[確認済],FALSE,0)</f>
        <v>0</v>
      </c>
      <c r="J621" s="1" t="s">
        <v>2961</v>
      </c>
      <c r="K621" s="4"/>
      <c r="L621" s="3"/>
    </row>
    <row r="622" spans="1:12" x14ac:dyDescent="0.45">
      <c r="A622" s="1">
        <v>634</v>
      </c>
      <c r="B622" s="1" t="str">
        <f>"07-"&amp;LEFT(RIGHTB(REPT(0,4)&amp;_xlfn.BASE(DB07_baselinesequence[[#This Row],[num]],36),4),2)&amp;"-"&amp;RIGHT(RIGHTB(REPT(0,4)&amp;_xlfn.BASE(DB07_baselinesequence[[#This Row],[num]],36),4),2)</f>
        <v>07-00-HM</v>
      </c>
      <c r="C622" s="1" t="s">
        <v>2571</v>
      </c>
      <c r="F622" s="1" t="s">
        <v>2570</v>
      </c>
      <c r="G622" s="1" t="s">
        <v>2572</v>
      </c>
      <c r="H622" s="1">
        <f>_xlfn.XLOOKUP(DB07_baselinesequence[[#This Row],[basesequence-ID]],DB06_baseline[ID],DB06_baseline[確認済],FALSE,0)</f>
        <v>0</v>
      </c>
      <c r="J622" s="1" t="s">
        <v>2962</v>
      </c>
      <c r="K622" s="4"/>
      <c r="L622" s="3"/>
    </row>
    <row r="623" spans="1:12" x14ac:dyDescent="0.45">
      <c r="A623" s="1">
        <v>635</v>
      </c>
      <c r="B623" s="1" t="str">
        <f>"07-"&amp;LEFT(RIGHTB(REPT(0,4)&amp;_xlfn.BASE(DB07_baselinesequence[[#This Row],[num]],36),4),2)&amp;"-"&amp;RIGHT(RIGHTB(REPT(0,4)&amp;_xlfn.BASE(DB07_baselinesequence[[#This Row],[num]],36),4),2)</f>
        <v>07-00-HN</v>
      </c>
      <c r="C623" s="1" t="s">
        <v>2574</v>
      </c>
      <c r="F623" s="1" t="s">
        <v>2573</v>
      </c>
      <c r="G623" s="1" t="s">
        <v>2575</v>
      </c>
      <c r="H623" s="1">
        <f>_xlfn.XLOOKUP(DB07_baselinesequence[[#This Row],[basesequence-ID]],DB06_baseline[ID],DB06_baseline[確認済],FALSE,0)</f>
        <v>0</v>
      </c>
      <c r="J623" s="1" t="s">
        <v>2963</v>
      </c>
      <c r="K623" s="4"/>
      <c r="L623" s="3"/>
    </row>
    <row r="624" spans="1:12" x14ac:dyDescent="0.45">
      <c r="A624" s="1">
        <v>636</v>
      </c>
      <c r="B624" s="1" t="str">
        <f>"07-"&amp;LEFT(RIGHTB(REPT(0,4)&amp;_xlfn.BASE(DB07_baselinesequence[[#This Row],[num]],36),4),2)&amp;"-"&amp;RIGHT(RIGHTB(REPT(0,4)&amp;_xlfn.BASE(DB07_baselinesequence[[#This Row],[num]],36),4),2)</f>
        <v>07-00-HO</v>
      </c>
      <c r="C624" s="1" t="s">
        <v>2577</v>
      </c>
      <c r="F624" s="1" t="s">
        <v>2576</v>
      </c>
      <c r="G624" s="1" t="s">
        <v>2578</v>
      </c>
      <c r="H624" s="1">
        <f>_xlfn.XLOOKUP(DB07_baselinesequence[[#This Row],[basesequence-ID]],DB06_baseline[ID],DB06_baseline[確認済],FALSE,0)</f>
        <v>0</v>
      </c>
      <c r="J624" s="1" t="s">
        <v>2964</v>
      </c>
      <c r="K624" s="4"/>
      <c r="L624" s="3"/>
    </row>
    <row r="625" spans="1:12" x14ac:dyDescent="0.45">
      <c r="A625" s="1">
        <v>637</v>
      </c>
      <c r="B625" s="1" t="str">
        <f>"07-"&amp;LEFT(RIGHTB(REPT(0,4)&amp;_xlfn.BASE(DB07_baselinesequence[[#This Row],[num]],36),4),2)&amp;"-"&amp;RIGHT(RIGHTB(REPT(0,4)&amp;_xlfn.BASE(DB07_baselinesequence[[#This Row],[num]],36),4),2)</f>
        <v>07-00-HP</v>
      </c>
      <c r="C625" s="1" t="s">
        <v>2580</v>
      </c>
      <c r="F625" s="1" t="s">
        <v>2579</v>
      </c>
      <c r="G625" s="1" t="s">
        <v>2581</v>
      </c>
      <c r="H625" s="1">
        <f>_xlfn.XLOOKUP(DB07_baselinesequence[[#This Row],[basesequence-ID]],DB06_baseline[ID],DB06_baseline[確認済],FALSE,0)</f>
        <v>0</v>
      </c>
      <c r="J625" s="1" t="s">
        <v>2965</v>
      </c>
      <c r="K625" s="4"/>
      <c r="L625" s="3"/>
    </row>
    <row r="626" spans="1:12" x14ac:dyDescent="0.45">
      <c r="A626" s="1">
        <v>638</v>
      </c>
      <c r="B626" s="1" t="str">
        <f>"07-"&amp;LEFT(RIGHTB(REPT(0,4)&amp;_xlfn.BASE(DB07_baselinesequence[[#This Row],[num]],36),4),2)&amp;"-"&amp;RIGHT(RIGHTB(REPT(0,4)&amp;_xlfn.BASE(DB07_baselinesequence[[#This Row],[num]],36),4),2)</f>
        <v>07-00-HQ</v>
      </c>
      <c r="C626" s="1" t="s">
        <v>2583</v>
      </c>
      <c r="F626" s="1" t="s">
        <v>2582</v>
      </c>
      <c r="G626" s="1" t="s">
        <v>2584</v>
      </c>
      <c r="H626" s="1">
        <f>_xlfn.XLOOKUP(DB07_baselinesequence[[#This Row],[basesequence-ID]],DB06_baseline[ID],DB06_baseline[確認済],FALSE,0)</f>
        <v>0</v>
      </c>
      <c r="J626" s="1" t="s">
        <v>2966</v>
      </c>
      <c r="K626" s="4"/>
      <c r="L626" s="3"/>
    </row>
    <row r="627" spans="1:12" x14ac:dyDescent="0.45">
      <c r="A627" s="1">
        <v>639</v>
      </c>
      <c r="B627" s="1" t="str">
        <f>"07-"&amp;LEFT(RIGHTB(REPT(0,4)&amp;_xlfn.BASE(DB07_baselinesequence[[#This Row],[num]],36),4),2)&amp;"-"&amp;RIGHT(RIGHTB(REPT(0,4)&amp;_xlfn.BASE(DB07_baselinesequence[[#This Row],[num]],36),4),2)</f>
        <v>07-00-HR</v>
      </c>
      <c r="C627" s="1" t="s">
        <v>2586</v>
      </c>
      <c r="F627" s="1" t="s">
        <v>2585</v>
      </c>
      <c r="G627" s="1" t="s">
        <v>2587</v>
      </c>
      <c r="H627" s="1">
        <f>_xlfn.XLOOKUP(DB07_baselinesequence[[#This Row],[basesequence-ID]],DB06_baseline[ID],DB06_baseline[確認済],FALSE,0)</f>
        <v>0</v>
      </c>
      <c r="J627" s="1" t="s">
        <v>2967</v>
      </c>
      <c r="K627" s="4"/>
      <c r="L627" s="3"/>
    </row>
    <row r="628" spans="1:12" x14ac:dyDescent="0.45">
      <c r="A628" s="1">
        <v>640</v>
      </c>
      <c r="B628" s="1" t="str">
        <f>"07-"&amp;LEFT(RIGHTB(REPT(0,4)&amp;_xlfn.BASE(DB07_baselinesequence[[#This Row],[num]],36),4),2)&amp;"-"&amp;RIGHT(RIGHTB(REPT(0,4)&amp;_xlfn.BASE(DB07_baselinesequence[[#This Row],[num]],36),4),2)</f>
        <v>07-00-HS</v>
      </c>
      <c r="C628" s="1" t="s">
        <v>2589</v>
      </c>
      <c r="F628" s="1" t="s">
        <v>2588</v>
      </c>
      <c r="G628" s="1" t="s">
        <v>2590</v>
      </c>
      <c r="H628" s="1">
        <f>_xlfn.XLOOKUP(DB07_baselinesequence[[#This Row],[basesequence-ID]],DB06_baseline[ID],DB06_baseline[確認済],FALSE,0)</f>
        <v>0</v>
      </c>
      <c r="J628" s="1" t="s">
        <v>2968</v>
      </c>
      <c r="K628" s="4"/>
      <c r="L628" s="3"/>
    </row>
    <row r="629" spans="1:12" x14ac:dyDescent="0.45">
      <c r="A629" s="1">
        <v>641</v>
      </c>
      <c r="B629" s="1" t="str">
        <f>"07-"&amp;LEFT(RIGHTB(REPT(0,4)&amp;_xlfn.BASE(DB07_baselinesequence[[#This Row],[num]],36),4),2)&amp;"-"&amp;RIGHT(RIGHTB(REPT(0,4)&amp;_xlfn.BASE(DB07_baselinesequence[[#This Row],[num]],36),4),2)</f>
        <v>07-00-HT</v>
      </c>
      <c r="C629" s="1" t="s">
        <v>2592</v>
      </c>
      <c r="F629" s="1" t="s">
        <v>2591</v>
      </c>
      <c r="G629" s="1" t="s">
        <v>2593</v>
      </c>
      <c r="H629" s="1">
        <f>_xlfn.XLOOKUP(DB07_baselinesequence[[#This Row],[basesequence-ID]],DB06_baseline[ID],DB06_baseline[確認済],FALSE,0)</f>
        <v>0</v>
      </c>
      <c r="J629" s="1" t="s">
        <v>2969</v>
      </c>
      <c r="K629" s="4"/>
      <c r="L629" s="3"/>
    </row>
    <row r="630" spans="1:12" x14ac:dyDescent="0.45">
      <c r="A630" s="1">
        <v>642</v>
      </c>
      <c r="B630" s="1" t="str">
        <f>"07-"&amp;LEFT(RIGHTB(REPT(0,4)&amp;_xlfn.BASE(DB07_baselinesequence[[#This Row],[num]],36),4),2)&amp;"-"&amp;RIGHT(RIGHTB(REPT(0,4)&amp;_xlfn.BASE(DB07_baselinesequence[[#This Row],[num]],36),4),2)</f>
        <v>07-00-HU</v>
      </c>
      <c r="C630" s="1" t="s">
        <v>2595</v>
      </c>
      <c r="F630" s="1" t="s">
        <v>2594</v>
      </c>
      <c r="G630" s="1" t="s">
        <v>2596</v>
      </c>
      <c r="H630" s="1">
        <f>_xlfn.XLOOKUP(DB07_baselinesequence[[#This Row],[basesequence-ID]],DB06_baseline[ID],DB06_baseline[確認済],FALSE,0)</f>
        <v>0</v>
      </c>
      <c r="J630" s="1" t="s">
        <v>2970</v>
      </c>
      <c r="K630" s="4"/>
      <c r="L630" s="3"/>
    </row>
    <row r="631" spans="1:12" x14ac:dyDescent="0.45">
      <c r="A631" s="1">
        <v>643</v>
      </c>
      <c r="B631" s="1" t="str">
        <f>"07-"&amp;LEFT(RIGHTB(REPT(0,4)&amp;_xlfn.BASE(DB07_baselinesequence[[#This Row],[num]],36),4),2)&amp;"-"&amp;RIGHT(RIGHTB(REPT(0,4)&amp;_xlfn.BASE(DB07_baselinesequence[[#This Row],[num]],36),4),2)</f>
        <v>07-00-HV</v>
      </c>
      <c r="C631" s="1" t="s">
        <v>2598</v>
      </c>
      <c r="F631" s="1" t="s">
        <v>2597</v>
      </c>
      <c r="G631" s="1" t="s">
        <v>2599</v>
      </c>
      <c r="H631" s="1">
        <f>_xlfn.XLOOKUP(DB07_baselinesequence[[#This Row],[basesequence-ID]],DB06_baseline[ID],DB06_baseline[確認済],FALSE,0)</f>
        <v>0</v>
      </c>
      <c r="J631" s="1" t="s">
        <v>2971</v>
      </c>
      <c r="K631" s="4"/>
      <c r="L631" s="3"/>
    </row>
    <row r="632" spans="1:12" x14ac:dyDescent="0.45">
      <c r="A632" s="1">
        <v>644</v>
      </c>
      <c r="B632" s="1" t="str">
        <f>"07-"&amp;LEFT(RIGHTB(REPT(0,4)&amp;_xlfn.BASE(DB07_baselinesequence[[#This Row],[num]],36),4),2)&amp;"-"&amp;RIGHT(RIGHTB(REPT(0,4)&amp;_xlfn.BASE(DB07_baselinesequence[[#This Row],[num]],36),4),2)</f>
        <v>07-00-HW</v>
      </c>
      <c r="C632" s="1" t="s">
        <v>2601</v>
      </c>
      <c r="F632" s="1" t="s">
        <v>2600</v>
      </c>
      <c r="G632" s="1" t="s">
        <v>2602</v>
      </c>
      <c r="H632" s="1">
        <f>_xlfn.XLOOKUP(DB07_baselinesequence[[#This Row],[basesequence-ID]],DB06_baseline[ID],DB06_baseline[確認済],FALSE,0)</f>
        <v>0</v>
      </c>
      <c r="J632" s="1" t="s">
        <v>2972</v>
      </c>
      <c r="K632" s="4"/>
      <c r="L632" s="3"/>
    </row>
    <row r="633" spans="1:12" x14ac:dyDescent="0.45">
      <c r="A633" s="1">
        <v>645</v>
      </c>
      <c r="B633" s="1" t="str">
        <f>"07-"&amp;LEFT(RIGHTB(REPT(0,4)&amp;_xlfn.BASE(DB07_baselinesequence[[#This Row],[num]],36),4),2)&amp;"-"&amp;RIGHT(RIGHTB(REPT(0,4)&amp;_xlfn.BASE(DB07_baselinesequence[[#This Row],[num]],36),4),2)</f>
        <v>07-00-HX</v>
      </c>
      <c r="C633" s="1" t="s">
        <v>2604</v>
      </c>
      <c r="F633" s="1" t="s">
        <v>2603</v>
      </c>
      <c r="G633" s="1" t="s">
        <v>2605</v>
      </c>
      <c r="H633" s="1">
        <f>_xlfn.XLOOKUP(DB07_baselinesequence[[#This Row],[basesequence-ID]],DB06_baseline[ID],DB06_baseline[確認済],FALSE,0)</f>
        <v>0</v>
      </c>
      <c r="J633" s="1" t="s">
        <v>2973</v>
      </c>
      <c r="K633" s="4"/>
      <c r="L633" s="3"/>
    </row>
    <row r="634" spans="1:12" x14ac:dyDescent="0.45">
      <c r="A634" s="1">
        <v>646</v>
      </c>
      <c r="B634" s="1" t="str">
        <f>"07-"&amp;LEFT(RIGHTB(REPT(0,4)&amp;_xlfn.BASE(DB07_baselinesequence[[#This Row],[num]],36),4),2)&amp;"-"&amp;RIGHT(RIGHTB(REPT(0,4)&amp;_xlfn.BASE(DB07_baselinesequence[[#This Row],[num]],36),4),2)</f>
        <v>07-00-HY</v>
      </c>
      <c r="C634" s="1" t="s">
        <v>2607</v>
      </c>
      <c r="F634" s="1" t="s">
        <v>2606</v>
      </c>
      <c r="G634" s="1" t="s">
        <v>2608</v>
      </c>
      <c r="H634" s="1">
        <f>_xlfn.XLOOKUP(DB07_baselinesequence[[#This Row],[basesequence-ID]],DB06_baseline[ID],DB06_baseline[確認済],FALSE,0)</f>
        <v>0</v>
      </c>
      <c r="J634" s="1" t="s">
        <v>2974</v>
      </c>
      <c r="K634" s="4"/>
      <c r="L634" s="3"/>
    </row>
    <row r="635" spans="1:12" x14ac:dyDescent="0.45">
      <c r="A635" s="1">
        <v>647</v>
      </c>
      <c r="B635" s="1" t="str">
        <f>"07-"&amp;LEFT(RIGHTB(REPT(0,4)&amp;_xlfn.BASE(DB07_baselinesequence[[#This Row],[num]],36),4),2)&amp;"-"&amp;RIGHT(RIGHTB(REPT(0,4)&amp;_xlfn.BASE(DB07_baselinesequence[[#This Row],[num]],36),4),2)</f>
        <v>07-00-HZ</v>
      </c>
      <c r="C635" s="1" t="s">
        <v>2610</v>
      </c>
      <c r="F635" s="1" t="s">
        <v>2609</v>
      </c>
      <c r="G635" s="1" t="s">
        <v>2611</v>
      </c>
      <c r="H635" s="1">
        <f>_xlfn.XLOOKUP(DB07_baselinesequence[[#This Row],[basesequence-ID]],DB06_baseline[ID],DB06_baseline[確認済],FALSE,0)</f>
        <v>0</v>
      </c>
      <c r="J635" s="1" t="s">
        <v>2975</v>
      </c>
      <c r="K635" s="4"/>
      <c r="L635" s="3"/>
    </row>
    <row r="636" spans="1:12" x14ac:dyDescent="0.45">
      <c r="A636" s="1">
        <v>648</v>
      </c>
      <c r="B636" s="1" t="str">
        <f>"07-"&amp;LEFT(RIGHTB(REPT(0,4)&amp;_xlfn.BASE(DB07_baselinesequence[[#This Row],[num]],36),4),2)&amp;"-"&amp;RIGHT(RIGHTB(REPT(0,4)&amp;_xlfn.BASE(DB07_baselinesequence[[#This Row],[num]],36),4),2)</f>
        <v>07-00-I0</v>
      </c>
      <c r="C636" s="1" t="s">
        <v>2613</v>
      </c>
      <c r="F636" s="1" t="s">
        <v>2612</v>
      </c>
      <c r="G636" s="1" t="s">
        <v>2614</v>
      </c>
      <c r="H636" s="1">
        <f>_xlfn.XLOOKUP(DB07_baselinesequence[[#This Row],[basesequence-ID]],DB06_baseline[ID],DB06_baseline[確認済],FALSE,0)</f>
        <v>0</v>
      </c>
      <c r="J636" s="1" t="s">
        <v>2976</v>
      </c>
      <c r="K636" s="4"/>
      <c r="L636" s="3"/>
    </row>
    <row r="637" spans="1:12" x14ac:dyDescent="0.45">
      <c r="A637" s="1">
        <v>649</v>
      </c>
      <c r="B637" s="1" t="str">
        <f>"07-"&amp;LEFT(RIGHTB(REPT(0,4)&amp;_xlfn.BASE(DB07_baselinesequence[[#This Row],[num]],36),4),2)&amp;"-"&amp;RIGHT(RIGHTB(REPT(0,4)&amp;_xlfn.BASE(DB07_baselinesequence[[#This Row],[num]],36),4),2)</f>
        <v>07-00-I1</v>
      </c>
      <c r="C637" s="1" t="s">
        <v>2616</v>
      </c>
      <c r="F637" s="1" t="s">
        <v>2615</v>
      </c>
      <c r="G637" s="1" t="s">
        <v>2617</v>
      </c>
      <c r="H637" s="1">
        <f>_xlfn.XLOOKUP(DB07_baselinesequence[[#This Row],[basesequence-ID]],DB06_baseline[ID],DB06_baseline[確認済],FALSE,0)</f>
        <v>0</v>
      </c>
      <c r="J637" s="1" t="s">
        <v>2977</v>
      </c>
      <c r="K637" s="4"/>
      <c r="L637" s="3"/>
    </row>
    <row r="638" spans="1:12" x14ac:dyDescent="0.45">
      <c r="A638" s="1">
        <v>650</v>
      </c>
      <c r="B638" s="1" t="str">
        <f>"07-"&amp;LEFT(RIGHTB(REPT(0,4)&amp;_xlfn.BASE(DB07_baselinesequence[[#This Row],[num]],36),4),2)&amp;"-"&amp;RIGHT(RIGHTB(REPT(0,4)&amp;_xlfn.BASE(DB07_baselinesequence[[#This Row],[num]],36),4),2)</f>
        <v>07-00-I2</v>
      </c>
      <c r="C638" s="1" t="s">
        <v>2619</v>
      </c>
      <c r="F638" s="1" t="s">
        <v>2618</v>
      </c>
      <c r="G638" s="1" t="s">
        <v>2620</v>
      </c>
      <c r="H638" s="1">
        <f>_xlfn.XLOOKUP(DB07_baselinesequence[[#This Row],[basesequence-ID]],DB06_baseline[ID],DB06_baseline[確認済],FALSE,0)</f>
        <v>0</v>
      </c>
      <c r="J638" s="1" t="s">
        <v>2978</v>
      </c>
      <c r="K638" s="4"/>
      <c r="L638" s="3"/>
    </row>
    <row r="639" spans="1:12" x14ac:dyDescent="0.45">
      <c r="A639" s="1">
        <v>651</v>
      </c>
      <c r="B639" s="1" t="str">
        <f>"07-"&amp;LEFT(RIGHTB(REPT(0,4)&amp;_xlfn.BASE(DB07_baselinesequence[[#This Row],[num]],36),4),2)&amp;"-"&amp;RIGHT(RIGHTB(REPT(0,4)&amp;_xlfn.BASE(DB07_baselinesequence[[#This Row],[num]],36),4),2)</f>
        <v>07-00-I3</v>
      </c>
      <c r="C639" s="1" t="s">
        <v>2622</v>
      </c>
      <c r="F639" s="1" t="s">
        <v>2621</v>
      </c>
      <c r="G639" s="1" t="s">
        <v>2623</v>
      </c>
      <c r="H639" s="1">
        <f>_xlfn.XLOOKUP(DB07_baselinesequence[[#This Row],[basesequence-ID]],DB06_baseline[ID],DB06_baseline[確認済],FALSE,0)</f>
        <v>0</v>
      </c>
      <c r="J639" s="1" t="s">
        <v>2979</v>
      </c>
      <c r="K639" s="4"/>
      <c r="L639" s="3"/>
    </row>
    <row r="640" spans="1:12" x14ac:dyDescent="0.45">
      <c r="A640" s="1">
        <v>652</v>
      </c>
      <c r="B640" s="1" t="str">
        <f>"07-"&amp;LEFT(RIGHTB(REPT(0,4)&amp;_xlfn.BASE(DB07_baselinesequence[[#This Row],[num]],36),4),2)&amp;"-"&amp;RIGHT(RIGHTB(REPT(0,4)&amp;_xlfn.BASE(DB07_baselinesequence[[#This Row],[num]],36),4),2)</f>
        <v>07-00-I4</v>
      </c>
      <c r="C640" s="1" t="s">
        <v>2625</v>
      </c>
      <c r="F640" s="1" t="s">
        <v>2624</v>
      </c>
      <c r="G640" s="1" t="s">
        <v>2626</v>
      </c>
      <c r="H640" s="1">
        <f>_xlfn.XLOOKUP(DB07_baselinesequence[[#This Row],[basesequence-ID]],DB06_baseline[ID],DB06_baseline[確認済],FALSE,0)</f>
        <v>0</v>
      </c>
      <c r="J640" s="1" t="s">
        <v>2980</v>
      </c>
      <c r="K640" s="4"/>
      <c r="L640" s="3"/>
    </row>
    <row r="641" spans="1:12" x14ac:dyDescent="0.45">
      <c r="A641" s="1">
        <v>653</v>
      </c>
      <c r="B641" s="1" t="str">
        <f>"07-"&amp;LEFT(RIGHTB(REPT(0,4)&amp;_xlfn.BASE(DB07_baselinesequence[[#This Row],[num]],36),4),2)&amp;"-"&amp;RIGHT(RIGHTB(REPT(0,4)&amp;_xlfn.BASE(DB07_baselinesequence[[#This Row],[num]],36),4),2)</f>
        <v>07-00-I5</v>
      </c>
      <c r="C641" s="1" t="s">
        <v>2628</v>
      </c>
      <c r="F641" s="1" t="s">
        <v>2627</v>
      </c>
      <c r="G641" s="1" t="s">
        <v>2629</v>
      </c>
      <c r="H641" s="1">
        <f>_xlfn.XLOOKUP(DB07_baselinesequence[[#This Row],[basesequence-ID]],DB06_baseline[ID],DB06_baseline[確認済],FALSE,0)</f>
        <v>0</v>
      </c>
      <c r="J641" s="1" t="s">
        <v>2981</v>
      </c>
      <c r="K641" s="4"/>
      <c r="L641" s="3"/>
    </row>
    <row r="642" spans="1:12" x14ac:dyDescent="0.45">
      <c r="A642" s="1">
        <v>654</v>
      </c>
      <c r="B642" s="1" t="str">
        <f>"07-"&amp;LEFT(RIGHTB(REPT(0,4)&amp;_xlfn.BASE(DB07_baselinesequence[[#This Row],[num]],36),4),2)&amp;"-"&amp;RIGHT(RIGHTB(REPT(0,4)&amp;_xlfn.BASE(DB07_baselinesequence[[#This Row],[num]],36),4),2)</f>
        <v>07-00-I6</v>
      </c>
      <c r="C642" s="1" t="s">
        <v>2631</v>
      </c>
      <c r="F642" s="1" t="s">
        <v>2630</v>
      </c>
      <c r="G642" s="1" t="s">
        <v>2632</v>
      </c>
      <c r="H642" s="1">
        <f>_xlfn.XLOOKUP(DB07_baselinesequence[[#This Row],[basesequence-ID]],DB06_baseline[ID],DB06_baseline[確認済],FALSE,0)</f>
        <v>0</v>
      </c>
      <c r="J642" s="1" t="s">
        <v>2982</v>
      </c>
      <c r="K642" s="4"/>
      <c r="L642" s="3"/>
    </row>
    <row r="643" spans="1:12" x14ac:dyDescent="0.45">
      <c r="A643" s="1">
        <v>655</v>
      </c>
      <c r="B643" s="1" t="str">
        <f>"07-"&amp;LEFT(RIGHTB(REPT(0,4)&amp;_xlfn.BASE(DB07_baselinesequence[[#This Row],[num]],36),4),2)&amp;"-"&amp;RIGHT(RIGHTB(REPT(0,4)&amp;_xlfn.BASE(DB07_baselinesequence[[#This Row],[num]],36),4),2)</f>
        <v>07-00-I7</v>
      </c>
      <c r="C643" s="1" t="s">
        <v>2634</v>
      </c>
      <c r="F643" s="1" t="s">
        <v>2633</v>
      </c>
      <c r="G643" s="1" t="s">
        <v>2635</v>
      </c>
      <c r="H643" s="1">
        <f>_xlfn.XLOOKUP(DB07_baselinesequence[[#This Row],[basesequence-ID]],DB06_baseline[ID],DB06_baseline[確認済],FALSE,0)</f>
        <v>0</v>
      </c>
      <c r="J643" s="1" t="s">
        <v>2983</v>
      </c>
      <c r="K643" s="4"/>
      <c r="L643" s="3"/>
    </row>
    <row r="644" spans="1:12" x14ac:dyDescent="0.45">
      <c r="A644" s="1">
        <v>656</v>
      </c>
      <c r="B644" s="1" t="str">
        <f>"07-"&amp;LEFT(RIGHTB(REPT(0,4)&amp;_xlfn.BASE(DB07_baselinesequence[[#This Row],[num]],36),4),2)&amp;"-"&amp;RIGHT(RIGHTB(REPT(0,4)&amp;_xlfn.BASE(DB07_baselinesequence[[#This Row],[num]],36),4),2)</f>
        <v>07-00-I8</v>
      </c>
      <c r="C644" s="1" t="s">
        <v>2637</v>
      </c>
      <c r="F644" s="1" t="s">
        <v>2636</v>
      </c>
      <c r="G644" s="1" t="s">
        <v>2638</v>
      </c>
      <c r="H644" s="1">
        <f>_xlfn.XLOOKUP(DB07_baselinesequence[[#This Row],[basesequence-ID]],DB06_baseline[ID],DB06_baseline[確認済],FALSE,0)</f>
        <v>0</v>
      </c>
      <c r="J644" s="1" t="s">
        <v>2984</v>
      </c>
      <c r="K644" s="4"/>
      <c r="L644" s="3"/>
    </row>
    <row r="645" spans="1:12" x14ac:dyDescent="0.45">
      <c r="A645" s="1">
        <v>657</v>
      </c>
      <c r="B645" s="1" t="str">
        <f>"07-"&amp;LEFT(RIGHTB(REPT(0,4)&amp;_xlfn.BASE(DB07_baselinesequence[[#This Row],[num]],36),4),2)&amp;"-"&amp;RIGHT(RIGHTB(REPT(0,4)&amp;_xlfn.BASE(DB07_baselinesequence[[#This Row],[num]],36),4),2)</f>
        <v>07-00-I9</v>
      </c>
      <c r="C645" s="1" t="s">
        <v>2640</v>
      </c>
      <c r="F645" s="1" t="s">
        <v>2639</v>
      </c>
      <c r="G645" s="1" t="s">
        <v>2641</v>
      </c>
      <c r="H645" s="1">
        <f>_xlfn.XLOOKUP(DB07_baselinesequence[[#This Row],[basesequence-ID]],DB06_baseline[ID],DB06_baseline[確認済],FALSE,0)</f>
        <v>0</v>
      </c>
      <c r="J645" s="1" t="s">
        <v>2985</v>
      </c>
      <c r="K645" s="4"/>
      <c r="L645" s="3"/>
    </row>
    <row r="646" spans="1:12" x14ac:dyDescent="0.45">
      <c r="A646" s="1">
        <v>658</v>
      </c>
      <c r="B646" s="1" t="str">
        <f>"07-"&amp;LEFT(RIGHTB(REPT(0,4)&amp;_xlfn.BASE(DB07_baselinesequence[[#This Row],[num]],36),4),2)&amp;"-"&amp;RIGHT(RIGHTB(REPT(0,4)&amp;_xlfn.BASE(DB07_baselinesequence[[#This Row],[num]],36),4),2)</f>
        <v>07-00-IA</v>
      </c>
      <c r="C646" s="1" t="s">
        <v>2643</v>
      </c>
      <c r="F646" s="1" t="s">
        <v>2642</v>
      </c>
      <c r="G646" s="1" t="s">
        <v>2644</v>
      </c>
      <c r="H646" s="1">
        <f>_xlfn.XLOOKUP(DB07_baselinesequence[[#This Row],[basesequence-ID]],DB06_baseline[ID],DB06_baseline[確認済],FALSE,0)</f>
        <v>0</v>
      </c>
      <c r="J646" s="1" t="s">
        <v>2986</v>
      </c>
      <c r="K646" s="4"/>
      <c r="L646" s="3"/>
    </row>
    <row r="647" spans="1:12" x14ac:dyDescent="0.45">
      <c r="A647" s="1">
        <v>659</v>
      </c>
      <c r="B647" s="1" t="str">
        <f>"07-"&amp;LEFT(RIGHTB(REPT(0,4)&amp;_xlfn.BASE(DB07_baselinesequence[[#This Row],[num]],36),4),2)&amp;"-"&amp;RIGHT(RIGHTB(REPT(0,4)&amp;_xlfn.BASE(DB07_baselinesequence[[#This Row],[num]],36),4),2)</f>
        <v>07-00-IB</v>
      </c>
      <c r="C647" s="1" t="s">
        <v>2646</v>
      </c>
      <c r="F647" s="1" t="s">
        <v>2645</v>
      </c>
      <c r="G647" s="1" t="s">
        <v>2647</v>
      </c>
      <c r="H647" s="1">
        <f>_xlfn.XLOOKUP(DB07_baselinesequence[[#This Row],[basesequence-ID]],DB06_baseline[ID],DB06_baseline[確認済],FALSE,0)</f>
        <v>0</v>
      </c>
      <c r="J647" s="1" t="s">
        <v>2987</v>
      </c>
      <c r="K647" s="4"/>
      <c r="L647" s="3"/>
    </row>
    <row r="648" spans="1:12" x14ac:dyDescent="0.45">
      <c r="A648" s="1">
        <v>660</v>
      </c>
      <c r="B648" s="1" t="str">
        <f>"07-"&amp;LEFT(RIGHTB(REPT(0,4)&amp;_xlfn.BASE(DB07_baselinesequence[[#This Row],[num]],36),4),2)&amp;"-"&amp;RIGHT(RIGHTB(REPT(0,4)&amp;_xlfn.BASE(DB07_baselinesequence[[#This Row],[num]],36),4),2)</f>
        <v>07-00-IC</v>
      </c>
      <c r="C648" s="1" t="s">
        <v>2649</v>
      </c>
      <c r="F648" s="1" t="s">
        <v>2648</v>
      </c>
      <c r="G648" s="1" t="s">
        <v>2650</v>
      </c>
      <c r="H648" s="1">
        <f>_xlfn.XLOOKUP(DB07_baselinesequence[[#This Row],[basesequence-ID]],DB06_baseline[ID],DB06_baseline[確認済],FALSE,0)</f>
        <v>0</v>
      </c>
      <c r="J648" s="1" t="s">
        <v>2988</v>
      </c>
      <c r="K648" s="4"/>
      <c r="L648" s="3"/>
    </row>
    <row r="649" spans="1:12" x14ac:dyDescent="0.45">
      <c r="A649" s="1">
        <v>661</v>
      </c>
      <c r="B649" s="1" t="str">
        <f>"07-"&amp;LEFT(RIGHTB(REPT(0,4)&amp;_xlfn.BASE(DB07_baselinesequence[[#This Row],[num]],36),4),2)&amp;"-"&amp;RIGHT(RIGHTB(REPT(0,4)&amp;_xlfn.BASE(DB07_baselinesequence[[#This Row],[num]],36),4),2)</f>
        <v>07-00-ID</v>
      </c>
      <c r="C649" s="1" t="s">
        <v>2652</v>
      </c>
      <c r="F649" s="1" t="s">
        <v>2651</v>
      </c>
      <c r="G649" s="1" t="s">
        <v>2653</v>
      </c>
      <c r="H649" s="1">
        <f>_xlfn.XLOOKUP(DB07_baselinesequence[[#This Row],[basesequence-ID]],DB06_baseline[ID],DB06_baseline[確認済],FALSE,0)</f>
        <v>0</v>
      </c>
      <c r="J649" s="1" t="s">
        <v>2989</v>
      </c>
      <c r="K649" s="4"/>
      <c r="L649" s="3"/>
    </row>
    <row r="650" spans="1:12" x14ac:dyDescent="0.45">
      <c r="A650" s="1">
        <v>662</v>
      </c>
      <c r="B650" s="1" t="str">
        <f>"07-"&amp;LEFT(RIGHTB(REPT(0,4)&amp;_xlfn.BASE(DB07_baselinesequence[[#This Row],[num]],36),4),2)&amp;"-"&amp;RIGHT(RIGHTB(REPT(0,4)&amp;_xlfn.BASE(DB07_baselinesequence[[#This Row],[num]],36),4),2)</f>
        <v>07-00-IE</v>
      </c>
      <c r="C650" s="1" t="s">
        <v>2655</v>
      </c>
      <c r="F650" s="1" t="s">
        <v>2654</v>
      </c>
      <c r="G650" s="1" t="s">
        <v>2656</v>
      </c>
      <c r="H650" s="1">
        <f>_xlfn.XLOOKUP(DB07_baselinesequence[[#This Row],[basesequence-ID]],DB06_baseline[ID],DB06_baseline[確認済],FALSE,0)</f>
        <v>0</v>
      </c>
      <c r="J650" s="1" t="s">
        <v>2990</v>
      </c>
      <c r="K650" s="4"/>
      <c r="L650" s="3"/>
    </row>
    <row r="651" spans="1:12" x14ac:dyDescent="0.45">
      <c r="A651" s="1">
        <v>663</v>
      </c>
      <c r="B651" s="1" t="str">
        <f>"07-"&amp;LEFT(RIGHTB(REPT(0,4)&amp;_xlfn.BASE(DB07_baselinesequence[[#This Row],[num]],36),4),2)&amp;"-"&amp;RIGHT(RIGHTB(REPT(0,4)&amp;_xlfn.BASE(DB07_baselinesequence[[#This Row],[num]],36),4),2)</f>
        <v>07-00-IF</v>
      </c>
      <c r="C651" s="1" t="s">
        <v>2658</v>
      </c>
      <c r="F651" s="1" t="s">
        <v>2657</v>
      </c>
      <c r="G651" s="1" t="s">
        <v>2659</v>
      </c>
      <c r="H651" s="1">
        <f>_xlfn.XLOOKUP(DB07_baselinesequence[[#This Row],[basesequence-ID]],DB06_baseline[ID],DB06_baseline[確認済],FALSE,0)</f>
        <v>0</v>
      </c>
      <c r="J651" s="1" t="s">
        <v>2991</v>
      </c>
      <c r="K651" s="4"/>
      <c r="L651" s="3"/>
    </row>
    <row r="652" spans="1:12" x14ac:dyDescent="0.45">
      <c r="A652" s="1">
        <v>664</v>
      </c>
      <c r="B652" s="1" t="str">
        <f>"07-"&amp;LEFT(RIGHTB(REPT(0,4)&amp;_xlfn.BASE(DB07_baselinesequence[[#This Row],[num]],36),4),2)&amp;"-"&amp;RIGHT(RIGHTB(REPT(0,4)&amp;_xlfn.BASE(DB07_baselinesequence[[#This Row],[num]],36),4),2)</f>
        <v>07-00-IG</v>
      </c>
      <c r="C652" s="1" t="s">
        <v>2661</v>
      </c>
      <c r="F652" s="1" t="s">
        <v>2660</v>
      </c>
      <c r="G652" s="1" t="s">
        <v>2662</v>
      </c>
      <c r="H652" s="1">
        <f>_xlfn.XLOOKUP(DB07_baselinesequence[[#This Row],[basesequence-ID]],DB06_baseline[ID],DB06_baseline[確認済],FALSE,0)</f>
        <v>0</v>
      </c>
      <c r="J652" s="1" t="s">
        <v>2992</v>
      </c>
      <c r="K652" s="4"/>
      <c r="L652" s="3"/>
    </row>
    <row r="653" spans="1:12" x14ac:dyDescent="0.45">
      <c r="A653" s="1">
        <v>665</v>
      </c>
      <c r="B653" s="1" t="str">
        <f>"07-"&amp;LEFT(RIGHTB(REPT(0,4)&amp;_xlfn.BASE(DB07_baselinesequence[[#This Row],[num]],36),4),2)&amp;"-"&amp;RIGHT(RIGHTB(REPT(0,4)&amp;_xlfn.BASE(DB07_baselinesequence[[#This Row],[num]],36),4),2)</f>
        <v>07-00-IH</v>
      </c>
      <c r="C653" s="1" t="s">
        <v>2664</v>
      </c>
      <c r="F653" s="1" t="s">
        <v>2663</v>
      </c>
      <c r="G653" s="1" t="s">
        <v>2665</v>
      </c>
      <c r="H653" s="1">
        <f>_xlfn.XLOOKUP(DB07_baselinesequence[[#This Row],[basesequence-ID]],DB06_baseline[ID],DB06_baseline[確認済],FALSE,0)</f>
        <v>0</v>
      </c>
      <c r="J653" s="1" t="s">
        <v>2993</v>
      </c>
      <c r="K653" s="4"/>
      <c r="L653" s="3"/>
    </row>
    <row r="654" spans="1:12" x14ac:dyDescent="0.45">
      <c r="A654" s="1">
        <v>666</v>
      </c>
      <c r="B654" s="1" t="str">
        <f>"07-"&amp;LEFT(RIGHTB(REPT(0,4)&amp;_xlfn.BASE(DB07_baselinesequence[[#This Row],[num]],36),4),2)&amp;"-"&amp;RIGHT(RIGHTB(REPT(0,4)&amp;_xlfn.BASE(DB07_baselinesequence[[#This Row],[num]],36),4),2)</f>
        <v>07-00-II</v>
      </c>
      <c r="C654" s="1" t="s">
        <v>2667</v>
      </c>
      <c r="F654" s="1" t="s">
        <v>2666</v>
      </c>
      <c r="G654" s="1" t="s">
        <v>2668</v>
      </c>
      <c r="H654" s="1">
        <f>_xlfn.XLOOKUP(DB07_baselinesequence[[#This Row],[basesequence-ID]],DB06_baseline[ID],DB06_baseline[確認済],FALSE,0)</f>
        <v>0</v>
      </c>
      <c r="J654" s="1" t="s">
        <v>2994</v>
      </c>
      <c r="K654" s="4"/>
      <c r="L654" s="3"/>
    </row>
    <row r="655" spans="1:12" x14ac:dyDescent="0.45">
      <c r="A655" s="1">
        <v>667</v>
      </c>
      <c r="B655" s="1" t="str">
        <f>"07-"&amp;LEFT(RIGHTB(REPT(0,4)&amp;_xlfn.BASE(DB07_baselinesequence[[#This Row],[num]],36),4),2)&amp;"-"&amp;RIGHT(RIGHTB(REPT(0,4)&amp;_xlfn.BASE(DB07_baselinesequence[[#This Row],[num]],36),4),2)</f>
        <v>07-00-IJ</v>
      </c>
      <c r="C655" s="1" t="s">
        <v>2670</v>
      </c>
      <c r="F655" s="1" t="s">
        <v>2669</v>
      </c>
      <c r="G655" s="1" t="s">
        <v>2671</v>
      </c>
      <c r="H655" s="1">
        <f>_xlfn.XLOOKUP(DB07_baselinesequence[[#This Row],[basesequence-ID]],DB06_baseline[ID],DB06_baseline[確認済],FALSE,0)</f>
        <v>0</v>
      </c>
      <c r="J655" s="1" t="s">
        <v>2995</v>
      </c>
      <c r="K655" s="4"/>
      <c r="L655" s="3"/>
    </row>
    <row r="656" spans="1:12" x14ac:dyDescent="0.45">
      <c r="A656" s="1">
        <v>668</v>
      </c>
      <c r="B656" s="1" t="str">
        <f>"07-"&amp;LEFT(RIGHTB(REPT(0,4)&amp;_xlfn.BASE(DB07_baselinesequence[[#This Row],[num]],36),4),2)&amp;"-"&amp;RIGHT(RIGHTB(REPT(0,4)&amp;_xlfn.BASE(DB07_baselinesequence[[#This Row],[num]],36),4),2)</f>
        <v>07-00-IK</v>
      </c>
      <c r="C656" s="1" t="s">
        <v>2673</v>
      </c>
      <c r="F656" s="1" t="s">
        <v>2672</v>
      </c>
      <c r="G656" s="1" t="s">
        <v>2674</v>
      </c>
      <c r="H656" s="1">
        <f>_xlfn.XLOOKUP(DB07_baselinesequence[[#This Row],[basesequence-ID]],DB06_baseline[ID],DB06_baseline[確認済],FALSE,0)</f>
        <v>0</v>
      </c>
      <c r="J656" s="1" t="s">
        <v>2996</v>
      </c>
      <c r="K656" s="4"/>
      <c r="L656" s="3"/>
    </row>
    <row r="657" spans="1:12" x14ac:dyDescent="0.45">
      <c r="A657" s="1">
        <v>669</v>
      </c>
      <c r="B657" s="1" t="str">
        <f>"07-"&amp;LEFT(RIGHTB(REPT(0,4)&amp;_xlfn.BASE(DB07_baselinesequence[[#This Row],[num]],36),4),2)&amp;"-"&amp;RIGHT(RIGHTB(REPT(0,4)&amp;_xlfn.BASE(DB07_baselinesequence[[#This Row],[num]],36),4),2)</f>
        <v>07-00-IL</v>
      </c>
      <c r="C657" s="1" t="s">
        <v>2676</v>
      </c>
      <c r="F657" s="1" t="s">
        <v>2675</v>
      </c>
      <c r="G657" s="1" t="s">
        <v>2677</v>
      </c>
      <c r="H657" s="1">
        <f>_xlfn.XLOOKUP(DB07_baselinesequence[[#This Row],[basesequence-ID]],DB06_baseline[ID],DB06_baseline[確認済],FALSE,0)</f>
        <v>0</v>
      </c>
      <c r="J657" s="1" t="s">
        <v>2997</v>
      </c>
      <c r="K657" s="4"/>
      <c r="L657" s="3"/>
    </row>
    <row r="658" spans="1:12" x14ac:dyDescent="0.45">
      <c r="A658" s="1">
        <v>670</v>
      </c>
      <c r="B658" s="1" t="str">
        <f>"07-"&amp;LEFT(RIGHTB(REPT(0,4)&amp;_xlfn.BASE(DB07_baselinesequence[[#This Row],[num]],36),4),2)&amp;"-"&amp;RIGHT(RIGHTB(REPT(0,4)&amp;_xlfn.BASE(DB07_baselinesequence[[#This Row],[num]],36),4),2)</f>
        <v>07-00-IM</v>
      </c>
      <c r="C658" s="1" t="s">
        <v>2679</v>
      </c>
      <c r="F658" s="1" t="s">
        <v>2678</v>
      </c>
      <c r="G658" s="1" t="s">
        <v>2680</v>
      </c>
      <c r="H658" s="1">
        <f>_xlfn.XLOOKUP(DB07_baselinesequence[[#This Row],[basesequence-ID]],DB06_baseline[ID],DB06_baseline[確認済],FALSE,0)</f>
        <v>0</v>
      </c>
      <c r="J658" s="1" t="s">
        <v>2998</v>
      </c>
      <c r="K658" s="4"/>
      <c r="L658" s="3"/>
    </row>
    <row r="659" spans="1:12" x14ac:dyDescent="0.45">
      <c r="A659" s="1">
        <v>671</v>
      </c>
      <c r="B659" s="1" t="str">
        <f>"07-"&amp;LEFT(RIGHTB(REPT(0,4)&amp;_xlfn.BASE(DB07_baselinesequence[[#This Row],[num]],36),4),2)&amp;"-"&amp;RIGHT(RIGHTB(REPT(0,4)&amp;_xlfn.BASE(DB07_baselinesequence[[#This Row],[num]],36),4),2)</f>
        <v>07-00-IN</v>
      </c>
      <c r="C659" s="1" t="s">
        <v>2682</v>
      </c>
      <c r="F659" s="1" t="s">
        <v>2681</v>
      </c>
      <c r="G659" s="1" t="s">
        <v>2683</v>
      </c>
      <c r="H659" s="1">
        <f>_xlfn.XLOOKUP(DB07_baselinesequence[[#This Row],[basesequence-ID]],DB06_baseline[ID],DB06_baseline[確認済],FALSE,0)</f>
        <v>0</v>
      </c>
      <c r="J659" s="1" t="s">
        <v>2999</v>
      </c>
      <c r="K659" s="4"/>
      <c r="L659" s="3"/>
    </row>
    <row r="660" spans="1:12" x14ac:dyDescent="0.45">
      <c r="A660" s="1">
        <v>672</v>
      </c>
      <c r="B660" s="1" t="str">
        <f>"07-"&amp;LEFT(RIGHTB(REPT(0,4)&amp;_xlfn.BASE(DB07_baselinesequence[[#This Row],[num]],36),4),2)&amp;"-"&amp;RIGHT(RIGHTB(REPT(0,4)&amp;_xlfn.BASE(DB07_baselinesequence[[#This Row],[num]],36),4),2)</f>
        <v>07-00-IO</v>
      </c>
      <c r="C660" s="1" t="s">
        <v>2685</v>
      </c>
      <c r="F660" s="1" t="s">
        <v>2684</v>
      </c>
      <c r="G660" s="1" t="s">
        <v>2686</v>
      </c>
      <c r="H660" s="1">
        <f>_xlfn.XLOOKUP(DB07_baselinesequence[[#This Row],[basesequence-ID]],DB06_baseline[ID],DB06_baseline[確認済],FALSE,0)</f>
        <v>0</v>
      </c>
      <c r="J660" s="1" t="s">
        <v>3000</v>
      </c>
      <c r="K660" s="4"/>
      <c r="L660" s="3"/>
    </row>
    <row r="661" spans="1:12" x14ac:dyDescent="0.45">
      <c r="A661" s="1">
        <v>673</v>
      </c>
      <c r="B661" s="1" t="str">
        <f>"07-"&amp;LEFT(RIGHTB(REPT(0,4)&amp;_xlfn.BASE(DB07_baselinesequence[[#This Row],[num]],36),4),2)&amp;"-"&amp;RIGHT(RIGHTB(REPT(0,4)&amp;_xlfn.BASE(DB07_baselinesequence[[#This Row],[num]],36),4),2)</f>
        <v>07-00-IP</v>
      </c>
      <c r="C661" s="1" t="s">
        <v>2688</v>
      </c>
      <c r="F661" s="1" t="s">
        <v>2687</v>
      </c>
      <c r="G661" s="1" t="s">
        <v>2689</v>
      </c>
      <c r="H661" s="1">
        <f>_xlfn.XLOOKUP(DB07_baselinesequence[[#This Row],[basesequence-ID]],DB06_baseline[ID],DB06_baseline[確認済],FALSE,0)</f>
        <v>0</v>
      </c>
      <c r="J661" s="1" t="s">
        <v>3001</v>
      </c>
      <c r="K661" s="4"/>
      <c r="L661" s="3"/>
    </row>
    <row r="662" spans="1:12" x14ac:dyDescent="0.45">
      <c r="A662" s="1">
        <v>674</v>
      </c>
      <c r="B662" s="1" t="str">
        <f>"07-"&amp;LEFT(RIGHTB(REPT(0,4)&amp;_xlfn.BASE(DB07_baselinesequence[[#This Row],[num]],36),4),2)&amp;"-"&amp;RIGHT(RIGHTB(REPT(0,4)&amp;_xlfn.BASE(DB07_baselinesequence[[#This Row],[num]],36),4),2)</f>
        <v>07-00-IQ</v>
      </c>
      <c r="C662" s="1" t="s">
        <v>2691</v>
      </c>
      <c r="F662" s="1" t="s">
        <v>2690</v>
      </c>
      <c r="G662" s="1" t="s">
        <v>2692</v>
      </c>
      <c r="H662" s="1">
        <f>_xlfn.XLOOKUP(DB07_baselinesequence[[#This Row],[basesequence-ID]],DB06_baseline[ID],DB06_baseline[確認済],FALSE,0)</f>
        <v>0</v>
      </c>
      <c r="J662" s="1" t="s">
        <v>3002</v>
      </c>
      <c r="K662" s="4"/>
      <c r="L662" s="3"/>
    </row>
    <row r="663" spans="1:12" x14ac:dyDescent="0.45">
      <c r="A663" s="1">
        <v>675</v>
      </c>
      <c r="B663" s="1" t="str">
        <f>"07-"&amp;LEFT(RIGHTB(REPT(0,4)&amp;_xlfn.BASE(DB07_baselinesequence[[#This Row],[num]],36),4),2)&amp;"-"&amp;RIGHT(RIGHTB(REPT(0,4)&amp;_xlfn.BASE(DB07_baselinesequence[[#This Row],[num]],36),4),2)</f>
        <v>07-00-IR</v>
      </c>
      <c r="C663" s="1" t="s">
        <v>2694</v>
      </c>
      <c r="F663" s="1" t="s">
        <v>2693</v>
      </c>
      <c r="G663" s="1" t="s">
        <v>2695</v>
      </c>
      <c r="H663" s="1">
        <f>_xlfn.XLOOKUP(DB07_baselinesequence[[#This Row],[basesequence-ID]],DB06_baseline[ID],DB06_baseline[確認済],FALSE,0)</f>
        <v>0</v>
      </c>
      <c r="J663" s="1" t="s">
        <v>3003</v>
      </c>
      <c r="K663" s="4"/>
      <c r="L663" s="3"/>
    </row>
    <row r="664" spans="1:12" x14ac:dyDescent="0.45">
      <c r="A664" s="1">
        <v>676</v>
      </c>
      <c r="B664" s="1" t="str">
        <f>"07-"&amp;LEFT(RIGHTB(REPT(0,4)&amp;_xlfn.BASE(DB07_baselinesequence[[#This Row],[num]],36),4),2)&amp;"-"&amp;RIGHT(RIGHTB(REPT(0,4)&amp;_xlfn.BASE(DB07_baselinesequence[[#This Row],[num]],36),4),2)</f>
        <v>07-00-IS</v>
      </c>
      <c r="C664" s="1" t="s">
        <v>2697</v>
      </c>
      <c r="F664" s="1" t="s">
        <v>2696</v>
      </c>
      <c r="G664" s="1" t="s">
        <v>2698</v>
      </c>
      <c r="H664" s="1">
        <f>_xlfn.XLOOKUP(DB07_baselinesequence[[#This Row],[basesequence-ID]],DB06_baseline[ID],DB06_baseline[確認済],FALSE,0)</f>
        <v>0</v>
      </c>
      <c r="J664" s="1" t="s">
        <v>3004</v>
      </c>
      <c r="K664" s="4"/>
      <c r="L664" s="3"/>
    </row>
    <row r="665" spans="1:12" x14ac:dyDescent="0.45">
      <c r="A665" s="1">
        <v>677</v>
      </c>
      <c r="B665" s="1" t="str">
        <f>"07-"&amp;LEFT(RIGHTB(REPT(0,4)&amp;_xlfn.BASE(DB07_baselinesequence[[#This Row],[num]],36),4),2)&amp;"-"&amp;RIGHT(RIGHTB(REPT(0,4)&amp;_xlfn.BASE(DB07_baselinesequence[[#This Row],[num]],36),4),2)</f>
        <v>07-00-IT</v>
      </c>
      <c r="C665" s="1" t="s">
        <v>2700</v>
      </c>
      <c r="F665" s="1" t="s">
        <v>2699</v>
      </c>
      <c r="G665" s="1" t="s">
        <v>2701</v>
      </c>
      <c r="H665" s="1">
        <f>_xlfn.XLOOKUP(DB07_baselinesequence[[#This Row],[basesequence-ID]],DB06_baseline[ID],DB06_baseline[確認済],FALSE,0)</f>
        <v>0</v>
      </c>
      <c r="J665" s="1" t="s">
        <v>3005</v>
      </c>
      <c r="K665" s="4"/>
      <c r="L665" s="3"/>
    </row>
    <row r="666" spans="1:12" x14ac:dyDescent="0.45">
      <c r="A666" s="1">
        <v>678</v>
      </c>
      <c r="B666" s="1" t="str">
        <f>"07-"&amp;LEFT(RIGHTB(REPT(0,4)&amp;_xlfn.BASE(DB07_baselinesequence[[#This Row],[num]],36),4),2)&amp;"-"&amp;RIGHT(RIGHTB(REPT(0,4)&amp;_xlfn.BASE(DB07_baselinesequence[[#This Row],[num]],36),4),2)</f>
        <v>07-00-IU</v>
      </c>
      <c r="C666" s="1" t="s">
        <v>2703</v>
      </c>
      <c r="F666" s="1" t="s">
        <v>2702</v>
      </c>
      <c r="G666" s="1" t="s">
        <v>2704</v>
      </c>
      <c r="H666" s="1">
        <f>_xlfn.XLOOKUP(DB07_baselinesequence[[#This Row],[basesequence-ID]],DB06_baseline[ID],DB06_baseline[確認済],FALSE,0)</f>
        <v>0</v>
      </c>
      <c r="J666" s="1" t="s">
        <v>3006</v>
      </c>
      <c r="K666" s="4"/>
      <c r="L666" s="3"/>
    </row>
    <row r="667" spans="1:12" x14ac:dyDescent="0.45">
      <c r="A667" s="1">
        <v>679</v>
      </c>
      <c r="B667" s="1" t="str">
        <f>"07-"&amp;LEFT(RIGHTB(REPT(0,4)&amp;_xlfn.BASE(DB07_baselinesequence[[#This Row],[num]],36),4),2)&amp;"-"&amp;RIGHT(RIGHTB(REPT(0,4)&amp;_xlfn.BASE(DB07_baselinesequence[[#This Row],[num]],36),4),2)</f>
        <v>07-00-IV</v>
      </c>
      <c r="C667" s="1" t="s">
        <v>2706</v>
      </c>
      <c r="F667" s="1" t="s">
        <v>2705</v>
      </c>
      <c r="G667" s="1" t="s">
        <v>2707</v>
      </c>
      <c r="H667" s="1">
        <f>_xlfn.XLOOKUP(DB07_baselinesequence[[#This Row],[basesequence-ID]],DB06_baseline[ID],DB06_baseline[確認済],FALSE,0)</f>
        <v>0</v>
      </c>
      <c r="J667" s="1" t="s">
        <v>3007</v>
      </c>
      <c r="K667" s="4"/>
      <c r="L667" s="3"/>
    </row>
    <row r="668" spans="1:12" x14ac:dyDescent="0.45">
      <c r="A668" s="1">
        <v>680</v>
      </c>
      <c r="B668" s="1" t="str">
        <f>"07-"&amp;LEFT(RIGHTB(REPT(0,4)&amp;_xlfn.BASE(DB07_baselinesequence[[#This Row],[num]],36),4),2)&amp;"-"&amp;RIGHT(RIGHTB(REPT(0,4)&amp;_xlfn.BASE(DB07_baselinesequence[[#This Row],[num]],36),4),2)</f>
        <v>07-00-IW</v>
      </c>
      <c r="C668" s="1" t="s">
        <v>2709</v>
      </c>
      <c r="F668" s="1" t="s">
        <v>2708</v>
      </c>
      <c r="G668" s="1" t="s">
        <v>2710</v>
      </c>
      <c r="H668" s="1">
        <f>_xlfn.XLOOKUP(DB07_baselinesequence[[#This Row],[basesequence-ID]],DB06_baseline[ID],DB06_baseline[確認済],FALSE,0)</f>
        <v>0</v>
      </c>
      <c r="J668" s="1" t="s">
        <v>3008</v>
      </c>
      <c r="K668" s="4"/>
      <c r="L668" s="3"/>
    </row>
    <row r="669" spans="1:12" x14ac:dyDescent="0.45">
      <c r="A669" s="1">
        <v>681</v>
      </c>
      <c r="B669" s="1" t="str">
        <f>"07-"&amp;LEFT(RIGHTB(REPT(0,4)&amp;_xlfn.BASE(DB07_baselinesequence[[#This Row],[num]],36),4),2)&amp;"-"&amp;RIGHT(RIGHTB(REPT(0,4)&amp;_xlfn.BASE(DB07_baselinesequence[[#This Row],[num]],36),4),2)</f>
        <v>07-00-IX</v>
      </c>
      <c r="C669" s="1" t="s">
        <v>2712</v>
      </c>
      <c r="F669" s="1" t="s">
        <v>2711</v>
      </c>
      <c r="G669" s="1" t="s">
        <v>2713</v>
      </c>
      <c r="H669" s="1">
        <f>_xlfn.XLOOKUP(DB07_baselinesequence[[#This Row],[basesequence-ID]],DB06_baseline[ID],DB06_baseline[確認済],FALSE,0)</f>
        <v>0</v>
      </c>
      <c r="J669" s="1" t="s">
        <v>3009</v>
      </c>
      <c r="K669" s="4"/>
      <c r="L669" s="3"/>
    </row>
    <row r="670" spans="1:12" x14ac:dyDescent="0.45">
      <c r="A670" s="1">
        <v>682</v>
      </c>
      <c r="B670" s="1" t="str">
        <f>"07-"&amp;LEFT(RIGHTB(REPT(0,4)&amp;_xlfn.BASE(DB07_baselinesequence[[#This Row],[num]],36),4),2)&amp;"-"&amp;RIGHT(RIGHTB(REPT(0,4)&amp;_xlfn.BASE(DB07_baselinesequence[[#This Row],[num]],36),4),2)</f>
        <v>07-00-IY</v>
      </c>
      <c r="C670" s="1" t="s">
        <v>2715</v>
      </c>
      <c r="F670" s="1" t="s">
        <v>2714</v>
      </c>
      <c r="G670" s="1" t="s">
        <v>2716</v>
      </c>
      <c r="H670" s="1">
        <f>_xlfn.XLOOKUP(DB07_baselinesequence[[#This Row],[basesequence-ID]],DB06_baseline[ID],DB06_baseline[確認済],FALSE,0)</f>
        <v>0</v>
      </c>
      <c r="J670" s="1" t="s">
        <v>3010</v>
      </c>
      <c r="K670" s="4"/>
      <c r="L670" s="3"/>
    </row>
    <row r="671" spans="1:12" x14ac:dyDescent="0.45">
      <c r="A671" s="1">
        <v>683</v>
      </c>
      <c r="B671" s="1" t="str">
        <f>"07-"&amp;LEFT(RIGHTB(REPT(0,4)&amp;_xlfn.BASE(DB07_baselinesequence[[#This Row],[num]],36),4),2)&amp;"-"&amp;RIGHT(RIGHTB(REPT(0,4)&amp;_xlfn.BASE(DB07_baselinesequence[[#This Row],[num]],36),4),2)</f>
        <v>07-00-IZ</v>
      </c>
      <c r="C671" s="1" t="s">
        <v>2718</v>
      </c>
      <c r="F671" s="1" t="s">
        <v>2717</v>
      </c>
      <c r="G671" s="1" t="s">
        <v>2719</v>
      </c>
      <c r="H671" s="1">
        <f>_xlfn.XLOOKUP(DB07_baselinesequence[[#This Row],[basesequence-ID]],DB06_baseline[ID],DB06_baseline[確認済],FALSE,0)</f>
        <v>0</v>
      </c>
      <c r="J671" s="1" t="s">
        <v>3011</v>
      </c>
      <c r="K671" s="4"/>
      <c r="L671" s="3"/>
    </row>
    <row r="672" spans="1:12" x14ac:dyDescent="0.45">
      <c r="A672" s="1">
        <v>684</v>
      </c>
      <c r="B672" s="1" t="str">
        <f>"07-"&amp;LEFT(RIGHTB(REPT(0,4)&amp;_xlfn.BASE(DB07_baselinesequence[[#This Row],[num]],36),4),2)&amp;"-"&amp;RIGHT(RIGHTB(REPT(0,4)&amp;_xlfn.BASE(DB07_baselinesequence[[#This Row],[num]],36),4),2)</f>
        <v>07-00-J0</v>
      </c>
      <c r="C672" s="1" t="s">
        <v>2721</v>
      </c>
      <c r="F672" s="1" t="s">
        <v>2720</v>
      </c>
      <c r="G672" s="1" t="s">
        <v>2722</v>
      </c>
      <c r="H672" s="1">
        <f>_xlfn.XLOOKUP(DB07_baselinesequence[[#This Row],[basesequence-ID]],DB06_baseline[ID],DB06_baseline[確認済],FALSE,0)</f>
        <v>0</v>
      </c>
      <c r="J672" s="1" t="s">
        <v>3012</v>
      </c>
      <c r="K672" s="4"/>
      <c r="L672" s="3"/>
    </row>
    <row r="673" spans="1:12" x14ac:dyDescent="0.45">
      <c r="A673" s="1">
        <v>685</v>
      </c>
      <c r="B673" s="1" t="str">
        <f>"07-"&amp;LEFT(RIGHTB(REPT(0,4)&amp;_xlfn.BASE(DB07_baselinesequence[[#This Row],[num]],36),4),2)&amp;"-"&amp;RIGHT(RIGHTB(REPT(0,4)&amp;_xlfn.BASE(DB07_baselinesequence[[#This Row],[num]],36),4),2)</f>
        <v>07-00-J1</v>
      </c>
      <c r="C673" s="1" t="s">
        <v>2724</v>
      </c>
      <c r="F673" s="1" t="s">
        <v>2723</v>
      </c>
      <c r="G673" s="1" t="s">
        <v>2725</v>
      </c>
      <c r="H673" s="1">
        <f>_xlfn.XLOOKUP(DB07_baselinesequence[[#This Row],[basesequence-ID]],DB06_baseline[ID],DB06_baseline[確認済],FALSE,0)</f>
        <v>0</v>
      </c>
      <c r="J673" s="1" t="s">
        <v>3013</v>
      </c>
      <c r="K673" s="4"/>
      <c r="L673" s="3"/>
    </row>
    <row r="674" spans="1:12" x14ac:dyDescent="0.45">
      <c r="A674" s="1">
        <v>686</v>
      </c>
      <c r="B674" s="1" t="str">
        <f>"07-"&amp;LEFT(RIGHTB(REPT(0,4)&amp;_xlfn.BASE(DB07_baselinesequence[[#This Row],[num]],36),4),2)&amp;"-"&amp;RIGHT(RIGHTB(REPT(0,4)&amp;_xlfn.BASE(DB07_baselinesequence[[#This Row],[num]],36),4),2)</f>
        <v>07-00-J2</v>
      </c>
      <c r="C674" s="1" t="s">
        <v>2727</v>
      </c>
      <c r="F674" s="1" t="s">
        <v>2726</v>
      </c>
      <c r="G674" s="1" t="s">
        <v>2728</v>
      </c>
      <c r="H674" s="1">
        <f>_xlfn.XLOOKUP(DB07_baselinesequence[[#This Row],[basesequence-ID]],DB06_baseline[ID],DB06_baseline[確認済],FALSE,0)</f>
        <v>0</v>
      </c>
      <c r="J674" s="1" t="s">
        <v>3014</v>
      </c>
      <c r="K674" s="4"/>
      <c r="L674" s="3"/>
    </row>
    <row r="675" spans="1:12" x14ac:dyDescent="0.45">
      <c r="A675" s="1">
        <v>687</v>
      </c>
      <c r="B675" s="1" t="str">
        <f>"07-"&amp;LEFT(RIGHTB(REPT(0,4)&amp;_xlfn.BASE(DB07_baselinesequence[[#This Row],[num]],36),4),2)&amp;"-"&amp;RIGHT(RIGHTB(REPT(0,4)&amp;_xlfn.BASE(DB07_baselinesequence[[#This Row],[num]],36),4),2)</f>
        <v>07-00-J3</v>
      </c>
      <c r="C675" s="1" t="s">
        <v>2730</v>
      </c>
      <c r="F675" s="1" t="s">
        <v>2729</v>
      </c>
      <c r="G675" s="1" t="s">
        <v>2731</v>
      </c>
      <c r="H675" s="1">
        <f>_xlfn.XLOOKUP(DB07_baselinesequence[[#This Row],[basesequence-ID]],DB06_baseline[ID],DB06_baseline[確認済],FALSE,0)</f>
        <v>0</v>
      </c>
      <c r="J675" s="1" t="s">
        <v>3015</v>
      </c>
      <c r="K675" s="4"/>
      <c r="L675" s="3"/>
    </row>
    <row r="676" spans="1:12" x14ac:dyDescent="0.45">
      <c r="A676" s="1">
        <v>688</v>
      </c>
      <c r="B676" s="1" t="str">
        <f>"07-"&amp;LEFT(RIGHTB(REPT(0,4)&amp;_xlfn.BASE(DB07_baselinesequence[[#This Row],[num]],36),4),2)&amp;"-"&amp;RIGHT(RIGHTB(REPT(0,4)&amp;_xlfn.BASE(DB07_baselinesequence[[#This Row],[num]],36),4),2)</f>
        <v>07-00-J4</v>
      </c>
      <c r="C676" s="1" t="s">
        <v>2733</v>
      </c>
      <c r="F676" s="1" t="s">
        <v>2732</v>
      </c>
      <c r="G676" s="1" t="s">
        <v>2734</v>
      </c>
      <c r="H676" s="1">
        <f>_xlfn.XLOOKUP(DB07_baselinesequence[[#This Row],[basesequence-ID]],DB06_baseline[ID],DB06_baseline[確認済],FALSE,0)</f>
        <v>0</v>
      </c>
      <c r="J676" s="1" t="s">
        <v>3016</v>
      </c>
      <c r="K676" s="4"/>
      <c r="L676" s="3"/>
    </row>
    <row r="677" spans="1:12" x14ac:dyDescent="0.45">
      <c r="A677" s="1">
        <v>689</v>
      </c>
      <c r="B677" s="1" t="str">
        <f>"07-"&amp;LEFT(RIGHTB(REPT(0,4)&amp;_xlfn.BASE(DB07_baselinesequence[[#This Row],[num]],36),4),2)&amp;"-"&amp;RIGHT(RIGHTB(REPT(0,4)&amp;_xlfn.BASE(DB07_baselinesequence[[#This Row],[num]],36),4),2)</f>
        <v>07-00-J5</v>
      </c>
      <c r="C677" s="1" t="s">
        <v>2736</v>
      </c>
      <c r="F677" s="1" t="s">
        <v>2735</v>
      </c>
      <c r="G677" s="1" t="s">
        <v>2737</v>
      </c>
      <c r="H677" s="1">
        <f>_xlfn.XLOOKUP(DB07_baselinesequence[[#This Row],[basesequence-ID]],DB06_baseline[ID],DB06_baseline[確認済],FALSE,0)</f>
        <v>0</v>
      </c>
      <c r="J677" s="1" t="s">
        <v>3017</v>
      </c>
      <c r="K677" s="4"/>
      <c r="L677" s="3"/>
    </row>
    <row r="678" spans="1:12" x14ac:dyDescent="0.45">
      <c r="A678" s="1">
        <v>690</v>
      </c>
      <c r="B678" s="1" t="str">
        <f>"07-"&amp;LEFT(RIGHTB(REPT(0,4)&amp;_xlfn.BASE(DB07_baselinesequence[[#This Row],[num]],36),4),2)&amp;"-"&amp;RIGHT(RIGHTB(REPT(0,4)&amp;_xlfn.BASE(DB07_baselinesequence[[#This Row],[num]],36),4),2)</f>
        <v>07-00-J6</v>
      </c>
      <c r="C678" s="1" t="s">
        <v>2739</v>
      </c>
      <c r="F678" s="1" t="s">
        <v>2738</v>
      </c>
      <c r="G678" s="1" t="s">
        <v>2740</v>
      </c>
      <c r="H678" s="1">
        <f>_xlfn.XLOOKUP(DB07_baselinesequence[[#This Row],[basesequence-ID]],DB06_baseline[ID],DB06_baseline[確認済],FALSE,0)</f>
        <v>0</v>
      </c>
      <c r="J678" s="1" t="s">
        <v>3018</v>
      </c>
      <c r="K678" s="4"/>
      <c r="L678" s="3"/>
    </row>
    <row r="679" spans="1:12" x14ac:dyDescent="0.45">
      <c r="A679" s="1">
        <v>691</v>
      </c>
      <c r="B679" s="1" t="str">
        <f>"07-"&amp;LEFT(RIGHTB(REPT(0,4)&amp;_xlfn.BASE(DB07_baselinesequence[[#This Row],[num]],36),4),2)&amp;"-"&amp;RIGHT(RIGHTB(REPT(0,4)&amp;_xlfn.BASE(DB07_baselinesequence[[#This Row],[num]],36),4),2)</f>
        <v>07-00-J7</v>
      </c>
      <c r="C679" s="1" t="s">
        <v>2742</v>
      </c>
      <c r="F679" s="1" t="s">
        <v>2741</v>
      </c>
      <c r="G679" s="1" t="s">
        <v>2743</v>
      </c>
      <c r="H679" s="1">
        <f>_xlfn.XLOOKUP(DB07_baselinesequence[[#This Row],[basesequence-ID]],DB06_baseline[ID],DB06_baseline[確認済],FALSE,0)</f>
        <v>0</v>
      </c>
      <c r="J679" s="1" t="s">
        <v>3019</v>
      </c>
      <c r="K679" s="4"/>
      <c r="L679" s="3"/>
    </row>
    <row r="680" spans="1:12" x14ac:dyDescent="0.45">
      <c r="A680" s="1">
        <v>692</v>
      </c>
      <c r="B680" s="1" t="str">
        <f>"07-"&amp;LEFT(RIGHTB(REPT(0,4)&amp;_xlfn.BASE(DB07_baselinesequence[[#This Row],[num]],36),4),2)&amp;"-"&amp;RIGHT(RIGHTB(REPT(0,4)&amp;_xlfn.BASE(DB07_baselinesequence[[#This Row],[num]],36),4),2)</f>
        <v>07-00-J8</v>
      </c>
      <c r="C680" s="1" t="s">
        <v>2745</v>
      </c>
      <c r="F680" s="1" t="s">
        <v>2744</v>
      </c>
      <c r="G680" s="1" t="s">
        <v>2746</v>
      </c>
      <c r="H680" s="1">
        <f>_xlfn.XLOOKUP(DB07_baselinesequence[[#This Row],[basesequence-ID]],DB06_baseline[ID],DB06_baseline[確認済],FALSE,0)</f>
        <v>0</v>
      </c>
      <c r="J680" s="1" t="s">
        <v>3020</v>
      </c>
      <c r="K680" s="4"/>
      <c r="L680" s="3"/>
    </row>
    <row r="681" spans="1:12" x14ac:dyDescent="0.45">
      <c r="A681" s="1">
        <v>693</v>
      </c>
      <c r="B681" s="1" t="str">
        <f>"07-"&amp;LEFT(RIGHTB(REPT(0,4)&amp;_xlfn.BASE(DB07_baselinesequence[[#This Row],[num]],36),4),2)&amp;"-"&amp;RIGHT(RIGHTB(REPT(0,4)&amp;_xlfn.BASE(DB07_baselinesequence[[#This Row],[num]],36),4),2)</f>
        <v>07-00-J9</v>
      </c>
      <c r="C681" s="1" t="s">
        <v>3088</v>
      </c>
      <c r="F681" s="1" t="s">
        <v>2747</v>
      </c>
      <c r="G681" s="1" t="s">
        <v>2748</v>
      </c>
      <c r="H681" s="1">
        <f>_xlfn.XLOOKUP(DB07_baselinesequence[[#This Row],[basesequence-ID]],DB06_baseline[ID],DB06_baseline[確認済],FALSE,0)</f>
        <v>0</v>
      </c>
      <c r="J681" s="1" t="s">
        <v>3054</v>
      </c>
      <c r="K681" s="4"/>
      <c r="L681" s="3"/>
    </row>
    <row r="682" spans="1:12" x14ac:dyDescent="0.45">
      <c r="A682" s="1">
        <v>694</v>
      </c>
      <c r="B682" s="1" t="str">
        <f>"07-"&amp;LEFT(RIGHTB(REPT(0,4)&amp;_xlfn.BASE(DB07_baselinesequence[[#This Row],[num]],36),4),2)&amp;"-"&amp;RIGHT(RIGHTB(REPT(0,4)&amp;_xlfn.BASE(DB07_baselinesequence[[#This Row],[num]],36),4),2)</f>
        <v>07-00-JA</v>
      </c>
      <c r="C682" s="1" t="s">
        <v>2750</v>
      </c>
      <c r="F682" s="1" t="s">
        <v>2749</v>
      </c>
      <c r="G682" s="1" t="s">
        <v>2751</v>
      </c>
      <c r="H682" s="1">
        <f>_xlfn.XLOOKUP(DB07_baselinesequence[[#This Row],[basesequence-ID]],DB06_baseline[ID],DB06_baseline[確認済],FALSE,0)</f>
        <v>0</v>
      </c>
      <c r="J682" s="1" t="s">
        <v>3021</v>
      </c>
      <c r="K682" s="4"/>
      <c r="L682" s="3"/>
    </row>
    <row r="683" spans="1:12" x14ac:dyDescent="0.45">
      <c r="A683" s="1">
        <v>695</v>
      </c>
      <c r="B683" s="1" t="str">
        <f>"07-"&amp;LEFT(RIGHTB(REPT(0,4)&amp;_xlfn.BASE(DB07_baselinesequence[[#This Row],[num]],36),4),2)&amp;"-"&amp;RIGHT(RIGHTB(REPT(0,4)&amp;_xlfn.BASE(DB07_baselinesequence[[#This Row],[num]],36),4),2)</f>
        <v>07-00-JB</v>
      </c>
      <c r="C683" s="1" t="s">
        <v>2753</v>
      </c>
      <c r="F683" s="1" t="s">
        <v>2752</v>
      </c>
      <c r="G683" s="1" t="s">
        <v>2754</v>
      </c>
      <c r="H683" s="1">
        <f>_xlfn.XLOOKUP(DB07_baselinesequence[[#This Row],[basesequence-ID]],DB06_baseline[ID],DB06_baseline[確認済],FALSE,0)</f>
        <v>0</v>
      </c>
      <c r="J683" s="1" t="s">
        <v>3022</v>
      </c>
      <c r="K683" s="4"/>
      <c r="L683" s="3"/>
    </row>
    <row r="684" spans="1:12" x14ac:dyDescent="0.45">
      <c r="A684" s="1">
        <v>696</v>
      </c>
      <c r="B684" s="1" t="str">
        <f>"07-"&amp;LEFT(RIGHTB(REPT(0,4)&amp;_xlfn.BASE(DB07_baselinesequence[[#This Row],[num]],36),4),2)&amp;"-"&amp;RIGHT(RIGHTB(REPT(0,4)&amp;_xlfn.BASE(DB07_baselinesequence[[#This Row],[num]],36),4),2)</f>
        <v>07-00-JC</v>
      </c>
      <c r="C684" s="1" t="s">
        <v>2756</v>
      </c>
      <c r="F684" s="1" t="s">
        <v>2755</v>
      </c>
      <c r="G684" s="1" t="s">
        <v>2757</v>
      </c>
      <c r="H684" s="1">
        <f>_xlfn.XLOOKUP(DB07_baselinesequence[[#This Row],[basesequence-ID]],DB06_baseline[ID],DB06_baseline[確認済],FALSE,0)</f>
        <v>0</v>
      </c>
      <c r="J684" s="1" t="s">
        <v>3023</v>
      </c>
      <c r="K684" s="4"/>
      <c r="L684" s="3"/>
    </row>
    <row r="685" spans="1:12" x14ac:dyDescent="0.45">
      <c r="A685" s="1">
        <v>697</v>
      </c>
      <c r="B685" s="1" t="str">
        <f>"07-"&amp;LEFT(RIGHTB(REPT(0,4)&amp;_xlfn.BASE(DB07_baselinesequence[[#This Row],[num]],36),4),2)&amp;"-"&amp;RIGHT(RIGHTB(REPT(0,4)&amp;_xlfn.BASE(DB07_baselinesequence[[#This Row],[num]],36),4),2)</f>
        <v>07-00-JD</v>
      </c>
      <c r="C685" s="1" t="s">
        <v>2759</v>
      </c>
      <c r="F685" s="1" t="s">
        <v>2758</v>
      </c>
      <c r="G685" s="1" t="s">
        <v>2760</v>
      </c>
      <c r="H685" s="1">
        <f>_xlfn.XLOOKUP(DB07_baselinesequence[[#This Row],[basesequence-ID]],DB06_baseline[ID],DB06_baseline[確認済],FALSE,0)</f>
        <v>0</v>
      </c>
      <c r="J685" s="1" t="s">
        <v>3024</v>
      </c>
      <c r="K685" s="4"/>
      <c r="L685" s="3"/>
    </row>
    <row r="686" spans="1:12" x14ac:dyDescent="0.45">
      <c r="A686" s="1">
        <v>698</v>
      </c>
      <c r="B686" s="1" t="str">
        <f>"07-"&amp;LEFT(RIGHTB(REPT(0,4)&amp;_xlfn.BASE(DB07_baselinesequence[[#This Row],[num]],36),4),2)&amp;"-"&amp;RIGHT(RIGHTB(REPT(0,4)&amp;_xlfn.BASE(DB07_baselinesequence[[#This Row],[num]],36),4),2)</f>
        <v>07-00-JE</v>
      </c>
      <c r="C686" s="1" t="s">
        <v>2762</v>
      </c>
      <c r="F686" s="1" t="s">
        <v>2761</v>
      </c>
      <c r="G686" s="1" t="s">
        <v>2763</v>
      </c>
      <c r="H686" s="1">
        <f>_xlfn.XLOOKUP(DB07_baselinesequence[[#This Row],[basesequence-ID]],DB06_baseline[ID],DB06_baseline[確認済],FALSE,0)</f>
        <v>0</v>
      </c>
      <c r="J686" s="1" t="s">
        <v>3025</v>
      </c>
      <c r="K686" s="4"/>
      <c r="L686" s="3"/>
    </row>
    <row r="687" spans="1:12" x14ac:dyDescent="0.45">
      <c r="A687" s="1">
        <v>699</v>
      </c>
      <c r="B687" s="1" t="str">
        <f>"07-"&amp;LEFT(RIGHTB(REPT(0,4)&amp;_xlfn.BASE(DB07_baselinesequence[[#This Row],[num]],36),4),2)&amp;"-"&amp;RIGHT(RIGHTB(REPT(0,4)&amp;_xlfn.BASE(DB07_baselinesequence[[#This Row],[num]],36),4),2)</f>
        <v>07-00-JF</v>
      </c>
      <c r="C687" s="1" t="s">
        <v>2765</v>
      </c>
      <c r="F687" s="1" t="s">
        <v>2764</v>
      </c>
      <c r="G687" s="1" t="s">
        <v>2766</v>
      </c>
      <c r="H687" s="1">
        <f>_xlfn.XLOOKUP(DB07_baselinesequence[[#This Row],[basesequence-ID]],DB06_baseline[ID],DB06_baseline[確認済],FALSE,0)</f>
        <v>0</v>
      </c>
      <c r="J687" s="1" t="s">
        <v>3026</v>
      </c>
      <c r="K687" s="4"/>
      <c r="L687" s="3"/>
    </row>
    <row r="688" spans="1:12" x14ac:dyDescent="0.45">
      <c r="A688" s="1">
        <v>700</v>
      </c>
      <c r="B688" s="1" t="str">
        <f>"07-"&amp;LEFT(RIGHTB(REPT(0,4)&amp;_xlfn.BASE(DB07_baselinesequence[[#This Row],[num]],36),4),2)&amp;"-"&amp;RIGHT(RIGHTB(REPT(0,4)&amp;_xlfn.BASE(DB07_baselinesequence[[#This Row],[num]],36),4),2)</f>
        <v>07-00-JG</v>
      </c>
      <c r="C688" s="1" t="s">
        <v>2768</v>
      </c>
      <c r="F688" s="1" t="s">
        <v>2767</v>
      </c>
      <c r="G688" s="1" t="s">
        <v>2769</v>
      </c>
      <c r="H688" s="1">
        <f>_xlfn.XLOOKUP(DB07_baselinesequence[[#This Row],[basesequence-ID]],DB06_baseline[ID],DB06_baseline[確認済],FALSE,0)</f>
        <v>0</v>
      </c>
      <c r="J688" s="1" t="s">
        <v>3027</v>
      </c>
      <c r="K688" s="4"/>
      <c r="L688" s="3"/>
    </row>
    <row r="689" spans="1:12" x14ac:dyDescent="0.45">
      <c r="A689" s="1">
        <v>701</v>
      </c>
      <c r="B689" s="1" t="str">
        <f>"07-"&amp;LEFT(RIGHTB(REPT(0,4)&amp;_xlfn.BASE(DB07_baselinesequence[[#This Row],[num]],36),4),2)&amp;"-"&amp;RIGHT(RIGHTB(REPT(0,4)&amp;_xlfn.BASE(DB07_baselinesequence[[#This Row],[num]],36),4),2)</f>
        <v>07-00-JH</v>
      </c>
      <c r="C689" s="1" t="s">
        <v>2771</v>
      </c>
      <c r="F689" s="1" t="s">
        <v>2770</v>
      </c>
      <c r="G689" s="1" t="s">
        <v>2772</v>
      </c>
      <c r="H689" s="1">
        <f>_xlfn.XLOOKUP(DB07_baselinesequence[[#This Row],[basesequence-ID]],DB06_baseline[ID],DB06_baseline[確認済],FALSE,0)</f>
        <v>0</v>
      </c>
      <c r="J689" s="1" t="s">
        <v>3028</v>
      </c>
      <c r="K689" s="4"/>
      <c r="L689" s="3"/>
    </row>
    <row r="690" spans="1:12" x14ac:dyDescent="0.45">
      <c r="A690" s="1">
        <v>702</v>
      </c>
      <c r="B690" s="1" t="str">
        <f>"07-"&amp;LEFT(RIGHTB(REPT(0,4)&amp;_xlfn.BASE(DB07_baselinesequence[[#This Row],[num]],36),4),2)&amp;"-"&amp;RIGHT(RIGHTB(REPT(0,4)&amp;_xlfn.BASE(DB07_baselinesequence[[#This Row],[num]],36),4),2)</f>
        <v>07-00-JI</v>
      </c>
      <c r="C690" s="1" t="s">
        <v>2774</v>
      </c>
      <c r="F690" s="1" t="s">
        <v>2773</v>
      </c>
      <c r="G690" s="1" t="s">
        <v>2775</v>
      </c>
      <c r="H690" s="1">
        <f>_xlfn.XLOOKUP(DB07_baselinesequence[[#This Row],[basesequence-ID]],DB06_baseline[ID],DB06_baseline[確認済],FALSE,0)</f>
        <v>0</v>
      </c>
      <c r="J690" s="1" t="s">
        <v>3029</v>
      </c>
      <c r="K690" s="4"/>
      <c r="L690" s="3"/>
    </row>
    <row r="691" spans="1:12" x14ac:dyDescent="0.45">
      <c r="A691" s="1">
        <v>703</v>
      </c>
      <c r="B691" s="1" t="str">
        <f>"07-"&amp;LEFT(RIGHTB(REPT(0,4)&amp;_xlfn.BASE(DB07_baselinesequence[[#This Row],[num]],36),4),2)&amp;"-"&amp;RIGHT(RIGHTB(REPT(0,4)&amp;_xlfn.BASE(DB07_baselinesequence[[#This Row],[num]],36),4),2)</f>
        <v>07-00-JJ</v>
      </c>
      <c r="C691" s="1" t="s">
        <v>2777</v>
      </c>
      <c r="F691" s="1" t="s">
        <v>2776</v>
      </c>
      <c r="G691" s="1" t="s">
        <v>2778</v>
      </c>
      <c r="H691" s="1">
        <f>_xlfn.XLOOKUP(DB07_baselinesequence[[#This Row],[basesequence-ID]],DB06_baseline[ID],DB06_baseline[確認済],FALSE,0)</f>
        <v>0</v>
      </c>
      <c r="J691" s="1" t="s">
        <v>3030</v>
      </c>
      <c r="K691" s="4"/>
      <c r="L691" s="3"/>
    </row>
    <row r="692" spans="1:12" x14ac:dyDescent="0.45">
      <c r="A692" s="1">
        <v>704</v>
      </c>
      <c r="B692" s="1" t="str">
        <f>"07-"&amp;LEFT(RIGHTB(REPT(0,4)&amp;_xlfn.BASE(DB07_baselinesequence[[#This Row],[num]],36),4),2)&amp;"-"&amp;RIGHT(RIGHTB(REPT(0,4)&amp;_xlfn.BASE(DB07_baselinesequence[[#This Row],[num]],36),4),2)</f>
        <v>07-00-JK</v>
      </c>
      <c r="C692" s="1" t="s">
        <v>2780</v>
      </c>
      <c r="F692" s="1" t="s">
        <v>2779</v>
      </c>
      <c r="G692" s="1" t="s">
        <v>2781</v>
      </c>
      <c r="H692" s="1">
        <f>_xlfn.XLOOKUP(DB07_baselinesequence[[#This Row],[basesequence-ID]],DB06_baseline[ID],DB06_baseline[確認済],FALSE,0)</f>
        <v>0</v>
      </c>
      <c r="J692" s="1" t="s">
        <v>3031</v>
      </c>
      <c r="K692" s="4"/>
      <c r="L692" s="3"/>
    </row>
    <row r="693" spans="1:12" x14ac:dyDescent="0.45">
      <c r="A693" s="1">
        <v>705</v>
      </c>
      <c r="B693" s="1" t="str">
        <f>"07-"&amp;LEFT(RIGHTB(REPT(0,4)&amp;_xlfn.BASE(DB07_baselinesequence[[#This Row],[num]],36),4),2)&amp;"-"&amp;RIGHT(RIGHTB(REPT(0,4)&amp;_xlfn.BASE(DB07_baselinesequence[[#This Row],[num]],36),4),2)</f>
        <v>07-00-JL</v>
      </c>
      <c r="C693" s="1" t="s">
        <v>2783</v>
      </c>
      <c r="F693" s="1" t="s">
        <v>2782</v>
      </c>
      <c r="G693" s="1" t="s">
        <v>2784</v>
      </c>
      <c r="H693" s="1">
        <f>_xlfn.XLOOKUP(DB07_baselinesequence[[#This Row],[basesequence-ID]],DB06_baseline[ID],DB06_baseline[確認済],FALSE,0)</f>
        <v>0</v>
      </c>
      <c r="J693" s="1" t="s">
        <v>3032</v>
      </c>
      <c r="K693" s="4"/>
      <c r="L693" s="3"/>
    </row>
    <row r="694" spans="1:12" x14ac:dyDescent="0.45">
      <c r="A694" s="1">
        <v>706</v>
      </c>
      <c r="B694" s="1" t="str">
        <f>"07-"&amp;LEFT(RIGHTB(REPT(0,4)&amp;_xlfn.BASE(DB07_baselinesequence[[#This Row],[num]],36),4),2)&amp;"-"&amp;RIGHT(RIGHTB(REPT(0,4)&amp;_xlfn.BASE(DB07_baselinesequence[[#This Row],[num]],36),4),2)</f>
        <v>07-00-JM</v>
      </c>
      <c r="C694" s="1" t="s">
        <v>3033</v>
      </c>
      <c r="F694" s="1" t="s">
        <v>3037</v>
      </c>
      <c r="G694" s="1" t="str">
        <f>_xlfn.XLOOKUP(DB07_baselinesequence[[#This Row],[basesequence-ID]],DB06_baseline[ID],DB06_baseline[Baseline],"",0)</f>
        <v>AAAACCACAGGCGAGTTCTAC</v>
      </c>
      <c r="H694" s="1">
        <f>_xlfn.XLOOKUP(DB07_baselinesequence[[#This Row],[basesequence-ID]],DB06_baseline[ID],DB06_baseline[確認済],FALSE,0)</f>
        <v>0</v>
      </c>
      <c r="J694" s="1" t="s">
        <v>3045</v>
      </c>
      <c r="K694" s="4"/>
      <c r="L694" s="3"/>
    </row>
    <row r="695" spans="1:12" x14ac:dyDescent="0.45">
      <c r="A695" s="1">
        <v>707</v>
      </c>
      <c r="B695" s="1" t="str">
        <f>"07-"&amp;LEFT(RIGHTB(REPT(0,4)&amp;_xlfn.BASE(DB07_baselinesequence[[#This Row],[num]],36),4),2)&amp;"-"&amp;RIGHT(RIGHTB(REPT(0,4)&amp;_xlfn.BASE(DB07_baselinesequence[[#This Row],[num]],36),4),2)</f>
        <v>07-00-JN</v>
      </c>
      <c r="C695" s="1" t="s">
        <v>3034</v>
      </c>
      <c r="F695" s="1" t="s">
        <v>3039</v>
      </c>
      <c r="G695" s="1" t="str">
        <f>_xlfn.XLOOKUP(DB07_baselinesequence[[#This Row],[basesequence-ID]],DB06_baseline[ID],DB06_baseline[Baseline],"",0)</f>
        <v>GTAGAACTCGCCTGTGGTTTT</v>
      </c>
      <c r="H695" s="1">
        <f>_xlfn.XLOOKUP(DB07_baselinesequence[[#This Row],[basesequence-ID]],DB06_baseline[ID],DB06_baseline[確認済],FALSE,0)</f>
        <v>0</v>
      </c>
      <c r="J695" s="1" t="s">
        <v>3046</v>
      </c>
      <c r="K695" s="4"/>
      <c r="L695" s="3"/>
    </row>
    <row r="696" spans="1:12" x14ac:dyDescent="0.45">
      <c r="A696" s="1">
        <v>708</v>
      </c>
      <c r="B696" s="1" t="str">
        <f>"07-"&amp;LEFT(RIGHTB(REPT(0,4)&amp;_xlfn.BASE(DB07_baselinesequence[[#This Row],[num]],36),4),2)&amp;"-"&amp;RIGHT(RIGHTB(REPT(0,4)&amp;_xlfn.BASE(DB07_baselinesequence[[#This Row],[num]],36),4),2)</f>
        <v>07-00-JO</v>
      </c>
      <c r="C696" s="1" t="s">
        <v>3035</v>
      </c>
      <c r="F696" s="1" t="s">
        <v>3041</v>
      </c>
      <c r="G696" s="1" t="str">
        <f>_xlfn.XLOOKUP(DB07_baselinesequence[[#This Row],[basesequence-ID]],DB06_baseline[ID],DB06_baseline[Baseline],"",0)</f>
        <v>GCACACTTCCAATACTTACC</v>
      </c>
      <c r="H696" s="1">
        <f>_xlfn.XLOOKUP(DB07_baselinesequence[[#This Row],[basesequence-ID]],DB06_baseline[ID],DB06_baseline[確認済],FALSE,0)</f>
        <v>0</v>
      </c>
      <c r="J696" s="1" t="s">
        <v>3047</v>
      </c>
      <c r="K696" s="4"/>
      <c r="L696" s="3"/>
    </row>
    <row r="697" spans="1:12" x14ac:dyDescent="0.45">
      <c r="A697" s="1">
        <v>709</v>
      </c>
      <c r="B697" s="1" t="str">
        <f>"07-"&amp;LEFT(RIGHTB(REPT(0,4)&amp;_xlfn.BASE(DB07_baselinesequence[[#This Row],[num]],36),4),2)&amp;"-"&amp;RIGHT(RIGHTB(REPT(0,4)&amp;_xlfn.BASE(DB07_baselinesequence[[#This Row],[num]],36),4),2)</f>
        <v>07-00-JP</v>
      </c>
      <c r="C697" s="1" t="s">
        <v>3036</v>
      </c>
      <c r="F697" s="1" t="s">
        <v>3043</v>
      </c>
      <c r="G697" s="1" t="str">
        <f>_xlfn.XLOOKUP(DB07_baselinesequence[[#This Row],[basesequence-ID]],DB06_baseline[ID],DB06_baseline[Baseline],"",0)</f>
        <v>GGTAAGTATTGGAAGTGTGC</v>
      </c>
      <c r="H697" s="1">
        <f>_xlfn.XLOOKUP(DB07_baselinesequence[[#This Row],[basesequence-ID]],DB06_baseline[ID],DB06_baseline[確認済],FALSE,0)</f>
        <v>0</v>
      </c>
      <c r="J697" s="1" t="s">
        <v>3048</v>
      </c>
      <c r="K697" s="4"/>
      <c r="L697" s="3"/>
    </row>
    <row r="698" spans="1:12" x14ac:dyDescent="0.45">
      <c r="A698" s="1">
        <v>710</v>
      </c>
      <c r="B698" s="1" t="str">
        <f>"07-"&amp;LEFT(RIGHTB(REPT(0,4)&amp;_xlfn.BASE(DB07_baselinesequence[[#This Row],[num]],36),4),2)&amp;"-"&amp;RIGHT(RIGHTB(REPT(0,4)&amp;_xlfn.BASE(DB07_baselinesequence[[#This Row],[num]],36),4),2)</f>
        <v>07-00-JQ</v>
      </c>
      <c r="C698" s="1" t="s">
        <v>3052</v>
      </c>
      <c r="F698" s="1" t="s">
        <v>3051</v>
      </c>
      <c r="G698" s="9" t="s">
        <v>453</v>
      </c>
      <c r="H698" s="1">
        <f>_xlfn.XLOOKUP(DB07_baselinesequence[[#This Row],[basesequence-ID]],DB06_baseline[ID],DB06_baseline[確認済],FALSE,0)</f>
        <v>0</v>
      </c>
      <c r="J698" s="1" t="s">
        <v>453</v>
      </c>
      <c r="K698" s="4"/>
      <c r="L698" s="3"/>
    </row>
    <row r="699" spans="1:12" x14ac:dyDescent="0.45">
      <c r="A699" s="1">
        <v>711</v>
      </c>
      <c r="B699" s="1" t="str">
        <f>"07-"&amp;LEFT(RIGHTB(REPT(0,4)&amp;_xlfn.BASE(DB07_baselinesequence[[#This Row],[num]],36),4),2)&amp;"-"&amp;RIGHT(RIGHTB(REPT(0,4)&amp;_xlfn.BASE(DB07_baselinesequence[[#This Row],[num]],36),4),2)</f>
        <v>07-00-JR</v>
      </c>
      <c r="C699" s="1" t="s">
        <v>3077</v>
      </c>
      <c r="F699" s="1" t="s">
        <v>3068</v>
      </c>
      <c r="G699" s="1" t="s">
        <v>3063</v>
      </c>
      <c r="H699" s="1">
        <f>_xlfn.XLOOKUP(DB07_baselinesequence[[#This Row],[basesequence-ID]],DB06_baseline[ID],DB06_baseline[確認済],FALSE,0)</f>
        <v>0</v>
      </c>
      <c r="J699" s="1" t="s">
        <v>3058</v>
      </c>
      <c r="K699" s="4"/>
      <c r="L699" s="3"/>
    </row>
    <row r="700" spans="1:12" x14ac:dyDescent="0.45">
      <c r="A700" s="1">
        <v>712</v>
      </c>
      <c r="B700" s="1" t="str">
        <f>"07-"&amp;LEFT(RIGHTB(REPT(0,4)&amp;_xlfn.BASE(DB07_baselinesequence[[#This Row],[num]],36),4),2)&amp;"-"&amp;RIGHT(RIGHTB(REPT(0,4)&amp;_xlfn.BASE(DB07_baselinesequence[[#This Row],[num]],36),4),2)</f>
        <v>07-00-JS</v>
      </c>
      <c r="C700" s="1" t="s">
        <v>3078</v>
      </c>
      <c r="F700" s="1" t="s">
        <v>3069</v>
      </c>
      <c r="G700" s="1" t="s">
        <v>3064</v>
      </c>
      <c r="H700" s="1">
        <f>_xlfn.XLOOKUP(DB07_baselinesequence[[#This Row],[basesequence-ID]],DB06_baseline[ID],DB06_baseline[確認済],FALSE,0)</f>
        <v>0</v>
      </c>
      <c r="J700" s="1" t="s">
        <v>3059</v>
      </c>
      <c r="K700" s="4"/>
      <c r="L700" s="3"/>
    </row>
    <row r="701" spans="1:12" x14ac:dyDescent="0.45">
      <c r="A701" s="1">
        <v>713</v>
      </c>
      <c r="B701" s="1" t="str">
        <f>"07-"&amp;LEFT(RIGHTB(REPT(0,4)&amp;_xlfn.BASE(DB07_baselinesequence[[#This Row],[num]],36),4),2)&amp;"-"&amp;RIGHT(RIGHTB(REPT(0,4)&amp;_xlfn.BASE(DB07_baselinesequence[[#This Row],[num]],36),4),2)</f>
        <v>07-00-JT</v>
      </c>
      <c r="C701" s="1" t="s">
        <v>3079</v>
      </c>
      <c r="F701" s="1" t="s">
        <v>3070</v>
      </c>
      <c r="G701" s="1" t="s">
        <v>3065</v>
      </c>
      <c r="H701" s="1">
        <f>_xlfn.XLOOKUP(DB07_baselinesequence[[#This Row],[basesequence-ID]],DB06_baseline[ID],DB06_baseline[確認済],FALSE,0)</f>
        <v>0</v>
      </c>
      <c r="J701" s="1" t="s">
        <v>3060</v>
      </c>
      <c r="K701" s="4"/>
      <c r="L701" s="3"/>
    </row>
    <row r="702" spans="1:12" x14ac:dyDescent="0.45">
      <c r="A702" s="1">
        <v>714</v>
      </c>
      <c r="B702" s="1" t="str">
        <f>"07-"&amp;LEFT(RIGHTB(REPT(0,4)&amp;_xlfn.BASE(DB07_baselinesequence[[#This Row],[num]],36),4),2)&amp;"-"&amp;RIGHT(RIGHTB(REPT(0,4)&amp;_xlfn.BASE(DB07_baselinesequence[[#This Row],[num]],36),4),2)</f>
        <v>07-00-JU</v>
      </c>
      <c r="C702" s="1" t="s">
        <v>3080</v>
      </c>
      <c r="F702" s="1" t="s">
        <v>3071</v>
      </c>
      <c r="G702" s="1" t="s">
        <v>3066</v>
      </c>
      <c r="H702" s="1">
        <f>_xlfn.XLOOKUP(DB07_baselinesequence[[#This Row],[basesequence-ID]],DB06_baseline[ID],DB06_baseline[確認済],FALSE,0)</f>
        <v>0</v>
      </c>
      <c r="J702" s="1" t="s">
        <v>3061</v>
      </c>
      <c r="K702" s="4"/>
      <c r="L702" s="3"/>
    </row>
    <row r="703" spans="1:12" x14ac:dyDescent="0.45">
      <c r="A703" s="1">
        <v>715</v>
      </c>
      <c r="B703" s="1" t="str">
        <f>"07-"&amp;LEFT(RIGHTB(REPT(0,4)&amp;_xlfn.BASE(DB07_baselinesequence[[#This Row],[num]],36),4),2)&amp;"-"&amp;RIGHT(RIGHTB(REPT(0,4)&amp;_xlfn.BASE(DB07_baselinesequence[[#This Row],[num]],36),4),2)</f>
        <v>07-00-JV</v>
      </c>
      <c r="C703" s="1" t="s">
        <v>3081</v>
      </c>
      <c r="F703" s="1" t="s">
        <v>3072</v>
      </c>
      <c r="G703" s="1" t="s">
        <v>3067</v>
      </c>
      <c r="H703" s="1">
        <f>_xlfn.XLOOKUP(DB07_baselinesequence[[#This Row],[basesequence-ID]],DB06_baseline[ID],DB06_baseline[確認済],FALSE,0)</f>
        <v>0</v>
      </c>
      <c r="J703" s="1" t="s">
        <v>3062</v>
      </c>
      <c r="K703" s="4"/>
      <c r="L703" s="3"/>
    </row>
    <row r="704" spans="1:12" x14ac:dyDescent="0.45">
      <c r="A704" s="1">
        <v>716</v>
      </c>
      <c r="B704" s="1" t="str">
        <f>"07-"&amp;LEFT(RIGHTB(REPT(0,4)&amp;_xlfn.BASE(DB07_baselinesequence[[#This Row],[num]],36),4),2)&amp;"-"&amp;RIGHT(RIGHTB(REPT(0,4)&amp;_xlfn.BASE(DB07_baselinesequence[[#This Row],[num]],36),4),2)</f>
        <v>07-00-JW</v>
      </c>
      <c r="C704" s="1" t="s">
        <v>3100</v>
      </c>
      <c r="E704" s="10"/>
      <c r="F704" s="1" t="s">
        <v>3097</v>
      </c>
      <c r="G704" s="1" t="str">
        <f>_xlfn.XLOOKUP(DB07_baselinesequence[[#This Row],[basesequence-ID]],DB06_baseline[ID],DB06_baseline[Baseline],"",0)</f>
        <v>TGTAAAACCGTT</v>
      </c>
      <c r="H704" s="1">
        <f>_xlfn.XLOOKUP(DB07_baselinesequence[[#This Row],[basesequence-ID]],DB06_baseline[ID],DB06_baseline[確認済],FALSE,0)</f>
        <v>0</v>
      </c>
      <c r="J704" s="1" t="s">
        <v>3099</v>
      </c>
      <c r="K704" s="4"/>
      <c r="L704" s="3"/>
    </row>
    <row r="705" spans="1:12" ht="18" x14ac:dyDescent="0.45">
      <c r="A705" s="1">
        <v>717</v>
      </c>
      <c r="B705" s="1" t="str">
        <f>"07-"&amp;LEFT(RIGHTB(REPT(0,4)&amp;_xlfn.BASE(DB07_baselinesequence[[#This Row],[num]],36),4),2)&amp;"-"&amp;RIGHT(RIGHTB(REPT(0,4)&amp;_xlfn.BASE(DB07_baselinesequence[[#This Row],[num]],36),4),2)</f>
        <v>07-00-JX</v>
      </c>
      <c r="C705" s="11" t="s">
        <v>3326</v>
      </c>
      <c r="F705" s="1" t="s">
        <v>3101</v>
      </c>
      <c r="G705" s="1" t="str">
        <f>_xlfn.XLOOKUP(DB07_baselinesequence[[#This Row],[basesequence-ID]],DB06_baseline[ID],DB06_baseline[Baseline],"",0)</f>
        <v>TACTGTTTTTCTCTGCATGC</v>
      </c>
      <c r="H705" s="1">
        <f>_xlfn.XLOOKUP(DB07_baselinesequence[[#This Row],[basesequence-ID]],DB06_baseline[ID],DB06_baseline[確認済],FALSE,0)</f>
        <v>0</v>
      </c>
      <c r="J705" s="13" t="s">
        <v>3552</v>
      </c>
      <c r="K705" s="4"/>
      <c r="L705" s="3"/>
    </row>
    <row r="706" spans="1:12" ht="18" x14ac:dyDescent="0.45">
      <c r="A706" s="1">
        <v>718</v>
      </c>
      <c r="B706" s="1" t="str">
        <f>"07-"&amp;LEFT(RIGHTB(REPT(0,4)&amp;_xlfn.BASE(DB07_baselinesequence[[#This Row],[num]],36),4),2)&amp;"-"&amp;RIGHT(RIGHTB(REPT(0,4)&amp;_xlfn.BASE(DB07_baselinesequence[[#This Row],[num]],36),4),2)</f>
        <v>07-00-JY</v>
      </c>
      <c r="C706" s="11" t="s">
        <v>3327</v>
      </c>
      <c r="F706" s="1" t="s">
        <v>3103</v>
      </c>
      <c r="G706" s="1" t="str">
        <f>_xlfn.XLOOKUP(DB07_baselinesequence[[#This Row],[basesequence-ID]],DB06_baseline[ID],DB06_baseline[Baseline],"",0)</f>
        <v>GGTACTGTTTTTCTCTGCAT</v>
      </c>
      <c r="H706" s="1">
        <f>_xlfn.XLOOKUP(DB07_baselinesequence[[#This Row],[basesequence-ID]],DB06_baseline[ID],DB06_baseline[確認済],FALSE,0)</f>
        <v>0</v>
      </c>
      <c r="J706" s="13" t="s">
        <v>3553</v>
      </c>
      <c r="K706" s="4"/>
      <c r="L706" s="3"/>
    </row>
    <row r="707" spans="1:12" ht="18" x14ac:dyDescent="0.45">
      <c r="A707" s="1">
        <v>719</v>
      </c>
      <c r="B707" s="1" t="str">
        <f>"07-"&amp;LEFT(RIGHTB(REPT(0,4)&amp;_xlfn.BASE(DB07_baselinesequence[[#This Row],[num]],36),4),2)&amp;"-"&amp;RIGHT(RIGHTB(REPT(0,4)&amp;_xlfn.BASE(DB07_baselinesequence[[#This Row],[num]],36),4),2)</f>
        <v>07-00-JZ</v>
      </c>
      <c r="C707" s="11" t="s">
        <v>3328</v>
      </c>
      <c r="F707" s="1" t="s">
        <v>3105</v>
      </c>
      <c r="G707" s="1" t="str">
        <f>_xlfn.XLOOKUP(DB07_baselinesequence[[#This Row],[basesequence-ID]],DB06_baseline[ID],DB06_baseline[Baseline],"",0)</f>
        <v>TAGGTACTGTTTTTCTCTGC</v>
      </c>
      <c r="H707" s="1">
        <f>_xlfn.XLOOKUP(DB07_baselinesequence[[#This Row],[basesequence-ID]],DB06_baseline[ID],DB06_baseline[確認済],FALSE,0)</f>
        <v>0</v>
      </c>
      <c r="J707" s="13" t="s">
        <v>3554</v>
      </c>
      <c r="K707" s="4"/>
      <c r="L707" s="3"/>
    </row>
    <row r="708" spans="1:12" ht="18" x14ac:dyDescent="0.45">
      <c r="A708" s="1">
        <v>720</v>
      </c>
      <c r="B708" s="1" t="str">
        <f>"07-"&amp;LEFT(RIGHTB(REPT(0,4)&amp;_xlfn.BASE(DB07_baselinesequence[[#This Row],[num]],36),4),2)&amp;"-"&amp;RIGHT(RIGHTB(REPT(0,4)&amp;_xlfn.BASE(DB07_baselinesequence[[#This Row],[num]],36),4),2)</f>
        <v>07-00-K0</v>
      </c>
      <c r="C708" s="11" t="s">
        <v>3329</v>
      </c>
      <c r="F708" s="1" t="s">
        <v>3107</v>
      </c>
      <c r="G708" s="1" t="str">
        <f>_xlfn.XLOOKUP(DB07_baselinesequence[[#This Row],[basesequence-ID]],DB06_baseline[ID],DB06_baseline[Baseline],"",0)</f>
        <v>TTAGGTACTGTTTTTCTCTG</v>
      </c>
      <c r="H708" s="1">
        <f>_xlfn.XLOOKUP(DB07_baselinesequence[[#This Row],[basesequence-ID]],DB06_baseline[ID],DB06_baseline[確認済],FALSE,0)</f>
        <v>0</v>
      </c>
      <c r="J708" s="13" t="s">
        <v>3555</v>
      </c>
      <c r="K708" s="4"/>
      <c r="L708" s="3"/>
    </row>
    <row r="709" spans="1:12" ht="18" x14ac:dyDescent="0.45">
      <c r="A709" s="1">
        <v>721</v>
      </c>
      <c r="B709" s="1" t="str">
        <f>"07-"&amp;LEFT(RIGHTB(REPT(0,4)&amp;_xlfn.BASE(DB07_baselinesequence[[#This Row],[num]],36),4),2)&amp;"-"&amp;RIGHT(RIGHTB(REPT(0,4)&amp;_xlfn.BASE(DB07_baselinesequence[[#This Row],[num]],36),4),2)</f>
        <v>07-00-K1</v>
      </c>
      <c r="C709" s="11" t="s">
        <v>3330</v>
      </c>
      <c r="F709" s="1" t="s">
        <v>3109</v>
      </c>
      <c r="G709" s="1" t="str">
        <f>_xlfn.XLOOKUP(DB07_baselinesequence[[#This Row],[basesequence-ID]],DB06_baseline[ID],DB06_baseline[Baseline],"",0)</f>
        <v>ATTAGGTACTGTTTTTCTCT</v>
      </c>
      <c r="H709" s="1">
        <f>_xlfn.XLOOKUP(DB07_baselinesequence[[#This Row],[basesequence-ID]],DB06_baseline[ID],DB06_baseline[確認済],FALSE,0)</f>
        <v>0</v>
      </c>
      <c r="J709" s="13" t="s">
        <v>3556</v>
      </c>
      <c r="K709" s="4"/>
      <c r="L709" s="3"/>
    </row>
    <row r="710" spans="1:12" ht="18" x14ac:dyDescent="0.45">
      <c r="A710" s="1">
        <v>722</v>
      </c>
      <c r="B710" s="1" t="str">
        <f>"07-"&amp;LEFT(RIGHTB(REPT(0,4)&amp;_xlfn.BASE(DB07_baselinesequence[[#This Row],[num]],36),4),2)&amp;"-"&amp;RIGHT(RIGHTB(REPT(0,4)&amp;_xlfn.BASE(DB07_baselinesequence[[#This Row],[num]],36),4),2)</f>
        <v>07-00-K2</v>
      </c>
      <c r="C710" s="11" t="s">
        <v>3331</v>
      </c>
      <c r="F710" s="1" t="s">
        <v>3111</v>
      </c>
      <c r="G710" s="1" t="str">
        <f>_xlfn.XLOOKUP(DB07_baselinesequence[[#This Row],[basesequence-ID]],DB06_baseline[ID],DB06_baseline[Baseline],"",0)</f>
        <v>TATTAGGTACTGTTTTTCTC</v>
      </c>
      <c r="H710" s="1">
        <f>_xlfn.XLOOKUP(DB07_baselinesequence[[#This Row],[basesequence-ID]],DB06_baseline[ID],DB06_baseline[確認済],FALSE,0)</f>
        <v>0</v>
      </c>
      <c r="J710" s="13" t="s">
        <v>3557</v>
      </c>
      <c r="K710" s="4"/>
      <c r="L710" s="3"/>
    </row>
    <row r="711" spans="1:12" ht="18" x14ac:dyDescent="0.45">
      <c r="A711" s="1">
        <v>723</v>
      </c>
      <c r="B711" s="1" t="str">
        <f>"07-"&amp;LEFT(RIGHTB(REPT(0,4)&amp;_xlfn.BASE(DB07_baselinesequence[[#This Row],[num]],36),4),2)&amp;"-"&amp;RIGHT(RIGHTB(REPT(0,4)&amp;_xlfn.BASE(DB07_baselinesequence[[#This Row],[num]],36),4),2)</f>
        <v>07-00-K3</v>
      </c>
      <c r="C711" s="11" t="s">
        <v>3332</v>
      </c>
      <c r="F711" s="1" t="s">
        <v>3113</v>
      </c>
      <c r="G711" s="1" t="str">
        <f>_xlfn.XLOOKUP(DB07_baselinesequence[[#This Row],[basesequence-ID]],DB06_baseline[ID],DB06_baseline[Baseline],"",0)</f>
        <v>TCACCGCAAGGAAGGCATTC</v>
      </c>
      <c r="H711" s="1">
        <f>_xlfn.XLOOKUP(DB07_baselinesequence[[#This Row],[basesequence-ID]],DB06_baseline[ID],DB06_baseline[確認済],FALSE,0)</f>
        <v>0</v>
      </c>
      <c r="J711" s="13" t="s">
        <v>3558</v>
      </c>
      <c r="K711" s="4"/>
      <c r="L711" s="3"/>
    </row>
    <row r="712" spans="1:12" ht="18" x14ac:dyDescent="0.45">
      <c r="A712" s="1">
        <v>724</v>
      </c>
      <c r="B712" s="1" t="str">
        <f>"07-"&amp;LEFT(RIGHTB(REPT(0,4)&amp;_xlfn.BASE(DB07_baselinesequence[[#This Row],[num]],36),4),2)&amp;"-"&amp;RIGHT(RIGHTB(REPT(0,4)&amp;_xlfn.BASE(DB07_baselinesequence[[#This Row],[num]],36),4),2)</f>
        <v>07-00-K4</v>
      </c>
      <c r="C712" s="11" t="s">
        <v>3333</v>
      </c>
      <c r="F712" s="1" t="s">
        <v>3115</v>
      </c>
      <c r="G712" s="1" t="str">
        <f>_xlfn.XLOOKUP(DB07_baselinesequence[[#This Row],[basesequence-ID]],DB06_baseline[ID],DB06_baseline[Baseline],"",0)</f>
        <v>TTCACCGCAAGGAAGGCATT</v>
      </c>
      <c r="H712" s="1">
        <f>_xlfn.XLOOKUP(DB07_baselinesequence[[#This Row],[basesequence-ID]],DB06_baseline[ID],DB06_baseline[確認済],FALSE,0)</f>
        <v>0</v>
      </c>
      <c r="J712" s="13" t="s">
        <v>3559</v>
      </c>
      <c r="K712" s="4"/>
      <c r="L712" s="3"/>
    </row>
    <row r="713" spans="1:12" ht="18" x14ac:dyDescent="0.45">
      <c r="A713" s="1">
        <v>725</v>
      </c>
      <c r="B713" s="1" t="str">
        <f>"07-"&amp;LEFT(RIGHTB(REPT(0,4)&amp;_xlfn.BASE(DB07_baselinesequence[[#This Row],[num]],36),4),2)&amp;"-"&amp;RIGHT(RIGHTB(REPT(0,4)&amp;_xlfn.BASE(DB07_baselinesequence[[#This Row],[num]],36),4),2)</f>
        <v>07-00-K5</v>
      </c>
      <c r="C713" s="11" t="s">
        <v>3334</v>
      </c>
      <c r="F713" s="1" t="s">
        <v>3117</v>
      </c>
      <c r="G713" s="1" t="str">
        <f>_xlfn.XLOOKUP(DB07_baselinesequence[[#This Row],[basesequence-ID]],DB06_baseline[ID],DB06_baseline[Baseline],"",0)</f>
        <v>TTTCACCGCAAGGAAGGCAT</v>
      </c>
      <c r="H713" s="1">
        <f>_xlfn.XLOOKUP(DB07_baselinesequence[[#This Row],[basesequence-ID]],DB06_baseline[ID],DB06_baseline[確認済],FALSE,0)</f>
        <v>0</v>
      </c>
      <c r="J713" s="13" t="s">
        <v>3560</v>
      </c>
      <c r="K713" s="4"/>
      <c r="L713" s="3"/>
    </row>
    <row r="714" spans="1:12" ht="18" x14ac:dyDescent="0.45">
      <c r="A714" s="1">
        <v>726</v>
      </c>
      <c r="B714" s="1" t="str">
        <f>"07-"&amp;LEFT(RIGHTB(REPT(0,4)&amp;_xlfn.BASE(DB07_baselinesequence[[#This Row],[num]],36),4),2)&amp;"-"&amp;RIGHT(RIGHTB(REPT(0,4)&amp;_xlfn.BASE(DB07_baselinesequence[[#This Row],[num]],36),4),2)</f>
        <v>07-00-K6</v>
      </c>
      <c r="C714" s="11" t="s">
        <v>3335</v>
      </c>
      <c r="F714" s="1" t="s">
        <v>3119</v>
      </c>
      <c r="G714" s="1" t="str">
        <f>_xlfn.XLOOKUP(DB07_baselinesequence[[#This Row],[basesequence-ID]],DB06_baseline[ID],DB06_baseline[Baseline],"",0)</f>
        <v>CTTTCACCGCAAGGAAGGCA</v>
      </c>
      <c r="H714" s="1">
        <f>_xlfn.XLOOKUP(DB07_baselinesequence[[#This Row],[basesequence-ID]],DB06_baseline[ID],DB06_baseline[確認済],FALSE,0)</f>
        <v>0</v>
      </c>
      <c r="J714" s="13" t="s">
        <v>3561</v>
      </c>
      <c r="K714" s="4"/>
      <c r="L714" s="3"/>
    </row>
    <row r="715" spans="1:12" ht="18" x14ac:dyDescent="0.45">
      <c r="A715" s="1">
        <v>727</v>
      </c>
      <c r="B715" s="1" t="str">
        <f>"07-"&amp;LEFT(RIGHTB(REPT(0,4)&amp;_xlfn.BASE(DB07_baselinesequence[[#This Row],[num]],36),4),2)&amp;"-"&amp;RIGHT(RIGHTB(REPT(0,4)&amp;_xlfn.BASE(DB07_baselinesequence[[#This Row],[num]],36),4),2)</f>
        <v>07-00-K7</v>
      </c>
      <c r="C715" s="11" t="s">
        <v>3336</v>
      </c>
      <c r="F715" s="1" t="s">
        <v>3121</v>
      </c>
      <c r="G715" s="1" t="str">
        <f>_xlfn.XLOOKUP(DB07_baselinesequence[[#This Row],[basesequence-ID]],DB06_baseline[ID],DB06_baseline[Baseline],"",0)</f>
        <v>TTCGCTTTCACCGCAAGGAA</v>
      </c>
      <c r="H715" s="1">
        <f>_xlfn.XLOOKUP(DB07_baselinesequence[[#This Row],[basesequence-ID]],DB06_baseline[ID],DB06_baseline[確認済],FALSE,0)</f>
        <v>0</v>
      </c>
      <c r="J715" s="13" t="s">
        <v>3562</v>
      </c>
      <c r="K715" s="4"/>
      <c r="L715" s="3"/>
    </row>
    <row r="716" spans="1:12" ht="18" x14ac:dyDescent="0.45">
      <c r="A716" s="1">
        <v>728</v>
      </c>
      <c r="B716" s="1" t="str">
        <f>"07-"&amp;LEFT(RIGHTB(REPT(0,4)&amp;_xlfn.BASE(DB07_baselinesequence[[#This Row],[num]],36),4),2)&amp;"-"&amp;RIGHT(RIGHTB(REPT(0,4)&amp;_xlfn.BASE(DB07_baselinesequence[[#This Row],[num]],36),4),2)</f>
        <v>07-00-K8</v>
      </c>
      <c r="C716" s="11" t="s">
        <v>3337</v>
      </c>
      <c r="F716" s="1" t="s">
        <v>3123</v>
      </c>
      <c r="G716" s="1" t="str">
        <f>_xlfn.XLOOKUP(DB07_baselinesequence[[#This Row],[basesequence-ID]],DB06_baseline[ID],DB06_baseline[Baseline],"",0)</f>
        <v>ATTCGCTTTCACCGCAAGGA</v>
      </c>
      <c r="H716" s="1">
        <f>_xlfn.XLOOKUP(DB07_baselinesequence[[#This Row],[basesequence-ID]],DB06_baseline[ID],DB06_baseline[確認済],FALSE,0)</f>
        <v>0</v>
      </c>
      <c r="J716" s="13" t="s">
        <v>3563</v>
      </c>
      <c r="K716" s="4"/>
      <c r="L716" s="3"/>
    </row>
    <row r="717" spans="1:12" ht="18" x14ac:dyDescent="0.45">
      <c r="A717" s="1">
        <v>729</v>
      </c>
      <c r="B717" s="1" t="str">
        <f>"07-"&amp;LEFT(RIGHTB(REPT(0,4)&amp;_xlfn.BASE(DB07_baselinesequence[[#This Row],[num]],36),4),2)&amp;"-"&amp;RIGHT(RIGHTB(REPT(0,4)&amp;_xlfn.BASE(DB07_baselinesequence[[#This Row],[num]],36),4),2)</f>
        <v>07-00-K9</v>
      </c>
      <c r="C717" s="11" t="s">
        <v>3338</v>
      </c>
      <c r="F717" s="1" t="s">
        <v>3125</v>
      </c>
      <c r="G717" s="1" t="str">
        <f>_xlfn.XLOOKUP(DB07_baselinesequence[[#This Row],[basesequence-ID]],DB06_baseline[ID],DB06_baseline[Baseline],"",0)</f>
        <v>TCTAGGAATTCGCTTTCACC</v>
      </c>
      <c r="H717" s="1">
        <f>_xlfn.XLOOKUP(DB07_baselinesequence[[#This Row],[basesequence-ID]],DB06_baseline[ID],DB06_baseline[確認済],FALSE,0)</f>
        <v>0</v>
      </c>
      <c r="J717" s="13" t="s">
        <v>3564</v>
      </c>
      <c r="K717" s="4"/>
      <c r="L717" s="3"/>
    </row>
    <row r="718" spans="1:12" ht="18" x14ac:dyDescent="0.45">
      <c r="A718" s="1">
        <v>730</v>
      </c>
      <c r="B718" s="1" t="str">
        <f>"07-"&amp;LEFT(RIGHTB(REPT(0,4)&amp;_xlfn.BASE(DB07_baselinesequence[[#This Row],[num]],36),4),2)&amp;"-"&amp;RIGHT(RIGHTB(REPT(0,4)&amp;_xlfn.BASE(DB07_baselinesequence[[#This Row],[num]],36),4),2)</f>
        <v>07-00-KA</v>
      </c>
      <c r="C718" s="11" t="s">
        <v>3339</v>
      </c>
      <c r="F718" s="1" t="s">
        <v>3127</v>
      </c>
      <c r="G718" s="1" t="str">
        <f>_xlfn.XLOOKUP(DB07_baselinesequence[[#This Row],[basesequence-ID]],DB06_baseline[ID],DB06_baseline[Baseline],"",0)</f>
        <v>GTCTAGGAATTCGCTTTCAC</v>
      </c>
      <c r="H718" s="1">
        <f>_xlfn.XLOOKUP(DB07_baselinesequence[[#This Row],[basesequence-ID]],DB06_baseline[ID],DB06_baseline[確認済],FALSE,0)</f>
        <v>0</v>
      </c>
      <c r="J718" s="13" t="s">
        <v>3565</v>
      </c>
      <c r="K718" s="4"/>
      <c r="L718" s="3"/>
    </row>
    <row r="719" spans="1:12" ht="18" x14ac:dyDescent="0.45">
      <c r="A719" s="1">
        <v>731</v>
      </c>
      <c r="B719" s="1" t="str">
        <f>"07-"&amp;LEFT(RIGHTB(REPT(0,4)&amp;_xlfn.BASE(DB07_baselinesequence[[#This Row],[num]],36),4),2)&amp;"-"&amp;RIGHT(RIGHTB(REPT(0,4)&amp;_xlfn.BASE(DB07_baselinesequence[[#This Row],[num]],36),4),2)</f>
        <v>07-00-KB</v>
      </c>
      <c r="C719" s="11" t="s">
        <v>3340</v>
      </c>
      <c r="F719" s="1" t="s">
        <v>3129</v>
      </c>
      <c r="G719" s="1" t="str">
        <f>_xlfn.XLOOKUP(DB07_baselinesequence[[#This Row],[basesequence-ID]],DB06_baseline[ID],DB06_baseline[Baseline],"",0)</f>
        <v>TGTCTAGGAATTCGCTTTCA</v>
      </c>
      <c r="H719" s="1">
        <f>_xlfn.XLOOKUP(DB07_baselinesequence[[#This Row],[basesequence-ID]],DB06_baseline[ID],DB06_baseline[確認済],FALSE,0)</f>
        <v>0</v>
      </c>
      <c r="J719" s="13" t="s">
        <v>3566</v>
      </c>
      <c r="K719" s="4"/>
      <c r="L719" s="3"/>
    </row>
    <row r="720" spans="1:12" ht="18" x14ac:dyDescent="0.45">
      <c r="A720" s="1">
        <v>732</v>
      </c>
      <c r="B720" s="1" t="str">
        <f>"07-"&amp;LEFT(RIGHTB(REPT(0,4)&amp;_xlfn.BASE(DB07_baselinesequence[[#This Row],[num]],36),4),2)&amp;"-"&amp;RIGHT(RIGHTB(REPT(0,4)&amp;_xlfn.BASE(DB07_baselinesequence[[#This Row],[num]],36),4),2)</f>
        <v>07-00-KC</v>
      </c>
      <c r="C720" s="11" t="s">
        <v>3341</v>
      </c>
      <c r="F720" s="1" t="s">
        <v>3131</v>
      </c>
      <c r="G720" s="1" t="str">
        <f>_xlfn.XLOOKUP(DB07_baselinesequence[[#This Row],[basesequence-ID]],DB06_baseline[ID],DB06_baseline[Baseline],"",0)</f>
        <v>GTGTCTAGGAATTCGCTTTC</v>
      </c>
      <c r="H720" s="1">
        <f>_xlfn.XLOOKUP(DB07_baselinesequence[[#This Row],[basesequence-ID]],DB06_baseline[ID],DB06_baseline[確認済],FALSE,0)</f>
        <v>0</v>
      </c>
      <c r="J720" s="13" t="s">
        <v>3567</v>
      </c>
      <c r="K720" s="4"/>
      <c r="L720" s="3"/>
    </row>
    <row r="721" spans="1:12" ht="18" x14ac:dyDescent="0.45">
      <c r="A721" s="1">
        <v>733</v>
      </c>
      <c r="B721" s="1" t="str">
        <f>"07-"&amp;LEFT(RIGHTB(REPT(0,4)&amp;_xlfn.BASE(DB07_baselinesequence[[#This Row],[num]],36),4),2)&amp;"-"&amp;RIGHT(RIGHTB(REPT(0,4)&amp;_xlfn.BASE(DB07_baselinesequence[[#This Row],[num]],36),4),2)</f>
        <v>07-00-KD</v>
      </c>
      <c r="C721" s="12" t="s">
        <v>3342</v>
      </c>
      <c r="F721" s="1" t="s">
        <v>3133</v>
      </c>
      <c r="G721" s="1" t="str">
        <f>_xlfn.XLOOKUP(DB07_baselinesequence[[#This Row],[basesequence-ID]],DB06_baseline[ID],DB06_baseline[Baseline],"",0)</f>
        <v>AGGTGTCTAGGAATTCGCTT</v>
      </c>
      <c r="H721" s="1">
        <f>_xlfn.XLOOKUP(DB07_baselinesequence[[#This Row],[basesequence-ID]],DB06_baseline[ID],DB06_baseline[確認済],FALSE,0)</f>
        <v>0</v>
      </c>
      <c r="J721" s="13" t="s">
        <v>3568</v>
      </c>
      <c r="K721" s="4"/>
      <c r="L721" s="3"/>
    </row>
    <row r="722" spans="1:12" ht="18" x14ac:dyDescent="0.45">
      <c r="A722" s="1">
        <v>734</v>
      </c>
      <c r="B722" s="1" t="str">
        <f>"07-"&amp;LEFT(RIGHTB(REPT(0,4)&amp;_xlfn.BASE(DB07_baselinesequence[[#This Row],[num]],36),4),2)&amp;"-"&amp;RIGHT(RIGHTB(REPT(0,4)&amp;_xlfn.BASE(DB07_baselinesequence[[#This Row],[num]],36),4),2)</f>
        <v>07-00-KE</v>
      </c>
      <c r="C722" s="12" t="s">
        <v>3343</v>
      </c>
      <c r="F722" s="1" t="s">
        <v>3135</v>
      </c>
      <c r="G722" s="1" t="str">
        <f>_xlfn.XLOOKUP(DB07_baselinesequence[[#This Row],[basesequence-ID]],DB06_baseline[ID],DB06_baseline[Baseline],"",0)</f>
        <v>CAGGTGTCTAGGAATTCGCT</v>
      </c>
      <c r="H722" s="1">
        <f>_xlfn.XLOOKUP(DB07_baselinesequence[[#This Row],[basesequence-ID]],DB06_baseline[ID],DB06_baseline[確認済],FALSE,0)</f>
        <v>0</v>
      </c>
      <c r="J722" s="13" t="s">
        <v>3569</v>
      </c>
      <c r="K722" s="4"/>
      <c r="L722" s="3"/>
    </row>
    <row r="723" spans="1:12" ht="18" x14ac:dyDescent="0.45">
      <c r="A723" s="1">
        <v>735</v>
      </c>
      <c r="B723" s="1" t="str">
        <f>"07-"&amp;LEFT(RIGHTB(REPT(0,4)&amp;_xlfn.BASE(DB07_baselinesequence[[#This Row],[num]],36),4),2)&amp;"-"&amp;RIGHT(RIGHTB(REPT(0,4)&amp;_xlfn.BASE(DB07_baselinesequence[[#This Row],[num]],36),4),2)</f>
        <v>07-00-KF</v>
      </c>
      <c r="C723" s="12" t="s">
        <v>3344</v>
      </c>
      <c r="F723" s="1" t="s">
        <v>3137</v>
      </c>
      <c r="G723" s="1" t="str">
        <f>_xlfn.XLOOKUP(DB07_baselinesequence[[#This Row],[basesequence-ID]],DB06_baseline[ID],DB06_baseline[Baseline],"",0)</f>
        <v>CCAGGTGTCTAGGAATTCGC</v>
      </c>
      <c r="H723" s="1">
        <f>_xlfn.XLOOKUP(DB07_baselinesequence[[#This Row],[basesequence-ID]],DB06_baseline[ID],DB06_baseline[確認済],FALSE,0)</f>
        <v>0</v>
      </c>
      <c r="J723" s="13" t="s">
        <v>3570</v>
      </c>
      <c r="K723" s="4"/>
      <c r="L723" s="3"/>
    </row>
    <row r="724" spans="1:12" ht="18" x14ac:dyDescent="0.45">
      <c r="A724" s="1">
        <v>736</v>
      </c>
      <c r="B724" s="1" t="str">
        <f>"07-"&amp;LEFT(RIGHTB(REPT(0,4)&amp;_xlfn.BASE(DB07_baselinesequence[[#This Row],[num]],36),4),2)&amp;"-"&amp;RIGHT(RIGHTB(REPT(0,4)&amp;_xlfn.BASE(DB07_baselinesequence[[#This Row],[num]],36),4),2)</f>
        <v>07-00-KG</v>
      </c>
      <c r="C724" s="12" t="s">
        <v>3345</v>
      </c>
      <c r="F724" s="1" t="s">
        <v>3139</v>
      </c>
      <c r="G724" s="1" t="str">
        <f>_xlfn.XLOOKUP(DB07_baselinesequence[[#This Row],[basesequence-ID]],DB06_baseline[ID],DB06_baseline[Baseline],"",0)</f>
        <v>CTCTCTGTTCCAGGTGTCTA</v>
      </c>
      <c r="H724" s="1">
        <f>_xlfn.XLOOKUP(DB07_baselinesequence[[#This Row],[basesequence-ID]],DB06_baseline[ID],DB06_baseline[確認済],FALSE,0)</f>
        <v>0</v>
      </c>
      <c r="J724" s="13" t="s">
        <v>3571</v>
      </c>
      <c r="K724" s="4"/>
      <c r="L724" s="3"/>
    </row>
    <row r="725" spans="1:12" ht="18" x14ac:dyDescent="0.45">
      <c r="A725" s="1">
        <v>737</v>
      </c>
      <c r="B725" s="1" t="str">
        <f>"07-"&amp;LEFT(RIGHTB(REPT(0,4)&amp;_xlfn.BASE(DB07_baselinesequence[[#This Row],[num]],36),4),2)&amp;"-"&amp;RIGHT(RIGHTB(REPT(0,4)&amp;_xlfn.BASE(DB07_baselinesequence[[#This Row],[num]],36),4),2)</f>
        <v>07-00-KH</v>
      </c>
      <c r="C725" s="12" t="s">
        <v>3346</v>
      </c>
      <c r="F725" s="1" t="s">
        <v>3141</v>
      </c>
      <c r="G725" s="1" t="str">
        <f>_xlfn.XLOOKUP(DB07_baselinesequence[[#This Row],[basesequence-ID]],DB06_baseline[ID],DB06_baseline[Baseline],"",0)</f>
        <v>TCTCTCTGTTCCAGGTGTCT</v>
      </c>
      <c r="H725" s="1">
        <f>_xlfn.XLOOKUP(DB07_baselinesequence[[#This Row],[basesequence-ID]],DB06_baseline[ID],DB06_baseline[確認済],FALSE,0)</f>
        <v>0</v>
      </c>
      <c r="J725" s="13" t="s">
        <v>3572</v>
      </c>
      <c r="K725" s="4"/>
      <c r="L725" s="3"/>
    </row>
    <row r="726" spans="1:12" ht="18" x14ac:dyDescent="0.45">
      <c r="A726" s="1">
        <v>738</v>
      </c>
      <c r="B726" s="1" t="str">
        <f>"07-"&amp;LEFT(RIGHTB(REPT(0,4)&amp;_xlfn.BASE(DB07_baselinesequence[[#This Row],[num]],36),4),2)&amp;"-"&amp;RIGHT(RIGHTB(REPT(0,4)&amp;_xlfn.BASE(DB07_baselinesequence[[#This Row],[num]],36),4),2)</f>
        <v>07-00-KI</v>
      </c>
      <c r="C726" s="12" t="s">
        <v>3347</v>
      </c>
      <c r="F726" s="1" t="s">
        <v>3143</v>
      </c>
      <c r="G726" s="1" t="str">
        <f>_xlfn.XLOOKUP(DB07_baselinesequence[[#This Row],[basesequence-ID]],DB06_baseline[ID],DB06_baseline[Baseline],"",0)</f>
        <v>GTCTCTCTGTTCCAGGTGTC</v>
      </c>
      <c r="H726" s="1">
        <f>_xlfn.XLOOKUP(DB07_baselinesequence[[#This Row],[basesequence-ID]],DB06_baseline[ID],DB06_baseline[確認済],FALSE,0)</f>
        <v>0</v>
      </c>
      <c r="J726" s="13" t="s">
        <v>3573</v>
      </c>
      <c r="K726" s="4"/>
      <c r="L726" s="3"/>
    </row>
    <row r="727" spans="1:12" ht="18" x14ac:dyDescent="0.45">
      <c r="A727" s="1">
        <v>739</v>
      </c>
      <c r="B727" s="1" t="str">
        <f>"07-"&amp;LEFT(RIGHTB(REPT(0,4)&amp;_xlfn.BASE(DB07_baselinesequence[[#This Row],[num]],36),4),2)&amp;"-"&amp;RIGHT(RIGHTB(REPT(0,4)&amp;_xlfn.BASE(DB07_baselinesequence[[#This Row],[num]],36),4),2)</f>
        <v>07-00-KJ</v>
      </c>
      <c r="C727" s="12" t="s">
        <v>3348</v>
      </c>
      <c r="F727" s="1" t="s">
        <v>3145</v>
      </c>
      <c r="G727" s="1" t="str">
        <f>_xlfn.XLOOKUP(DB07_baselinesequence[[#This Row],[basesequence-ID]],DB06_baseline[ID],DB06_baseline[Baseline],"",0)</f>
        <v>TGTGTCTCTCTGTTCCAGGT</v>
      </c>
      <c r="H727" s="1">
        <f>_xlfn.XLOOKUP(DB07_baselinesequence[[#This Row],[basesequence-ID]],DB06_baseline[ID],DB06_baseline[確認済],FALSE,0)</f>
        <v>0</v>
      </c>
      <c r="J727" s="13" t="s">
        <v>3574</v>
      </c>
      <c r="K727" s="4"/>
      <c r="L727" s="3"/>
    </row>
    <row r="728" spans="1:12" ht="18" x14ac:dyDescent="0.45">
      <c r="A728" s="1">
        <v>740</v>
      </c>
      <c r="B728" s="1" t="str">
        <f>"07-"&amp;LEFT(RIGHTB(REPT(0,4)&amp;_xlfn.BASE(DB07_baselinesequence[[#This Row],[num]],36),4),2)&amp;"-"&amp;RIGHT(RIGHTB(REPT(0,4)&amp;_xlfn.BASE(DB07_baselinesequence[[#This Row],[num]],36),4),2)</f>
        <v>07-00-KK</v>
      </c>
      <c r="C728" s="12" t="s">
        <v>3349</v>
      </c>
      <c r="F728" s="1" t="s">
        <v>3147</v>
      </c>
      <c r="G728" s="1" t="str">
        <f>_xlfn.XLOOKUP(DB07_baselinesequence[[#This Row],[basesequence-ID]],DB06_baseline[ID],DB06_baseline[Baseline],"",0)</f>
        <v>TGGTGGCAGTGTGTCTCTCT</v>
      </c>
      <c r="H728" s="1">
        <f>_xlfn.XLOOKUP(DB07_baselinesequence[[#This Row],[basesequence-ID]],DB06_baseline[ID],DB06_baseline[確認済],FALSE,0)</f>
        <v>0</v>
      </c>
      <c r="J728" s="13" t="s">
        <v>3575</v>
      </c>
      <c r="K728" s="4"/>
      <c r="L728" s="3"/>
    </row>
    <row r="729" spans="1:12" ht="18" x14ac:dyDescent="0.45">
      <c r="A729" s="1">
        <v>741</v>
      </c>
      <c r="B729" s="1" t="str">
        <f>"07-"&amp;LEFT(RIGHTB(REPT(0,4)&amp;_xlfn.BASE(DB07_baselinesequence[[#This Row],[num]],36),4),2)&amp;"-"&amp;RIGHT(RIGHTB(REPT(0,4)&amp;_xlfn.BASE(DB07_baselinesequence[[#This Row],[num]],36),4),2)</f>
        <v>07-00-KL</v>
      </c>
      <c r="C729" s="12" t="s">
        <v>3350</v>
      </c>
      <c r="F729" s="1" t="s">
        <v>3149</v>
      </c>
      <c r="G729" s="1" t="str">
        <f>_xlfn.XLOOKUP(DB07_baselinesequence[[#This Row],[basesequence-ID]],DB06_baseline[ID],DB06_baseline[Baseline],"",0)</f>
        <v>CTGGTGGCAGTGTGTCTCTC</v>
      </c>
      <c r="H729" s="1">
        <f>_xlfn.XLOOKUP(DB07_baselinesequence[[#This Row],[basesequence-ID]],DB06_baseline[ID],DB06_baseline[確認済],FALSE,0)</f>
        <v>0</v>
      </c>
      <c r="J729" s="13" t="s">
        <v>3576</v>
      </c>
      <c r="K729" s="4"/>
      <c r="L729" s="3"/>
    </row>
    <row r="730" spans="1:12" ht="18" x14ac:dyDescent="0.45">
      <c r="A730" s="1">
        <v>742</v>
      </c>
      <c r="B730" s="1" t="str">
        <f>"07-"&amp;LEFT(RIGHTB(REPT(0,4)&amp;_xlfn.BASE(DB07_baselinesequence[[#This Row],[num]],36),4),2)&amp;"-"&amp;RIGHT(RIGHTB(REPT(0,4)&amp;_xlfn.BASE(DB07_baselinesequence[[#This Row],[num]],36),4),2)</f>
        <v>07-00-KM</v>
      </c>
      <c r="C730" s="12" t="s">
        <v>3351</v>
      </c>
      <c r="F730" s="1" t="s">
        <v>3151</v>
      </c>
      <c r="G730" s="1" t="str">
        <f>_xlfn.XLOOKUP(DB07_baselinesequence[[#This Row],[basesequence-ID]],DB06_baseline[ID],DB06_baseline[Baseline],"",0)</f>
        <v>GCTGGTGGCAGTGTGTCTCT</v>
      </c>
      <c r="H730" s="1">
        <f>_xlfn.XLOOKUP(DB07_baselinesequence[[#This Row],[basesequence-ID]],DB06_baseline[ID],DB06_baseline[確認済],FALSE,0)</f>
        <v>0</v>
      </c>
      <c r="J730" s="13" t="s">
        <v>3577</v>
      </c>
      <c r="K730" s="4"/>
      <c r="L730" s="3"/>
    </row>
    <row r="731" spans="1:12" ht="18" x14ac:dyDescent="0.45">
      <c r="A731" s="1">
        <v>743</v>
      </c>
      <c r="B731" s="1" t="str">
        <f>"07-"&amp;LEFT(RIGHTB(REPT(0,4)&amp;_xlfn.BASE(DB07_baselinesequence[[#This Row],[num]],36),4),2)&amp;"-"&amp;RIGHT(RIGHTB(REPT(0,4)&amp;_xlfn.BASE(DB07_baselinesequence[[#This Row],[num]],36),4),2)</f>
        <v>07-00-KN</v>
      </c>
      <c r="C731" s="12" t="s">
        <v>3352</v>
      </c>
      <c r="F731" s="1" t="s">
        <v>3153</v>
      </c>
      <c r="G731" s="1" t="str">
        <f>_xlfn.XLOOKUP(DB07_baselinesequence[[#This Row],[basesequence-ID]],DB06_baseline[ID],DB06_baseline[Baseline],"",0)</f>
        <v>TGCTGGTGGCAGTGTGTCTC</v>
      </c>
      <c r="H731" s="1">
        <f>_xlfn.XLOOKUP(DB07_baselinesequence[[#This Row],[basesequence-ID]],DB06_baseline[ID],DB06_baseline[確認済],FALSE,0)</f>
        <v>0</v>
      </c>
      <c r="J731" s="13" t="s">
        <v>3578</v>
      </c>
      <c r="K731" s="4"/>
      <c r="L731" s="3"/>
    </row>
    <row r="732" spans="1:12" ht="18" x14ac:dyDescent="0.45">
      <c r="A732" s="1">
        <v>744</v>
      </c>
      <c r="B732" s="1" t="str">
        <f>"07-"&amp;LEFT(RIGHTB(REPT(0,4)&amp;_xlfn.BASE(DB07_baselinesequence[[#This Row],[num]],36),4),2)&amp;"-"&amp;RIGHT(RIGHTB(REPT(0,4)&amp;_xlfn.BASE(DB07_baselinesequence[[#This Row],[num]],36),4),2)</f>
        <v>07-00-KO</v>
      </c>
      <c r="C732" s="12" t="s">
        <v>3353</v>
      </c>
      <c r="F732" s="1" t="s">
        <v>3155</v>
      </c>
      <c r="G732" s="1" t="str">
        <f>_xlfn.XLOOKUP(DB07_baselinesequence[[#This Row],[basesequence-ID]],DB06_baseline[ID],DB06_baseline[Baseline],"",0)</f>
        <v>TGTGCTGGTGGCAGTGTGTC</v>
      </c>
      <c r="H732" s="1">
        <f>_xlfn.XLOOKUP(DB07_baselinesequence[[#This Row],[basesequence-ID]],DB06_baseline[ID],DB06_baseline[確認済],FALSE,0)</f>
        <v>0</v>
      </c>
      <c r="J732" s="13" t="s">
        <v>3579</v>
      </c>
      <c r="K732" s="4"/>
      <c r="L732" s="3"/>
    </row>
    <row r="733" spans="1:12" ht="18" x14ac:dyDescent="0.45">
      <c r="A733" s="1">
        <v>745</v>
      </c>
      <c r="B733" s="1" t="str">
        <f>"07-"&amp;LEFT(RIGHTB(REPT(0,4)&amp;_xlfn.BASE(DB07_baselinesequence[[#This Row],[num]],36),4),2)&amp;"-"&amp;RIGHT(RIGHTB(REPT(0,4)&amp;_xlfn.BASE(DB07_baselinesequence[[#This Row],[num]],36),4),2)</f>
        <v>07-00-KP</v>
      </c>
      <c r="C733" s="12" t="s">
        <v>3354</v>
      </c>
      <c r="F733" s="1" t="s">
        <v>3157</v>
      </c>
      <c r="G733" s="1" t="str">
        <f>_xlfn.XLOOKUP(DB07_baselinesequence[[#This Row],[basesequence-ID]],DB06_baseline[ID],DB06_baseline[Baseline],"",0)</f>
        <v>TTGTGCTGGTGGCAGTGTGT</v>
      </c>
      <c r="H733" s="1">
        <f>_xlfn.XLOOKUP(DB07_baselinesequence[[#This Row],[basesequence-ID]],DB06_baseline[ID],DB06_baseline[確認済],FALSE,0)</f>
        <v>0</v>
      </c>
      <c r="J733" s="13" t="s">
        <v>3580</v>
      </c>
      <c r="K733" s="4"/>
      <c r="L733" s="3"/>
    </row>
    <row r="734" spans="1:12" ht="18" x14ac:dyDescent="0.45">
      <c r="A734" s="1">
        <v>746</v>
      </c>
      <c r="B734" s="1" t="str">
        <f>"07-"&amp;LEFT(RIGHTB(REPT(0,4)&amp;_xlfn.BASE(DB07_baselinesequence[[#This Row],[num]],36),4),2)&amp;"-"&amp;RIGHT(RIGHTB(REPT(0,4)&amp;_xlfn.BASE(DB07_baselinesequence[[#This Row],[num]],36),4),2)</f>
        <v>07-00-KQ</v>
      </c>
      <c r="C734" s="12" t="s">
        <v>3355</v>
      </c>
      <c r="F734" s="1" t="s">
        <v>3159</v>
      </c>
      <c r="G734" s="1" t="str">
        <f>_xlfn.XLOOKUP(DB07_baselinesequence[[#This Row],[basesequence-ID]],DB06_baseline[ID],DB06_baseline[Baseline],"",0)</f>
        <v>ATTTGTGCTGGTGGCAGTGT</v>
      </c>
      <c r="H734" s="1">
        <f>_xlfn.XLOOKUP(DB07_baselinesequence[[#This Row],[basesequence-ID]],DB06_baseline[ID],DB06_baseline[確認済],FALSE,0)</f>
        <v>0</v>
      </c>
      <c r="J734" s="13" t="s">
        <v>3581</v>
      </c>
      <c r="K734" s="4"/>
      <c r="L734" s="3"/>
    </row>
    <row r="735" spans="1:12" ht="18" x14ac:dyDescent="0.45">
      <c r="A735" s="1">
        <v>747</v>
      </c>
      <c r="B735" s="1" t="str">
        <f>"07-"&amp;LEFT(RIGHTB(REPT(0,4)&amp;_xlfn.BASE(DB07_baselinesequence[[#This Row],[num]],36),4),2)&amp;"-"&amp;RIGHT(RIGHTB(REPT(0,4)&amp;_xlfn.BASE(DB07_baselinesequence[[#This Row],[num]],36),4),2)</f>
        <v>07-00-KR</v>
      </c>
      <c r="C735" s="12" t="s">
        <v>3356</v>
      </c>
      <c r="F735" s="1" t="s">
        <v>3161</v>
      </c>
      <c r="G735" s="1" t="str">
        <f>_xlfn.XLOOKUP(DB07_baselinesequence[[#This Row],[basesequence-ID]],DB06_baseline[ID],DB06_baseline[Baseline],"",0)</f>
        <v>AGTGCCAGCCTTCTTCACAG</v>
      </c>
      <c r="H735" s="1">
        <f>_xlfn.XLOOKUP(DB07_baselinesequence[[#This Row],[basesequence-ID]],DB06_baseline[ID],DB06_baseline[確認済],FALSE,0)</f>
        <v>0</v>
      </c>
      <c r="J735" s="13" t="s">
        <v>3582</v>
      </c>
      <c r="K735" s="4"/>
      <c r="L735" s="3"/>
    </row>
    <row r="736" spans="1:12" ht="18" x14ac:dyDescent="0.45">
      <c r="A736" s="1">
        <v>748</v>
      </c>
      <c r="B736" s="1" t="str">
        <f>"07-"&amp;LEFT(RIGHTB(REPT(0,4)&amp;_xlfn.BASE(DB07_baselinesequence[[#This Row],[num]],36),4),2)&amp;"-"&amp;RIGHT(RIGHTB(REPT(0,4)&amp;_xlfn.BASE(DB07_baselinesequence[[#This Row],[num]],36),4),2)</f>
        <v>07-00-KS</v>
      </c>
      <c r="C736" s="12" t="s">
        <v>3357</v>
      </c>
      <c r="F736" s="1" t="s">
        <v>3163</v>
      </c>
      <c r="G736" s="1" t="str">
        <f>_xlfn.XLOOKUP(DB07_baselinesequence[[#This Row],[basesequence-ID]],DB06_baseline[ID],DB06_baseline[Baseline],"",0)</f>
        <v>CAGTGCCAGCCTTCTTCACA</v>
      </c>
      <c r="H736" s="1">
        <f>_xlfn.XLOOKUP(DB07_baselinesequence[[#This Row],[basesequence-ID]],DB06_baseline[ID],DB06_baseline[確認済],FALSE,0)</f>
        <v>0</v>
      </c>
      <c r="J736" s="13" t="s">
        <v>3583</v>
      </c>
      <c r="K736" s="4"/>
      <c r="L736" s="3"/>
    </row>
    <row r="737" spans="1:12" ht="18" x14ac:dyDescent="0.45">
      <c r="A737" s="1">
        <v>749</v>
      </c>
      <c r="B737" s="1" t="str">
        <f>"07-"&amp;LEFT(RIGHTB(REPT(0,4)&amp;_xlfn.BASE(DB07_baselinesequence[[#This Row],[num]],36),4),2)&amp;"-"&amp;RIGHT(RIGHTB(REPT(0,4)&amp;_xlfn.BASE(DB07_baselinesequence[[#This Row],[num]],36),4),2)</f>
        <v>07-00-KT</v>
      </c>
      <c r="C737" s="12" t="s">
        <v>3358</v>
      </c>
      <c r="F737" s="1" t="s">
        <v>3165</v>
      </c>
      <c r="G737" s="1" t="str">
        <f>_xlfn.XLOOKUP(DB07_baselinesequence[[#This Row],[basesequence-ID]],DB06_baseline[ID],DB06_baseline[Baseline],"",0)</f>
        <v>ACAGTGCCAGCCTTCTTCAC</v>
      </c>
      <c r="H737" s="1">
        <f>_xlfn.XLOOKUP(DB07_baselinesequence[[#This Row],[basesequence-ID]],DB06_baseline[ID],DB06_baseline[確認済],FALSE,0)</f>
        <v>0</v>
      </c>
      <c r="J737" s="13" t="s">
        <v>3584</v>
      </c>
      <c r="K737" s="4"/>
      <c r="L737" s="3"/>
    </row>
    <row r="738" spans="1:12" ht="18" x14ac:dyDescent="0.45">
      <c r="A738" s="1">
        <v>750</v>
      </c>
      <c r="B738" s="1" t="str">
        <f>"07-"&amp;LEFT(RIGHTB(REPT(0,4)&amp;_xlfn.BASE(DB07_baselinesequence[[#This Row],[num]],36),4),2)&amp;"-"&amp;RIGHT(RIGHTB(REPT(0,4)&amp;_xlfn.BASE(DB07_baselinesequence[[#This Row],[num]],36),4),2)</f>
        <v>07-00-KU</v>
      </c>
      <c r="C738" s="12" t="s">
        <v>3359</v>
      </c>
      <c r="F738" s="1" t="s">
        <v>3167</v>
      </c>
      <c r="G738" s="1" t="str">
        <f>_xlfn.XLOOKUP(DB07_baselinesequence[[#This Row],[basesequence-ID]],DB06_baseline[ID],DB06_baseline[Baseline],"",0)</f>
        <v>TACAGTGCCAGCCTTCTTCA</v>
      </c>
      <c r="H738" s="1">
        <f>_xlfn.XLOOKUP(DB07_baselinesequence[[#This Row],[basesequence-ID]],DB06_baseline[ID],DB06_baseline[確認済],FALSE,0)</f>
        <v>0</v>
      </c>
      <c r="J738" s="13" t="s">
        <v>3585</v>
      </c>
      <c r="K738" s="4"/>
      <c r="L738" s="3"/>
    </row>
    <row r="739" spans="1:12" ht="18" x14ac:dyDescent="0.45">
      <c r="A739" s="1">
        <v>751</v>
      </c>
      <c r="B739" s="1" t="str">
        <f>"07-"&amp;LEFT(RIGHTB(REPT(0,4)&amp;_xlfn.BASE(DB07_baselinesequence[[#This Row],[num]],36),4),2)&amp;"-"&amp;RIGHT(RIGHTB(REPT(0,4)&amp;_xlfn.BASE(DB07_baselinesequence[[#This Row],[num]],36),4),2)</f>
        <v>07-00-KV</v>
      </c>
      <c r="C739" s="12" t="s">
        <v>3360</v>
      </c>
      <c r="F739" s="1" t="s">
        <v>3169</v>
      </c>
      <c r="G739" s="1" t="str">
        <f>_xlfn.XLOOKUP(DB07_baselinesequence[[#This Row],[basesequence-ID]],DB06_baseline[ID],DB06_baseline[Baseline],"",0)</f>
        <v>CGTACAGTGCCAGCCTTCTT</v>
      </c>
      <c r="H739" s="1">
        <f>_xlfn.XLOOKUP(DB07_baselinesequence[[#This Row],[basesequence-ID]],DB06_baseline[ID],DB06_baseline[確認済],FALSE,0)</f>
        <v>0</v>
      </c>
      <c r="J739" s="13" t="s">
        <v>3586</v>
      </c>
      <c r="K739" s="4"/>
      <c r="L739" s="3"/>
    </row>
    <row r="740" spans="1:12" ht="18" x14ac:dyDescent="0.45">
      <c r="A740" s="1">
        <v>752</v>
      </c>
      <c r="B740" s="1" t="str">
        <f>"07-"&amp;LEFT(RIGHTB(REPT(0,4)&amp;_xlfn.BASE(DB07_baselinesequence[[#This Row],[num]],36),4),2)&amp;"-"&amp;RIGHT(RIGHTB(REPT(0,4)&amp;_xlfn.BASE(DB07_baselinesequence[[#This Row],[num]],36),4),2)</f>
        <v>07-00-KW</v>
      </c>
      <c r="C740" s="12" t="s">
        <v>3361</v>
      </c>
      <c r="F740" s="1" t="s">
        <v>3171</v>
      </c>
      <c r="G740" s="1" t="str">
        <f>_xlfn.XLOOKUP(DB07_baselinesequence[[#This Row],[basesequence-ID]],DB06_baseline[ID],DB06_baseline[Baseline],"",0)</f>
        <v>TCGTACAGTGCCAGCCTTCT</v>
      </c>
      <c r="H740" s="1">
        <f>_xlfn.XLOOKUP(DB07_baselinesequence[[#This Row],[basesequence-ID]],DB06_baseline[ID],DB06_baseline[確認済],FALSE,0)</f>
        <v>0</v>
      </c>
      <c r="J740" s="13" t="s">
        <v>3587</v>
      </c>
      <c r="K740" s="4"/>
      <c r="L740" s="3"/>
    </row>
    <row r="741" spans="1:12" ht="18" x14ac:dyDescent="0.45">
      <c r="A741" s="1">
        <v>753</v>
      </c>
      <c r="B741" s="1" t="str">
        <f>"07-"&amp;LEFT(RIGHTB(REPT(0,4)&amp;_xlfn.BASE(DB07_baselinesequence[[#This Row],[num]],36),4),2)&amp;"-"&amp;RIGHT(RIGHTB(REPT(0,4)&amp;_xlfn.BASE(DB07_baselinesequence[[#This Row],[num]],36),4),2)</f>
        <v>07-00-KX</v>
      </c>
      <c r="C741" s="12" t="s">
        <v>3362</v>
      </c>
      <c r="F741" s="1" t="s">
        <v>3173</v>
      </c>
      <c r="G741" s="1" t="str">
        <f>_xlfn.XLOOKUP(DB07_baselinesequence[[#This Row],[basesequence-ID]],DB06_baseline[ID],DB06_baseline[Baseline],"",0)</f>
        <v>CTCGTACAGTGCCAGCCTTC</v>
      </c>
      <c r="H741" s="1">
        <f>_xlfn.XLOOKUP(DB07_baselinesequence[[#This Row],[basesequence-ID]],DB06_baseline[ID],DB06_baseline[確認済],FALSE,0)</f>
        <v>0</v>
      </c>
      <c r="J741" s="13" t="s">
        <v>3588</v>
      </c>
      <c r="K741" s="4"/>
      <c r="L741" s="3"/>
    </row>
    <row r="742" spans="1:12" ht="18" x14ac:dyDescent="0.45">
      <c r="A742" s="1">
        <v>754</v>
      </c>
      <c r="B742" s="1" t="str">
        <f>"07-"&amp;LEFT(RIGHTB(REPT(0,4)&amp;_xlfn.BASE(DB07_baselinesequence[[#This Row],[num]],36),4),2)&amp;"-"&amp;RIGHT(RIGHTB(REPT(0,4)&amp;_xlfn.BASE(DB07_baselinesequence[[#This Row],[num]],36),4),2)</f>
        <v>07-00-KY</v>
      </c>
      <c r="C742" s="12" t="s">
        <v>3363</v>
      </c>
      <c r="F742" s="1" t="s">
        <v>3175</v>
      </c>
      <c r="G742" s="1" t="str">
        <f>_xlfn.XLOOKUP(DB07_baselinesequence[[#This Row],[basesequence-ID]],DB06_baseline[ID],DB06_baseline[Baseline],"",0)</f>
        <v>ACTCGTACAGTGCCAGCCTT</v>
      </c>
      <c r="H742" s="1">
        <f>_xlfn.XLOOKUP(DB07_baselinesequence[[#This Row],[basesequence-ID]],DB06_baseline[ID],DB06_baseline[確認済],FALSE,0)</f>
        <v>0</v>
      </c>
      <c r="J742" s="13" t="s">
        <v>3589</v>
      </c>
      <c r="K742" s="4"/>
      <c r="L742" s="3"/>
    </row>
    <row r="743" spans="1:12" ht="18" x14ac:dyDescent="0.45">
      <c r="A743" s="1">
        <v>755</v>
      </c>
      <c r="B743" s="1" t="str">
        <f>"07-"&amp;LEFT(RIGHTB(REPT(0,4)&amp;_xlfn.BASE(DB07_baselinesequence[[#This Row],[num]],36),4),2)&amp;"-"&amp;RIGHT(RIGHTB(REPT(0,4)&amp;_xlfn.BASE(DB07_baselinesequence[[#This Row],[num]],36),4),2)</f>
        <v>07-00-KZ</v>
      </c>
      <c r="C743" s="12" t="s">
        <v>3364</v>
      </c>
      <c r="F743" s="1" t="s">
        <v>3177</v>
      </c>
      <c r="G743" s="1" t="str">
        <f>_xlfn.XLOOKUP(DB07_baselinesequence[[#This Row],[basesequence-ID]],DB06_baseline[ID],DB06_baseline[Baseline],"",0)</f>
        <v>AGGGCTCGCAGATGGTATCA</v>
      </c>
      <c r="H743" s="1">
        <f>_xlfn.XLOOKUP(DB07_baselinesequence[[#This Row],[basesequence-ID]],DB06_baseline[ID],DB06_baseline[確認済],FALSE,0)</f>
        <v>0</v>
      </c>
      <c r="J743" s="13" t="s">
        <v>3590</v>
      </c>
      <c r="K743" s="4"/>
      <c r="L743" s="3"/>
    </row>
    <row r="744" spans="1:12" ht="18" x14ac:dyDescent="0.45">
      <c r="A744" s="1">
        <v>756</v>
      </c>
      <c r="B744" s="1" t="str">
        <f>"07-"&amp;LEFT(RIGHTB(REPT(0,4)&amp;_xlfn.BASE(DB07_baselinesequence[[#This Row],[num]],36),4),2)&amp;"-"&amp;RIGHT(RIGHTB(REPT(0,4)&amp;_xlfn.BASE(DB07_baselinesequence[[#This Row],[num]],36),4),2)</f>
        <v>07-00-L0</v>
      </c>
      <c r="C744" s="12" t="s">
        <v>3365</v>
      </c>
      <c r="F744" s="1" t="s">
        <v>3179</v>
      </c>
      <c r="G744" s="1" t="str">
        <f>_xlfn.XLOOKUP(DB07_baselinesequence[[#This Row],[basesequence-ID]],DB06_baseline[ID],DB06_baseline[Baseline],"",0)</f>
        <v>CAGGGCTCGCAGATGGTATC</v>
      </c>
      <c r="H744" s="1">
        <f>_xlfn.XLOOKUP(DB07_baselinesequence[[#This Row],[basesequence-ID]],DB06_baseline[ID],DB06_baseline[確認済],FALSE,0)</f>
        <v>0</v>
      </c>
      <c r="J744" s="13" t="s">
        <v>3591</v>
      </c>
      <c r="K744" s="4"/>
      <c r="L744" s="3"/>
    </row>
    <row r="745" spans="1:12" ht="18" x14ac:dyDescent="0.45">
      <c r="A745" s="1">
        <v>757</v>
      </c>
      <c r="B745" s="1" t="str">
        <f>"07-"&amp;LEFT(RIGHTB(REPT(0,4)&amp;_xlfn.BASE(DB07_baselinesequence[[#This Row],[num]],36),4),2)&amp;"-"&amp;RIGHT(RIGHTB(REPT(0,4)&amp;_xlfn.BASE(DB07_baselinesequence[[#This Row],[num]],36),4),2)</f>
        <v>07-00-L1</v>
      </c>
      <c r="C745" s="12" t="s">
        <v>3366</v>
      </c>
      <c r="F745" s="1" t="s">
        <v>3181</v>
      </c>
      <c r="G745" s="1" t="str">
        <f>_xlfn.XLOOKUP(DB07_baselinesequence[[#This Row],[basesequence-ID]],DB06_baseline[ID],DB06_baseline[Baseline],"",0)</f>
        <v>GCAGGGCTCGCAGATGGTAT</v>
      </c>
      <c r="H745" s="1">
        <f>_xlfn.XLOOKUP(DB07_baselinesequence[[#This Row],[basesequence-ID]],DB06_baseline[ID],DB06_baseline[確認済],FALSE,0)</f>
        <v>0</v>
      </c>
      <c r="J745" s="13" t="s">
        <v>3592</v>
      </c>
      <c r="K745" s="4"/>
      <c r="L745" s="3"/>
    </row>
    <row r="746" spans="1:12" ht="18" x14ac:dyDescent="0.45">
      <c r="A746" s="1">
        <v>758</v>
      </c>
      <c r="B746" s="1" t="str">
        <f>"07-"&amp;LEFT(RIGHTB(REPT(0,4)&amp;_xlfn.BASE(DB07_baselinesequence[[#This Row],[num]],36),4),2)&amp;"-"&amp;RIGHT(RIGHTB(REPT(0,4)&amp;_xlfn.BASE(DB07_baselinesequence[[#This Row],[num]],36),4),2)</f>
        <v>07-00-L2</v>
      </c>
      <c r="C746" s="12" t="s">
        <v>3367</v>
      </c>
      <c r="F746" s="1" t="s">
        <v>3183</v>
      </c>
      <c r="G746" s="1" t="str">
        <f>_xlfn.XLOOKUP(DB07_baselinesequence[[#This Row],[basesequence-ID]],DB06_baseline[ID],DB06_baseline[Baseline],"",0)</f>
        <v>AGAAGCCGACTGGGCAGGGC</v>
      </c>
      <c r="H746" s="1">
        <f>_xlfn.XLOOKUP(DB07_baselinesequence[[#This Row],[basesequence-ID]],DB06_baseline[ID],DB06_baseline[確認済],FALSE,0)</f>
        <v>0</v>
      </c>
      <c r="J746" s="13" t="s">
        <v>3593</v>
      </c>
      <c r="K746" s="4"/>
      <c r="L746" s="3"/>
    </row>
    <row r="747" spans="1:12" ht="18" x14ac:dyDescent="0.45">
      <c r="A747" s="1">
        <v>759</v>
      </c>
      <c r="B747" s="1" t="str">
        <f>"07-"&amp;LEFT(RIGHTB(REPT(0,4)&amp;_xlfn.BASE(DB07_baselinesequence[[#This Row],[num]],36),4),2)&amp;"-"&amp;RIGHT(RIGHTB(REPT(0,4)&amp;_xlfn.BASE(DB07_baselinesequence[[#This Row],[num]],36),4),2)</f>
        <v>07-00-L3</v>
      </c>
      <c r="C747" s="12" t="s">
        <v>3368</v>
      </c>
      <c r="F747" s="1" t="s">
        <v>3185</v>
      </c>
      <c r="G747" s="1" t="str">
        <f>_xlfn.XLOOKUP(DB07_baselinesequence[[#This Row],[basesequence-ID]],DB06_baseline[ID],DB06_baseline[Baseline],"",0)</f>
        <v>AAGAAGCCGACTGGGCAGGG</v>
      </c>
      <c r="H747" s="1">
        <f>_xlfn.XLOOKUP(DB07_baselinesequence[[#This Row],[basesequence-ID]],DB06_baseline[ID],DB06_baseline[確認済],FALSE,0)</f>
        <v>0</v>
      </c>
      <c r="J747" s="13" t="s">
        <v>3594</v>
      </c>
      <c r="K747" s="4"/>
      <c r="L747" s="3"/>
    </row>
    <row r="748" spans="1:12" ht="18" x14ac:dyDescent="0.45">
      <c r="A748" s="1">
        <v>760</v>
      </c>
      <c r="B748" s="1" t="str">
        <f>"07-"&amp;LEFT(RIGHTB(REPT(0,4)&amp;_xlfn.BASE(DB07_baselinesequence[[#This Row],[num]],36),4),2)&amp;"-"&amp;RIGHT(RIGHTB(REPT(0,4)&amp;_xlfn.BASE(DB07_baselinesequence[[#This Row],[num]],36),4),2)</f>
        <v>07-00-L4</v>
      </c>
      <c r="C748" s="12" t="s">
        <v>3369</v>
      </c>
      <c r="F748" s="1" t="s">
        <v>3187</v>
      </c>
      <c r="G748" s="1" t="str">
        <f>_xlfn.XLOOKUP(DB07_baselinesequence[[#This Row],[basesequence-ID]],DB06_baseline[ID],DB06_baseline[Baseline],"",0)</f>
        <v>GAAGAAGCCGACTGGGCAGG</v>
      </c>
      <c r="H748" s="1">
        <f>_xlfn.XLOOKUP(DB07_baselinesequence[[#This Row],[basesequence-ID]],DB06_baseline[ID],DB06_baseline[確認済],FALSE,0)</f>
        <v>0</v>
      </c>
      <c r="J748" s="13" t="s">
        <v>3595</v>
      </c>
      <c r="K748" s="4"/>
      <c r="L748" s="3"/>
    </row>
    <row r="749" spans="1:12" ht="18" x14ac:dyDescent="0.45">
      <c r="A749" s="1">
        <v>761</v>
      </c>
      <c r="B749" s="1" t="str">
        <f>"07-"&amp;LEFT(RIGHTB(REPT(0,4)&amp;_xlfn.BASE(DB07_baselinesequence[[#This Row],[num]],36),4),2)&amp;"-"&amp;RIGHT(RIGHTB(REPT(0,4)&amp;_xlfn.BASE(DB07_baselinesequence[[#This Row],[num]],36),4),2)</f>
        <v>07-00-L5</v>
      </c>
      <c r="C749" s="12" t="s">
        <v>3370</v>
      </c>
      <c r="F749" s="1" t="s">
        <v>3189</v>
      </c>
      <c r="G749" s="1" t="str">
        <f>_xlfn.XLOOKUP(DB07_baselinesequence[[#This Row],[basesequence-ID]],DB06_baseline[ID],DB06_baseline[Baseline],"",0)</f>
        <v>AGAAGAAGCCGACTGGGCAG</v>
      </c>
      <c r="H749" s="1">
        <f>_xlfn.XLOOKUP(DB07_baselinesequence[[#This Row],[basesequence-ID]],DB06_baseline[ID],DB06_baseline[確認済],FALSE,0)</f>
        <v>0</v>
      </c>
      <c r="J749" s="13" t="s">
        <v>3596</v>
      </c>
      <c r="K749" s="4"/>
      <c r="L749" s="3"/>
    </row>
    <row r="750" spans="1:12" ht="18" x14ac:dyDescent="0.45">
      <c r="A750" s="1">
        <v>762</v>
      </c>
      <c r="B750" s="1" t="str">
        <f>"07-"&amp;LEFT(RIGHTB(REPT(0,4)&amp;_xlfn.BASE(DB07_baselinesequence[[#This Row],[num]],36),4),2)&amp;"-"&amp;RIGHT(RIGHTB(REPT(0,4)&amp;_xlfn.BASE(DB07_baselinesequence[[#This Row],[num]],36),4),2)</f>
        <v>07-00-L6</v>
      </c>
      <c r="C750" s="12" t="s">
        <v>3371</v>
      </c>
      <c r="F750" s="1" t="s">
        <v>3191</v>
      </c>
      <c r="G750" s="1" t="str">
        <f>_xlfn.XLOOKUP(DB07_baselinesequence[[#This Row],[basesequence-ID]],DB06_baseline[ID],DB06_baseline[Baseline],"",0)</f>
        <v>GGAGAAGAAGCCGACTGGGC</v>
      </c>
      <c r="H750" s="1">
        <f>_xlfn.XLOOKUP(DB07_baselinesequence[[#This Row],[basesequence-ID]],DB06_baseline[ID],DB06_baseline[確認済],FALSE,0)</f>
        <v>0</v>
      </c>
      <c r="J750" s="13" t="s">
        <v>3597</v>
      </c>
      <c r="K750" s="4"/>
      <c r="L750" s="3"/>
    </row>
    <row r="751" spans="1:12" ht="18" x14ac:dyDescent="0.45">
      <c r="A751" s="1">
        <v>763</v>
      </c>
      <c r="B751" s="1" t="str">
        <f>"07-"&amp;LEFT(RIGHTB(REPT(0,4)&amp;_xlfn.BASE(DB07_baselinesequence[[#This Row],[num]],36),4),2)&amp;"-"&amp;RIGHT(RIGHTB(REPT(0,4)&amp;_xlfn.BASE(DB07_baselinesequence[[#This Row],[num]],36),4),2)</f>
        <v>07-00-L7</v>
      </c>
      <c r="C751" s="12" t="s">
        <v>3372</v>
      </c>
      <c r="F751" s="1" t="s">
        <v>3193</v>
      </c>
      <c r="G751" s="1" t="str">
        <f>_xlfn.XLOOKUP(DB07_baselinesequence[[#This Row],[basesequence-ID]],DB06_baseline[ID],DB06_baseline[Baseline],"",0)</f>
        <v>TGGAGAAGAAGCCGACTGGG</v>
      </c>
      <c r="H751" s="1">
        <f>_xlfn.XLOOKUP(DB07_baselinesequence[[#This Row],[basesequence-ID]],DB06_baseline[ID],DB06_baseline[確認済],FALSE,0)</f>
        <v>0</v>
      </c>
      <c r="J751" s="13" t="s">
        <v>3598</v>
      </c>
      <c r="K751" s="4"/>
      <c r="L751" s="3"/>
    </row>
    <row r="752" spans="1:12" ht="18" x14ac:dyDescent="0.45">
      <c r="A752" s="1">
        <v>764</v>
      </c>
      <c r="B752" s="1" t="str">
        <f>"07-"&amp;LEFT(RIGHTB(REPT(0,4)&amp;_xlfn.BASE(DB07_baselinesequence[[#This Row],[num]],36),4),2)&amp;"-"&amp;RIGHT(RIGHTB(REPT(0,4)&amp;_xlfn.BASE(DB07_baselinesequence[[#This Row],[num]],36),4),2)</f>
        <v>07-00-L8</v>
      </c>
      <c r="C752" s="12" t="s">
        <v>3373</v>
      </c>
      <c r="F752" s="1" t="s">
        <v>3195</v>
      </c>
      <c r="G752" s="1" t="str">
        <f>_xlfn.XLOOKUP(DB07_baselinesequence[[#This Row],[basesequence-ID]],DB06_baseline[ID],DB06_baseline[Baseline],"",0)</f>
        <v>TTGGAGAAGAAGCCGACTGG</v>
      </c>
      <c r="H752" s="1">
        <f>_xlfn.XLOOKUP(DB07_baselinesequence[[#This Row],[basesequence-ID]],DB06_baseline[ID],DB06_baseline[確認済],FALSE,0)</f>
        <v>0</v>
      </c>
      <c r="J752" s="13" t="s">
        <v>517</v>
      </c>
      <c r="K752" s="4"/>
      <c r="L752" s="3"/>
    </row>
    <row r="753" spans="1:12" ht="18" x14ac:dyDescent="0.45">
      <c r="A753" s="1">
        <v>765</v>
      </c>
      <c r="B753" s="1" t="str">
        <f>"07-"&amp;LEFT(RIGHTB(REPT(0,4)&amp;_xlfn.BASE(DB07_baselinesequence[[#This Row],[num]],36),4),2)&amp;"-"&amp;RIGHT(RIGHTB(REPT(0,4)&amp;_xlfn.BASE(DB07_baselinesequence[[#This Row],[num]],36),4),2)</f>
        <v>07-00-L9</v>
      </c>
      <c r="C753" s="12" t="s">
        <v>3374</v>
      </c>
      <c r="F753" s="1" t="s">
        <v>3196</v>
      </c>
      <c r="G753" s="1" t="str">
        <f>_xlfn.XLOOKUP(DB07_baselinesequence[[#This Row],[basesequence-ID]],DB06_baseline[ID],DB06_baseline[Baseline],"",0)</f>
        <v>ATTGGAGAAGAAGCCGACTG</v>
      </c>
      <c r="H753" s="1">
        <f>_xlfn.XLOOKUP(DB07_baselinesequence[[#This Row],[basesequence-ID]],DB06_baseline[ID],DB06_baseline[確認済],FALSE,0)</f>
        <v>0</v>
      </c>
      <c r="J753" s="13" t="s">
        <v>3599</v>
      </c>
      <c r="K753" s="4"/>
      <c r="L753" s="3"/>
    </row>
    <row r="754" spans="1:12" ht="18" x14ac:dyDescent="0.45">
      <c r="A754" s="1">
        <v>766</v>
      </c>
      <c r="B754" s="1" t="str">
        <f>"07-"&amp;LEFT(RIGHTB(REPT(0,4)&amp;_xlfn.BASE(DB07_baselinesequence[[#This Row],[num]],36),4),2)&amp;"-"&amp;RIGHT(RIGHTB(REPT(0,4)&amp;_xlfn.BASE(DB07_baselinesequence[[#This Row],[num]],36),4),2)</f>
        <v>07-00-LA</v>
      </c>
      <c r="C754" s="12" t="s">
        <v>3375</v>
      </c>
      <c r="F754" s="1" t="s">
        <v>3198</v>
      </c>
      <c r="G754" s="1" t="str">
        <f>_xlfn.XLOOKUP(DB07_baselinesequence[[#This Row],[basesequence-ID]],DB06_baseline[ID],DB06_baseline[Baseline],"",0)</f>
        <v>TGTTGCACAACCAGGTCTTT</v>
      </c>
      <c r="H754" s="1">
        <f>_xlfn.XLOOKUP(DB07_baselinesequence[[#This Row],[basesequence-ID]],DB06_baseline[ID],DB06_baseline[確認済],FALSE,0)</f>
        <v>0</v>
      </c>
      <c r="J754" s="13" t="s">
        <v>3600</v>
      </c>
      <c r="K754" s="4"/>
      <c r="L754" s="3"/>
    </row>
    <row r="755" spans="1:12" ht="18" x14ac:dyDescent="0.45">
      <c r="A755" s="1">
        <v>767</v>
      </c>
      <c r="B755" s="1" t="str">
        <f>"07-"&amp;LEFT(RIGHTB(REPT(0,4)&amp;_xlfn.BASE(DB07_baselinesequence[[#This Row],[num]],36),4),2)&amp;"-"&amp;RIGHT(RIGHTB(REPT(0,4)&amp;_xlfn.BASE(DB07_baselinesequence[[#This Row],[num]],36),4),2)</f>
        <v>07-00-LB</v>
      </c>
      <c r="C755" s="12" t="s">
        <v>3376</v>
      </c>
      <c r="F755" s="1" t="s">
        <v>3200</v>
      </c>
      <c r="G755" s="1" t="str">
        <f>_xlfn.XLOOKUP(DB07_baselinesequence[[#This Row],[basesequence-ID]],DB06_baseline[ID],DB06_baseline[Baseline],"",0)</f>
        <v>CTGTTGCACAACCAGGTCTT</v>
      </c>
      <c r="H755" s="1">
        <f>_xlfn.XLOOKUP(DB07_baselinesequence[[#This Row],[basesequence-ID]],DB06_baseline[ID],DB06_baseline[確認済],FALSE,0)</f>
        <v>0</v>
      </c>
      <c r="J755" s="13" t="s">
        <v>3601</v>
      </c>
      <c r="K755" s="4"/>
      <c r="L755" s="3"/>
    </row>
    <row r="756" spans="1:12" ht="18" x14ac:dyDescent="0.45">
      <c r="A756" s="1">
        <v>768</v>
      </c>
      <c r="B756" s="1" t="str">
        <f>"07-"&amp;LEFT(RIGHTB(REPT(0,4)&amp;_xlfn.BASE(DB07_baselinesequence[[#This Row],[num]],36),4),2)&amp;"-"&amp;RIGHT(RIGHTB(REPT(0,4)&amp;_xlfn.BASE(DB07_baselinesequence[[#This Row],[num]],36),4),2)</f>
        <v>07-00-LC</v>
      </c>
      <c r="C756" s="12" t="s">
        <v>3377</v>
      </c>
      <c r="F756" s="1" t="s">
        <v>3202</v>
      </c>
      <c r="G756" s="1" t="str">
        <f>_xlfn.XLOOKUP(DB07_baselinesequence[[#This Row],[basesequence-ID]],DB06_baseline[ID],DB06_baseline[Baseline],"",0)</f>
        <v>CCTGCCTGTTGCACAACCAG</v>
      </c>
      <c r="H756" s="1">
        <f>_xlfn.XLOOKUP(DB07_baselinesequence[[#This Row],[basesequence-ID]],DB06_baseline[ID],DB06_baseline[確認済],FALSE,0)</f>
        <v>0</v>
      </c>
      <c r="J756" s="13" t="s">
        <v>3602</v>
      </c>
      <c r="K756" s="4"/>
      <c r="L756" s="3"/>
    </row>
    <row r="757" spans="1:12" ht="18" x14ac:dyDescent="0.45">
      <c r="A757" s="1">
        <v>769</v>
      </c>
      <c r="B757" s="1" t="str">
        <f>"07-"&amp;LEFT(RIGHTB(REPT(0,4)&amp;_xlfn.BASE(DB07_baselinesequence[[#This Row],[num]],36),4),2)&amp;"-"&amp;RIGHT(RIGHTB(REPT(0,4)&amp;_xlfn.BASE(DB07_baselinesequence[[#This Row],[num]],36),4),2)</f>
        <v>07-00-LD</v>
      </c>
      <c r="C757" s="12" t="s">
        <v>3378</v>
      </c>
      <c r="F757" s="1" t="s">
        <v>3204</v>
      </c>
      <c r="G757" s="1" t="str">
        <f>_xlfn.XLOOKUP(DB07_baselinesequence[[#This Row],[basesequence-ID]],DB06_baseline[ID],DB06_baseline[Baseline],"",0)</f>
        <v>GCCTGCCTGTTGCACAACCA</v>
      </c>
      <c r="H757" s="1">
        <f>_xlfn.XLOOKUP(DB07_baselinesequence[[#This Row],[basesequence-ID]],DB06_baseline[ID],DB06_baseline[確認済],FALSE,0)</f>
        <v>0</v>
      </c>
      <c r="J757" s="13" t="s">
        <v>3603</v>
      </c>
      <c r="K757" s="4"/>
      <c r="L757" s="3"/>
    </row>
    <row r="758" spans="1:12" ht="18" x14ac:dyDescent="0.45">
      <c r="A758" s="1">
        <v>770</v>
      </c>
      <c r="B758" s="1" t="str">
        <f>"07-"&amp;LEFT(RIGHTB(REPT(0,4)&amp;_xlfn.BASE(DB07_baselinesequence[[#This Row],[num]],36),4),2)&amp;"-"&amp;RIGHT(RIGHTB(REPT(0,4)&amp;_xlfn.BASE(DB07_baselinesequence[[#This Row],[num]],36),4),2)</f>
        <v>07-00-LE</v>
      </c>
      <c r="C758" s="12" t="s">
        <v>3379</v>
      </c>
      <c r="F758" s="1" t="s">
        <v>3206</v>
      </c>
      <c r="G758" s="1" t="str">
        <f>_xlfn.XLOOKUP(DB07_baselinesequence[[#This Row],[basesequence-ID]],DB06_baseline[ID],DB06_baseline[Baseline],"",0)</f>
        <v>TGTTTGTGCCTGCCTGTTGC</v>
      </c>
      <c r="H758" s="1">
        <f>_xlfn.XLOOKUP(DB07_baselinesequence[[#This Row],[basesequence-ID]],DB06_baseline[ID],DB06_baseline[確認済],FALSE,0)</f>
        <v>0</v>
      </c>
      <c r="J758" s="13" t="s">
        <v>3604</v>
      </c>
      <c r="K758" s="4"/>
      <c r="L758" s="3"/>
    </row>
    <row r="759" spans="1:12" ht="18" x14ac:dyDescent="0.45">
      <c r="A759" s="1">
        <v>771</v>
      </c>
      <c r="B759" s="1" t="str">
        <f>"07-"&amp;LEFT(RIGHTB(REPT(0,4)&amp;_xlfn.BASE(DB07_baselinesequence[[#This Row],[num]],36),4),2)&amp;"-"&amp;RIGHT(RIGHTB(REPT(0,4)&amp;_xlfn.BASE(DB07_baselinesequence[[#This Row],[num]],36),4),2)</f>
        <v>07-00-LF</v>
      </c>
      <c r="C759" s="12" t="s">
        <v>3380</v>
      </c>
      <c r="F759" s="1" t="s">
        <v>3208</v>
      </c>
      <c r="G759" s="1" t="str">
        <f>_xlfn.XLOOKUP(DB07_baselinesequence[[#This Row],[basesequence-ID]],DB06_baseline[ID],DB06_baseline[Baseline],"",0)</f>
        <v>CTTGTTTGTGCCTGCCTGTT</v>
      </c>
      <c r="H759" s="1">
        <f>_xlfn.XLOOKUP(DB07_baselinesequence[[#This Row],[basesequence-ID]],DB06_baseline[ID],DB06_baseline[確認済],FALSE,0)</f>
        <v>0</v>
      </c>
      <c r="J759" s="13" t="s">
        <v>3605</v>
      </c>
      <c r="K759" s="4"/>
      <c r="L759" s="3"/>
    </row>
    <row r="760" spans="1:12" ht="18" x14ac:dyDescent="0.45">
      <c r="A760" s="1">
        <v>772</v>
      </c>
      <c r="B760" s="1" t="str">
        <f>"07-"&amp;LEFT(RIGHTB(REPT(0,4)&amp;_xlfn.BASE(DB07_baselinesequence[[#This Row],[num]],36),4),2)&amp;"-"&amp;RIGHT(RIGHTB(REPT(0,4)&amp;_xlfn.BASE(DB07_baselinesequence[[#This Row],[num]],36),4),2)</f>
        <v>07-00-LG</v>
      </c>
      <c r="C760" s="12" t="s">
        <v>3381</v>
      </c>
      <c r="F760" s="1" t="s">
        <v>3210</v>
      </c>
      <c r="G760" s="1" t="str">
        <f>_xlfn.XLOOKUP(DB07_baselinesequence[[#This Row],[basesequence-ID]],DB06_baseline[ID],DB06_baseline[Baseline],"",0)</f>
        <v>TCTTGTTTGTGCCTGCCTGT</v>
      </c>
      <c r="H760" s="1">
        <f>_xlfn.XLOOKUP(DB07_baselinesequence[[#This Row],[basesequence-ID]],DB06_baseline[ID],DB06_baseline[確認済],FALSE,0)</f>
        <v>0</v>
      </c>
      <c r="J760" s="13" t="s">
        <v>3606</v>
      </c>
      <c r="K760" s="4"/>
      <c r="L760" s="3"/>
    </row>
    <row r="761" spans="1:12" ht="18" x14ac:dyDescent="0.45">
      <c r="A761" s="1">
        <v>773</v>
      </c>
      <c r="B761" s="1" t="str">
        <f>"07-"&amp;LEFT(RIGHTB(REPT(0,4)&amp;_xlfn.BASE(DB07_baselinesequence[[#This Row],[num]],36),4),2)&amp;"-"&amp;RIGHT(RIGHTB(REPT(0,4)&amp;_xlfn.BASE(DB07_baselinesequence[[#This Row],[num]],36),4),2)</f>
        <v>07-00-LH</v>
      </c>
      <c r="C761" s="12" t="s">
        <v>3382</v>
      </c>
      <c r="F761" s="1" t="s">
        <v>3212</v>
      </c>
      <c r="G761" s="1" t="str">
        <f>_xlfn.XLOOKUP(DB07_baselinesequence[[#This Row],[basesequence-ID]],DB06_baseline[ID],DB06_baseline[Baseline],"",0)</f>
        <v>AGTCTTGTTTGTGCCTGCCT</v>
      </c>
      <c r="H761" s="1">
        <f>_xlfn.XLOOKUP(DB07_baselinesequence[[#This Row],[basesequence-ID]],DB06_baseline[ID],DB06_baseline[確認済],FALSE,0)</f>
        <v>0</v>
      </c>
      <c r="J761" s="13" t="s">
        <v>3607</v>
      </c>
      <c r="K761" s="4"/>
      <c r="L761" s="3"/>
    </row>
    <row r="762" spans="1:12" ht="18" x14ac:dyDescent="0.45">
      <c r="A762" s="1">
        <v>774</v>
      </c>
      <c r="B762" s="1" t="str">
        <f>"07-"&amp;LEFT(RIGHTB(REPT(0,4)&amp;_xlfn.BASE(DB07_baselinesequence[[#This Row],[num]],36),4),2)&amp;"-"&amp;RIGHT(RIGHTB(REPT(0,4)&amp;_xlfn.BASE(DB07_baselinesequence[[#This Row],[num]],36),4),2)</f>
        <v>07-00-LI</v>
      </c>
      <c r="C762" s="12" t="s">
        <v>3383</v>
      </c>
      <c r="F762" s="1" t="s">
        <v>3214</v>
      </c>
      <c r="G762" s="1" t="str">
        <f>_xlfn.XLOOKUP(DB07_baselinesequence[[#This Row],[basesequence-ID]],DB06_baseline[ID],DB06_baseline[Baseline],"",0)</f>
        <v>CAGTCTTGTTTGTGCCTGCC</v>
      </c>
      <c r="H762" s="1">
        <f>_xlfn.XLOOKUP(DB07_baselinesequence[[#This Row],[basesequence-ID]],DB06_baseline[ID],DB06_baseline[確認済],FALSE,0)</f>
        <v>0</v>
      </c>
      <c r="J762" s="13" t="s">
        <v>3608</v>
      </c>
      <c r="K762" s="4"/>
      <c r="L762" s="3"/>
    </row>
    <row r="763" spans="1:12" ht="18" x14ac:dyDescent="0.45">
      <c r="A763" s="1">
        <v>775</v>
      </c>
      <c r="B763" s="1" t="str">
        <f>"07-"&amp;LEFT(RIGHTB(REPT(0,4)&amp;_xlfn.BASE(DB07_baselinesequence[[#This Row],[num]],36),4),2)&amp;"-"&amp;RIGHT(RIGHTB(REPT(0,4)&amp;_xlfn.BASE(DB07_baselinesequence[[#This Row],[num]],36),4),2)</f>
        <v>07-00-LJ</v>
      </c>
      <c r="C763" s="12" t="s">
        <v>3384</v>
      </c>
      <c r="F763" s="1" t="s">
        <v>3216</v>
      </c>
      <c r="G763" s="1" t="str">
        <f>_xlfn.XLOOKUP(DB07_baselinesequence[[#This Row],[basesequence-ID]],DB06_baseline[ID],DB06_baseline[Baseline],"",0)</f>
        <v>TCAGTCTTGTTTGTGCCTGC</v>
      </c>
      <c r="H763" s="1">
        <f>_xlfn.XLOOKUP(DB07_baselinesequence[[#This Row],[basesequence-ID]],DB06_baseline[ID],DB06_baseline[確認済],FALSE,0)</f>
        <v>0</v>
      </c>
      <c r="J763" s="13" t="s">
        <v>3609</v>
      </c>
      <c r="K763" s="4"/>
      <c r="L763" s="3"/>
    </row>
    <row r="764" spans="1:12" ht="18" x14ac:dyDescent="0.45">
      <c r="A764" s="1">
        <v>776</v>
      </c>
      <c r="B764" s="1" t="str">
        <f>"07-"&amp;LEFT(RIGHTB(REPT(0,4)&amp;_xlfn.BASE(DB07_baselinesequence[[#This Row],[num]],36),4),2)&amp;"-"&amp;RIGHT(RIGHTB(REPT(0,4)&amp;_xlfn.BASE(DB07_baselinesequence[[#This Row],[num]],36),4),2)</f>
        <v>07-00-LK</v>
      </c>
      <c r="C764" s="12" t="s">
        <v>3385</v>
      </c>
      <c r="F764" s="1" t="s">
        <v>3218</v>
      </c>
      <c r="G764" s="1" t="str">
        <f>_xlfn.XLOOKUP(DB07_baselinesequence[[#This Row],[basesequence-ID]],DB06_baseline[ID],DB06_baseline[Baseline],"",0)</f>
        <v>ATCACCACCAGGGCTCTCAG</v>
      </c>
      <c r="H764" s="1">
        <f>_xlfn.XLOOKUP(DB07_baselinesequence[[#This Row],[basesequence-ID]],DB06_baseline[ID],DB06_baseline[確認済],FALSE,0)</f>
        <v>0</v>
      </c>
      <c r="J764" s="13" t="s">
        <v>3610</v>
      </c>
      <c r="K764" s="4"/>
      <c r="L764" s="3"/>
    </row>
    <row r="765" spans="1:12" ht="18" x14ac:dyDescent="0.45">
      <c r="A765" s="1">
        <v>777</v>
      </c>
      <c r="B765" s="1" t="str">
        <f>"07-"&amp;LEFT(RIGHTB(REPT(0,4)&amp;_xlfn.BASE(DB07_baselinesequence[[#This Row],[num]],36),4),2)&amp;"-"&amp;RIGHT(RIGHTB(REPT(0,4)&amp;_xlfn.BASE(DB07_baselinesequence[[#This Row],[num]],36),4),2)</f>
        <v>07-00-LL</v>
      </c>
      <c r="C765" s="12" t="s">
        <v>3386</v>
      </c>
      <c r="F765" s="1" t="s">
        <v>3220</v>
      </c>
      <c r="G765" s="1" t="str">
        <f>_xlfn.XLOOKUP(DB07_baselinesequence[[#This Row],[basesequence-ID]],DB06_baseline[ID],DB06_baseline[Baseline],"",0)</f>
        <v>GATCACCACCAGGGCTCTCA</v>
      </c>
      <c r="H765" s="1">
        <f>_xlfn.XLOOKUP(DB07_baselinesequence[[#This Row],[basesequence-ID]],DB06_baseline[ID],DB06_baseline[確認済],FALSE,0)</f>
        <v>0</v>
      </c>
      <c r="J765" s="13" t="s">
        <v>3611</v>
      </c>
      <c r="K765" s="4"/>
      <c r="L765" s="3"/>
    </row>
    <row r="766" spans="1:12" ht="18" x14ac:dyDescent="0.45">
      <c r="A766" s="1">
        <v>778</v>
      </c>
      <c r="B766" s="1" t="str">
        <f>"07-"&amp;LEFT(RIGHTB(REPT(0,4)&amp;_xlfn.BASE(DB07_baselinesequence[[#This Row],[num]],36),4),2)&amp;"-"&amp;RIGHT(RIGHTB(REPT(0,4)&amp;_xlfn.BASE(DB07_baselinesequence[[#This Row],[num]],36),4),2)</f>
        <v>07-00-LM</v>
      </c>
      <c r="C766" s="12" t="s">
        <v>3387</v>
      </c>
      <c r="F766" s="1" t="s">
        <v>3222</v>
      </c>
      <c r="G766" s="1" t="str">
        <f>_xlfn.XLOOKUP(DB07_baselinesequence[[#This Row],[basesequence-ID]],DB06_baseline[ID],DB06_baseline[Baseline],"",0)</f>
        <v>GGGAAAATTGATCTCCTGGG</v>
      </c>
      <c r="H766" s="1">
        <f>_xlfn.XLOOKUP(DB07_baselinesequence[[#This Row],[basesequence-ID]],DB06_baseline[ID],DB06_baseline[確認済],FALSE,0)</f>
        <v>0</v>
      </c>
      <c r="J766" s="13" t="s">
        <v>3612</v>
      </c>
      <c r="K766" s="4"/>
      <c r="L766" s="3"/>
    </row>
    <row r="767" spans="1:12" ht="18" x14ac:dyDescent="0.45">
      <c r="A767" s="1">
        <v>779</v>
      </c>
      <c r="B767" s="1" t="str">
        <f>"07-"&amp;LEFT(RIGHTB(REPT(0,4)&amp;_xlfn.BASE(DB07_baselinesequence[[#This Row],[num]],36),4),2)&amp;"-"&amp;RIGHT(RIGHTB(REPT(0,4)&amp;_xlfn.BASE(DB07_baselinesequence[[#This Row],[num]],36),4),2)</f>
        <v>07-00-LN</v>
      </c>
      <c r="C767" s="12" t="s">
        <v>3388</v>
      </c>
      <c r="F767" s="1" t="s">
        <v>3224</v>
      </c>
      <c r="G767" s="1" t="str">
        <f>_xlfn.XLOOKUP(DB07_baselinesequence[[#This Row],[basesequence-ID]],DB06_baseline[ID],DB06_baseline[Baseline],"",0)</f>
        <v>CGGGAAAATTGATCTCCTGG</v>
      </c>
      <c r="H767" s="1">
        <f>_xlfn.XLOOKUP(DB07_baselinesequence[[#This Row],[basesequence-ID]],DB06_baseline[ID],DB06_baseline[確認済],FALSE,0)</f>
        <v>0</v>
      </c>
      <c r="J767" s="13" t="s">
        <v>3613</v>
      </c>
      <c r="K767" s="4"/>
      <c r="L767" s="3"/>
    </row>
    <row r="768" spans="1:12" ht="18" x14ac:dyDescent="0.45">
      <c r="A768" s="1">
        <v>780</v>
      </c>
      <c r="B768" s="1" t="str">
        <f>"07-"&amp;LEFT(RIGHTB(REPT(0,4)&amp;_xlfn.BASE(DB07_baselinesequence[[#This Row],[num]],36),4),2)&amp;"-"&amp;RIGHT(RIGHTB(REPT(0,4)&amp;_xlfn.BASE(DB07_baselinesequence[[#This Row],[num]],36),4),2)</f>
        <v>07-00-LO</v>
      </c>
      <c r="C768" s="12" t="s">
        <v>3389</v>
      </c>
      <c r="F768" s="1" t="s">
        <v>3226</v>
      </c>
      <c r="G768" s="1" t="str">
        <f>_xlfn.XLOOKUP(DB07_baselinesequence[[#This Row],[basesequence-ID]],DB06_baseline[ID],DB06_baseline[Baseline],"",0)</f>
        <v>TCGGGAAAATTGATCTCCTG</v>
      </c>
      <c r="H768" s="1">
        <f>_xlfn.XLOOKUP(DB07_baselinesequence[[#This Row],[basesequence-ID]],DB06_baseline[ID],DB06_baseline[確認済],FALSE,0)</f>
        <v>0</v>
      </c>
      <c r="J768" s="13" t="s">
        <v>3614</v>
      </c>
      <c r="K768" s="4"/>
      <c r="L768" s="3"/>
    </row>
    <row r="769" spans="1:12" ht="18" x14ac:dyDescent="0.45">
      <c r="A769" s="1">
        <v>781</v>
      </c>
      <c r="B769" s="1" t="str">
        <f>"07-"&amp;LEFT(RIGHTB(REPT(0,4)&amp;_xlfn.BASE(DB07_baselinesequence[[#This Row],[num]],36),4),2)&amp;"-"&amp;RIGHT(RIGHTB(REPT(0,4)&amp;_xlfn.BASE(DB07_baselinesequence[[#This Row],[num]],36),4),2)</f>
        <v>07-00-LP</v>
      </c>
      <c r="C769" s="12" t="s">
        <v>3390</v>
      </c>
      <c r="F769" s="1" t="s">
        <v>3228</v>
      </c>
      <c r="G769" s="1" t="str">
        <f>_xlfn.XLOOKUP(DB07_baselinesequence[[#This Row],[basesequence-ID]],DB06_baseline[ID],DB06_baseline[Baseline],"",0)</f>
        <v>CGTCGGGAAAATTGATCTCC</v>
      </c>
      <c r="H769" s="1">
        <f>_xlfn.XLOOKUP(DB07_baselinesequence[[#This Row],[basesequence-ID]],DB06_baseline[ID],DB06_baseline[確認済],FALSE,0)</f>
        <v>0</v>
      </c>
      <c r="J769" s="13" t="s">
        <v>3615</v>
      </c>
      <c r="K769" s="4"/>
      <c r="L769" s="3"/>
    </row>
    <row r="770" spans="1:12" ht="18" x14ac:dyDescent="0.45">
      <c r="A770" s="1">
        <v>782</v>
      </c>
      <c r="B770" s="1" t="str">
        <f>"07-"&amp;LEFT(RIGHTB(REPT(0,4)&amp;_xlfn.BASE(DB07_baselinesequence[[#This Row],[num]],36),4),2)&amp;"-"&amp;RIGHT(RIGHTB(REPT(0,4)&amp;_xlfn.BASE(DB07_baselinesequence[[#This Row],[num]],36),4),2)</f>
        <v>07-00-LQ</v>
      </c>
      <c r="C770" s="12" t="s">
        <v>3391</v>
      </c>
      <c r="F770" s="1" t="s">
        <v>3230</v>
      </c>
      <c r="G770" s="1" t="str">
        <f>_xlfn.XLOOKUP(DB07_baselinesequence[[#This Row],[basesequence-ID]],DB06_baseline[ID],DB06_baseline[Baseline],"",0)</f>
        <v>TCGTCGGGAAAATTGATCTC</v>
      </c>
      <c r="H770" s="1">
        <f>_xlfn.XLOOKUP(DB07_baselinesequence[[#This Row],[basesequence-ID]],DB06_baseline[ID],DB06_baseline[確認済],FALSE,0)</f>
        <v>0</v>
      </c>
      <c r="J770" s="13" t="s">
        <v>3616</v>
      </c>
      <c r="K770" s="4"/>
      <c r="L770" s="3"/>
    </row>
    <row r="771" spans="1:12" ht="18" x14ac:dyDescent="0.45">
      <c r="A771" s="1">
        <v>783</v>
      </c>
      <c r="B771" s="1" t="str">
        <f>"07-"&amp;LEFT(RIGHTB(REPT(0,4)&amp;_xlfn.BASE(DB07_baselinesequence[[#This Row],[num]],36),4),2)&amp;"-"&amp;RIGHT(RIGHTB(REPT(0,4)&amp;_xlfn.BASE(DB07_baselinesequence[[#This Row],[num]],36),4),2)</f>
        <v>07-00-LR</v>
      </c>
      <c r="C771" s="12" t="s">
        <v>3392</v>
      </c>
      <c r="F771" s="1" t="s">
        <v>3232</v>
      </c>
      <c r="G771" s="1" t="str">
        <f>_xlfn.XLOOKUP(DB07_baselinesequence[[#This Row],[basesequence-ID]],DB06_baseline[ID],DB06_baseline[Baseline],"",0)</f>
        <v>ATCGTCGGGAAAATTGATCT</v>
      </c>
      <c r="H771" s="1">
        <f>_xlfn.XLOOKUP(DB07_baselinesequence[[#This Row],[basesequence-ID]],DB06_baseline[ID],DB06_baseline[確認済],FALSE,0)</f>
        <v>0</v>
      </c>
      <c r="J771" s="13" t="s">
        <v>3617</v>
      </c>
      <c r="K771" s="4"/>
      <c r="L771" s="3"/>
    </row>
    <row r="772" spans="1:12" ht="18" x14ac:dyDescent="0.45">
      <c r="A772" s="1">
        <v>784</v>
      </c>
      <c r="B772" s="1" t="str">
        <f>"07-"&amp;LEFT(RIGHTB(REPT(0,4)&amp;_xlfn.BASE(DB07_baselinesequence[[#This Row],[num]],36),4),2)&amp;"-"&amp;RIGHT(RIGHTB(REPT(0,4)&amp;_xlfn.BASE(DB07_baselinesequence[[#This Row],[num]],36),4),2)</f>
        <v>07-00-LS</v>
      </c>
      <c r="C772" s="12" t="s">
        <v>3393</v>
      </c>
      <c r="F772" s="1" t="s">
        <v>3234</v>
      </c>
      <c r="G772" s="1" t="str">
        <f>_xlfn.XLOOKUP(DB07_baselinesequence[[#This Row],[basesequence-ID]],DB06_baseline[ID],DB06_baseline[Baseline],"",0)</f>
        <v>AGTGTTGGAGCCAGGAAGAT</v>
      </c>
      <c r="H772" s="1">
        <f>_xlfn.XLOOKUP(DB07_baselinesequence[[#This Row],[basesequence-ID]],DB06_baseline[ID],DB06_baseline[確認済],FALSE,0)</f>
        <v>0</v>
      </c>
      <c r="J772" s="13" t="s">
        <v>3618</v>
      </c>
      <c r="K772" s="4"/>
      <c r="L772" s="3"/>
    </row>
    <row r="773" spans="1:12" ht="18" x14ac:dyDescent="0.45">
      <c r="A773" s="1">
        <v>785</v>
      </c>
      <c r="B773" s="1" t="str">
        <f>"07-"&amp;LEFT(RIGHTB(REPT(0,4)&amp;_xlfn.BASE(DB07_baselinesequence[[#This Row],[num]],36),4),2)&amp;"-"&amp;RIGHT(RIGHTB(REPT(0,4)&amp;_xlfn.BASE(DB07_baselinesequence[[#This Row],[num]],36),4),2)</f>
        <v>07-00-LT</v>
      </c>
      <c r="C773" s="12" t="s">
        <v>3394</v>
      </c>
      <c r="F773" s="1" t="s">
        <v>3236</v>
      </c>
      <c r="G773" s="1" t="str">
        <f>_xlfn.XLOOKUP(DB07_baselinesequence[[#This Row],[basesequence-ID]],DB06_baseline[ID],DB06_baseline[Baseline],"",0)</f>
        <v>CAGTGTTGGAGCCAGGAAGA</v>
      </c>
      <c r="H773" s="1">
        <f>_xlfn.XLOOKUP(DB07_baselinesequence[[#This Row],[basesequence-ID]],DB06_baseline[ID],DB06_baseline[確認済],FALSE,0)</f>
        <v>0</v>
      </c>
      <c r="J773" s="13" t="s">
        <v>3619</v>
      </c>
      <c r="K773" s="4"/>
      <c r="L773" s="3"/>
    </row>
    <row r="774" spans="1:12" ht="18" x14ac:dyDescent="0.45">
      <c r="A774" s="1">
        <v>786</v>
      </c>
      <c r="B774" s="1" t="str">
        <f>"07-"&amp;LEFT(RIGHTB(REPT(0,4)&amp;_xlfn.BASE(DB07_baselinesequence[[#This Row],[num]],36),4),2)&amp;"-"&amp;RIGHT(RIGHTB(REPT(0,4)&amp;_xlfn.BASE(DB07_baselinesequence[[#This Row],[num]],36),4),2)</f>
        <v>07-00-LU</v>
      </c>
      <c r="C774" s="12" t="s">
        <v>3395</v>
      </c>
      <c r="F774" s="1" t="s">
        <v>3238</v>
      </c>
      <c r="G774" s="1" t="str">
        <f>_xlfn.XLOOKUP(DB07_baselinesequence[[#This Row],[basesequence-ID]],DB06_baseline[ID],DB06_baseline[Baseline],"",0)</f>
        <v>AGCAGTGTTGGAGCCAGGAA</v>
      </c>
      <c r="H774" s="1">
        <f>_xlfn.XLOOKUP(DB07_baselinesequence[[#This Row],[basesequence-ID]],DB06_baseline[ID],DB06_baseline[確認済],FALSE,0)</f>
        <v>0</v>
      </c>
      <c r="J774" s="13" t="s">
        <v>3620</v>
      </c>
      <c r="K774" s="4"/>
      <c r="L774" s="3"/>
    </row>
    <row r="775" spans="1:12" ht="18" x14ac:dyDescent="0.45">
      <c r="A775" s="1">
        <v>787</v>
      </c>
      <c r="B775" s="1" t="str">
        <f>"07-"&amp;LEFT(RIGHTB(REPT(0,4)&amp;_xlfn.BASE(DB07_baselinesequence[[#This Row],[num]],36),4),2)&amp;"-"&amp;RIGHT(RIGHTB(REPT(0,4)&amp;_xlfn.BASE(DB07_baselinesequence[[#This Row],[num]],36),4),2)</f>
        <v>07-00-LV</v>
      </c>
      <c r="C775" s="12" t="s">
        <v>3396</v>
      </c>
      <c r="F775" s="1" t="s">
        <v>3240</v>
      </c>
      <c r="G775" s="1" t="str">
        <f>_xlfn.XLOOKUP(DB07_baselinesequence[[#This Row],[basesequence-ID]],DB06_baseline[ID],DB06_baseline[Baseline],"",0)</f>
        <v>GAGCAGCAGTGTTGGAGCCA</v>
      </c>
      <c r="H775" s="1">
        <f>_xlfn.XLOOKUP(DB07_baselinesequence[[#This Row],[basesequence-ID]],DB06_baseline[ID],DB06_baseline[確認済],FALSE,0)</f>
        <v>0</v>
      </c>
      <c r="J775" s="13" t="s">
        <v>3621</v>
      </c>
      <c r="K775" s="4"/>
      <c r="L775" s="3"/>
    </row>
    <row r="776" spans="1:12" ht="18" x14ac:dyDescent="0.45">
      <c r="A776" s="1">
        <v>788</v>
      </c>
      <c r="B776" s="1" t="str">
        <f>"07-"&amp;LEFT(RIGHTB(REPT(0,4)&amp;_xlfn.BASE(DB07_baselinesequence[[#This Row],[num]],36),4),2)&amp;"-"&amp;RIGHT(RIGHTB(REPT(0,4)&amp;_xlfn.BASE(DB07_baselinesequence[[#This Row],[num]],36),4),2)</f>
        <v>07-00-LW</v>
      </c>
      <c r="C776" s="12" t="s">
        <v>3397</v>
      </c>
      <c r="F776" s="1" t="s">
        <v>3242</v>
      </c>
      <c r="G776" s="1" t="str">
        <f>_xlfn.XLOOKUP(DB07_baselinesequence[[#This Row],[basesequence-ID]],DB06_baseline[ID],DB06_baseline[Baseline],"",0)</f>
        <v>CTGCACTGGAGCAGCAGTGT</v>
      </c>
      <c r="H776" s="1">
        <f>_xlfn.XLOOKUP(DB07_baselinesequence[[#This Row],[basesequence-ID]],DB06_baseline[ID],DB06_baseline[確認済],FALSE,0)</f>
        <v>0</v>
      </c>
      <c r="J776" s="13" t="s">
        <v>3622</v>
      </c>
      <c r="K776" s="4"/>
      <c r="L776" s="3"/>
    </row>
    <row r="777" spans="1:12" ht="18" x14ac:dyDescent="0.45">
      <c r="A777" s="1">
        <v>789</v>
      </c>
      <c r="B777" s="1" t="str">
        <f>"07-"&amp;LEFT(RIGHTB(REPT(0,4)&amp;_xlfn.BASE(DB07_baselinesequence[[#This Row],[num]],36),4),2)&amp;"-"&amp;RIGHT(RIGHTB(REPT(0,4)&amp;_xlfn.BASE(DB07_baselinesequence[[#This Row],[num]],36),4),2)</f>
        <v>07-00-LX</v>
      </c>
      <c r="C777" s="12" t="s">
        <v>3398</v>
      </c>
      <c r="F777" s="1" t="s">
        <v>3244</v>
      </c>
      <c r="G777" s="1" t="str">
        <f>_xlfn.XLOOKUP(DB07_baselinesequence[[#This Row],[basesequence-ID]],DB06_baseline[ID],DB06_baseline[Baseline],"",0)</f>
        <v>CCTGCACTGGAGCAGCAGTG</v>
      </c>
      <c r="H777" s="1">
        <f>_xlfn.XLOOKUP(DB07_baselinesequence[[#This Row],[basesequence-ID]],DB06_baseline[ID],DB06_baseline[確認済],FALSE,0)</f>
        <v>0</v>
      </c>
      <c r="J777" s="13" t="s">
        <v>3623</v>
      </c>
      <c r="K777" s="4"/>
      <c r="L777" s="3"/>
    </row>
    <row r="778" spans="1:12" ht="18" x14ac:dyDescent="0.45">
      <c r="A778" s="1">
        <v>790</v>
      </c>
      <c r="B778" s="1" t="str">
        <f>"07-"&amp;LEFT(RIGHTB(REPT(0,4)&amp;_xlfn.BASE(DB07_baselinesequence[[#This Row],[num]],36),4),2)&amp;"-"&amp;RIGHT(RIGHTB(REPT(0,4)&amp;_xlfn.BASE(DB07_baselinesequence[[#This Row],[num]],36),4),2)</f>
        <v>07-00-LY</v>
      </c>
      <c r="C778" s="12" t="s">
        <v>3399</v>
      </c>
      <c r="F778" s="1" t="s">
        <v>3246</v>
      </c>
      <c r="G778" s="1" t="str">
        <f>_xlfn.XLOOKUP(DB07_baselinesequence[[#This Row],[basesequence-ID]],DB06_baseline[ID],DB06_baseline[Baseline],"",0)</f>
        <v>TCCTGCACTGGAGCAGCAGT</v>
      </c>
      <c r="H778" s="1">
        <f>_xlfn.XLOOKUP(DB07_baselinesequence[[#This Row],[basesequence-ID]],DB06_baseline[ID],DB06_baseline[確認済],FALSE,0)</f>
        <v>0</v>
      </c>
      <c r="J778" s="13" t="s">
        <v>3624</v>
      </c>
      <c r="K778" s="4"/>
      <c r="L778" s="3"/>
    </row>
    <row r="779" spans="1:12" ht="18" x14ac:dyDescent="0.45">
      <c r="A779" s="1">
        <v>791</v>
      </c>
      <c r="B779" s="1" t="str">
        <f>"07-"&amp;LEFT(RIGHTB(REPT(0,4)&amp;_xlfn.BASE(DB07_baselinesequence[[#This Row],[num]],36),4),2)&amp;"-"&amp;RIGHT(RIGHTB(REPT(0,4)&amp;_xlfn.BASE(DB07_baselinesequence[[#This Row],[num]],36),4),2)</f>
        <v>07-00-LZ</v>
      </c>
      <c r="C779" s="12" t="s">
        <v>3400</v>
      </c>
      <c r="F779" s="1" t="s">
        <v>3248</v>
      </c>
      <c r="G779" s="1" t="str">
        <f>_xlfn.XLOOKUP(DB07_baselinesequence[[#This Row],[basesequence-ID]],DB06_baseline[ID],DB06_baseline[Baseline],"",0)</f>
        <v>CTCCTGCACTGGAGCAGCAG</v>
      </c>
      <c r="H779" s="1">
        <f>_xlfn.XLOOKUP(DB07_baselinesequence[[#This Row],[basesequence-ID]],DB06_baseline[ID],DB06_baseline[確認済],FALSE,0)</f>
        <v>0</v>
      </c>
      <c r="J779" s="13" t="s">
        <v>3625</v>
      </c>
      <c r="K779" s="4"/>
      <c r="L779" s="3"/>
    </row>
    <row r="780" spans="1:12" ht="18" x14ac:dyDescent="0.45">
      <c r="A780" s="1">
        <v>792</v>
      </c>
      <c r="B780" s="1" t="str">
        <f>"07-"&amp;LEFT(RIGHTB(REPT(0,4)&amp;_xlfn.BASE(DB07_baselinesequence[[#This Row],[num]],36),4),2)&amp;"-"&amp;RIGHT(RIGHTB(REPT(0,4)&amp;_xlfn.BASE(DB07_baselinesequence[[#This Row],[num]],36),4),2)</f>
        <v>07-00-M0</v>
      </c>
      <c r="C780" s="12" t="s">
        <v>3401</v>
      </c>
      <c r="F780" s="1" t="s">
        <v>3250</v>
      </c>
      <c r="G780" s="1" t="str">
        <f>_xlfn.XLOOKUP(DB07_baselinesequence[[#This Row],[basesequence-ID]],DB06_baseline[ID],DB06_baseline[Baseline],"",0)</f>
        <v>GTCTCCTGCACTGGAGCAGC</v>
      </c>
      <c r="H780" s="1">
        <f>_xlfn.XLOOKUP(DB07_baselinesequence[[#This Row],[basesequence-ID]],DB06_baseline[ID],DB06_baseline[確認済],FALSE,0)</f>
        <v>0</v>
      </c>
      <c r="J780" s="13" t="s">
        <v>3626</v>
      </c>
      <c r="K780" s="4"/>
      <c r="L780" s="3"/>
    </row>
    <row r="781" spans="1:12" ht="18" x14ac:dyDescent="0.45">
      <c r="A781" s="1">
        <v>793</v>
      </c>
      <c r="B781" s="1" t="str">
        <f>"07-"&amp;LEFT(RIGHTB(REPT(0,4)&amp;_xlfn.BASE(DB07_baselinesequence[[#This Row],[num]],36),4),2)&amp;"-"&amp;RIGHT(RIGHTB(REPT(0,4)&amp;_xlfn.BASE(DB07_baselinesequence[[#This Row],[num]],36),4),2)</f>
        <v>07-00-M1</v>
      </c>
      <c r="C781" s="12" t="s">
        <v>3402</v>
      </c>
      <c r="F781" s="1" t="s">
        <v>3252</v>
      </c>
      <c r="G781" s="1" t="str">
        <f>_xlfn.XLOOKUP(DB07_baselinesequence[[#This Row],[basesequence-ID]],DB06_baseline[ID],DB06_baseline[Baseline],"",0)</f>
        <v>AGTCTCCTGCACTGGAGCAG</v>
      </c>
      <c r="H781" s="1">
        <f>_xlfn.XLOOKUP(DB07_baselinesequence[[#This Row],[basesequence-ID]],DB06_baseline[ID],DB06_baseline[確認済],FALSE,0)</f>
        <v>0</v>
      </c>
      <c r="J781" s="13" t="s">
        <v>3627</v>
      </c>
      <c r="K781" s="4"/>
      <c r="L781" s="3"/>
    </row>
    <row r="782" spans="1:12" ht="18" x14ac:dyDescent="0.45">
      <c r="A782" s="1">
        <v>794</v>
      </c>
      <c r="B782" s="1" t="str">
        <f>"07-"&amp;LEFT(RIGHTB(REPT(0,4)&amp;_xlfn.BASE(DB07_baselinesequence[[#This Row],[num]],36),4),2)&amp;"-"&amp;RIGHT(RIGHTB(REPT(0,4)&amp;_xlfn.BASE(DB07_baselinesequence[[#This Row],[num]],36),4),2)</f>
        <v>07-00-M2</v>
      </c>
      <c r="C782" s="12" t="s">
        <v>3403</v>
      </c>
      <c r="F782" s="1" t="s">
        <v>3254</v>
      </c>
      <c r="G782" s="1" t="str">
        <f>_xlfn.XLOOKUP(DB07_baselinesequence[[#This Row],[basesequence-ID]],DB06_baseline[ID],DB06_baseline[Baseline],"",0)</f>
        <v>GTAAAGTCTCCTGCACTGGA</v>
      </c>
      <c r="H782" s="1">
        <f>_xlfn.XLOOKUP(DB07_baselinesequence[[#This Row],[basesequence-ID]],DB06_baseline[ID],DB06_baseline[確認済],FALSE,0)</f>
        <v>0</v>
      </c>
      <c r="J782" s="13" t="s">
        <v>3628</v>
      </c>
      <c r="K782" s="4"/>
      <c r="L782" s="3"/>
    </row>
    <row r="783" spans="1:12" ht="18" x14ac:dyDescent="0.45">
      <c r="A783" s="1">
        <v>795</v>
      </c>
      <c r="B783" s="1" t="str">
        <f>"07-"&amp;LEFT(RIGHTB(REPT(0,4)&amp;_xlfn.BASE(DB07_baselinesequence[[#This Row],[num]],36),4),2)&amp;"-"&amp;RIGHT(RIGHTB(REPT(0,4)&amp;_xlfn.BASE(DB07_baselinesequence[[#This Row],[num]],36),4),2)</f>
        <v>07-00-M3</v>
      </c>
      <c r="C783" s="12" t="s">
        <v>3404</v>
      </c>
      <c r="F783" s="1" t="s">
        <v>3256</v>
      </c>
      <c r="G783" s="1" t="str">
        <f>_xlfn.XLOOKUP(DB07_baselinesequence[[#This Row],[basesequence-ID]],DB06_baseline[ID],DB06_baseline[Baseline],"",0)</f>
        <v>ATGTAAAGTCTCCTGCACTG</v>
      </c>
      <c r="H783" s="1">
        <f>_xlfn.XLOOKUP(DB07_baselinesequence[[#This Row],[basesequence-ID]],DB06_baseline[ID],DB06_baseline[確認済],FALSE,0)</f>
        <v>0</v>
      </c>
      <c r="J783" s="13" t="s">
        <v>3629</v>
      </c>
      <c r="K783" s="4"/>
      <c r="L783" s="3"/>
    </row>
    <row r="784" spans="1:12" ht="18" x14ac:dyDescent="0.45">
      <c r="A784" s="1">
        <v>796</v>
      </c>
      <c r="B784" s="1" t="str">
        <f>"07-"&amp;LEFT(RIGHTB(REPT(0,4)&amp;_xlfn.BASE(DB07_baselinesequence[[#This Row],[num]],36),4),2)&amp;"-"&amp;RIGHT(RIGHTB(REPT(0,4)&amp;_xlfn.BASE(DB07_baselinesequence[[#This Row],[num]],36),4),2)</f>
        <v>07-00-M4</v>
      </c>
      <c r="C784" s="12" t="s">
        <v>3405</v>
      </c>
      <c r="F784" s="1" t="s">
        <v>3258</v>
      </c>
      <c r="G784" s="1" t="str">
        <f>_xlfn.XLOOKUP(DB07_baselinesequence[[#This Row],[basesequence-ID]],DB06_baseline[ID],DB06_baseline[Baseline],"",0)</f>
        <v>CATGTAAAGTCTCCTGCACT</v>
      </c>
      <c r="H784" s="1">
        <f>_xlfn.XLOOKUP(DB07_baselinesequence[[#This Row],[basesequence-ID]],DB06_baseline[ID],DB06_baseline[確認済],FALSE,0)</f>
        <v>0</v>
      </c>
      <c r="J784" s="13" t="s">
        <v>3630</v>
      </c>
      <c r="K784" s="4"/>
      <c r="L784" s="3"/>
    </row>
    <row r="785" spans="1:12" ht="18" x14ac:dyDescent="0.45">
      <c r="A785" s="1">
        <v>797</v>
      </c>
      <c r="B785" s="1" t="str">
        <f>"07-"&amp;LEFT(RIGHTB(REPT(0,4)&amp;_xlfn.BASE(DB07_baselinesequence[[#This Row],[num]],36),4),2)&amp;"-"&amp;RIGHT(RIGHTB(REPT(0,4)&amp;_xlfn.BASE(DB07_baselinesequence[[#This Row],[num]],36),4),2)</f>
        <v>07-00-M5</v>
      </c>
      <c r="C785" s="12" t="s">
        <v>3406</v>
      </c>
      <c r="F785" s="1" t="s">
        <v>3260</v>
      </c>
      <c r="G785" s="1" t="str">
        <f>_xlfn.XLOOKUP(DB07_baselinesequence[[#This Row],[basesequence-ID]],DB06_baseline[ID],DB06_baseline[Baseline],"",0)</f>
        <v>ATCCATGTAAAGTCTCCTGC</v>
      </c>
      <c r="H785" s="1">
        <f>_xlfn.XLOOKUP(DB07_baselinesequence[[#This Row],[basesequence-ID]],DB06_baseline[ID],DB06_baseline[確認済],FALSE,0)</f>
        <v>0</v>
      </c>
      <c r="J785" s="13" t="s">
        <v>3631</v>
      </c>
      <c r="K785" s="4"/>
      <c r="L785" s="3"/>
    </row>
    <row r="786" spans="1:12" ht="18" x14ac:dyDescent="0.45">
      <c r="A786" s="1">
        <v>798</v>
      </c>
      <c r="B786" s="1" t="str">
        <f>"07-"&amp;LEFT(RIGHTB(REPT(0,4)&amp;_xlfn.BASE(DB07_baselinesequence[[#This Row],[num]],36),4),2)&amp;"-"&amp;RIGHT(RIGHTB(REPT(0,4)&amp;_xlfn.BASE(DB07_baselinesequence[[#This Row],[num]],36),4),2)</f>
        <v>07-00-M6</v>
      </c>
      <c r="C786" s="12" t="s">
        <v>3407</v>
      </c>
      <c r="F786" s="1" t="s">
        <v>3262</v>
      </c>
      <c r="G786" s="1" t="str">
        <f>_xlfn.XLOOKUP(DB07_baselinesequence[[#This Row],[basesequence-ID]],DB06_baseline[ID],DB06_baseline[Baseline],"",0)</f>
        <v>CATCCATGTAAAGTCTCCTG</v>
      </c>
      <c r="H786" s="1">
        <f>_xlfn.XLOOKUP(DB07_baselinesequence[[#This Row],[basesequence-ID]],DB06_baseline[ID],DB06_baseline[確認済],FALSE,0)</f>
        <v>0</v>
      </c>
      <c r="J786" s="13" t="s">
        <v>3632</v>
      </c>
      <c r="K786" s="4"/>
      <c r="L786" s="3"/>
    </row>
    <row r="787" spans="1:12" ht="18" x14ac:dyDescent="0.45">
      <c r="A787" s="1">
        <v>799</v>
      </c>
      <c r="B787" s="1" t="str">
        <f>"07-"&amp;LEFT(RIGHTB(REPT(0,4)&amp;_xlfn.BASE(DB07_baselinesequence[[#This Row],[num]],36),4),2)&amp;"-"&amp;RIGHT(RIGHTB(REPT(0,4)&amp;_xlfn.BASE(DB07_baselinesequence[[#This Row],[num]],36),4),2)</f>
        <v>07-00-M7</v>
      </c>
      <c r="C787" s="12" t="s">
        <v>3408</v>
      </c>
      <c r="F787" s="1" t="s">
        <v>3264</v>
      </c>
      <c r="G787" s="1" t="str">
        <f>_xlfn.XLOOKUP(DB07_baselinesequence[[#This Row],[basesequence-ID]],DB06_baseline[ID],DB06_baseline[Baseline],"",0)</f>
        <v>GCATCCATGTAAAGTCTCCT</v>
      </c>
      <c r="H787" s="1">
        <f>_xlfn.XLOOKUP(DB07_baselinesequence[[#This Row],[basesequence-ID]],DB06_baseline[ID],DB06_baseline[確認済],FALSE,0)</f>
        <v>0</v>
      </c>
      <c r="J787" s="13" t="s">
        <v>3633</v>
      </c>
      <c r="K787" s="4"/>
      <c r="L787" s="3"/>
    </row>
    <row r="788" spans="1:12" ht="18" x14ac:dyDescent="0.45">
      <c r="A788" s="1">
        <v>800</v>
      </c>
      <c r="B788" s="1" t="str">
        <f>"07-"&amp;LEFT(RIGHTB(REPT(0,4)&amp;_xlfn.BASE(DB07_baselinesequence[[#This Row],[num]],36),4),2)&amp;"-"&amp;RIGHT(RIGHTB(REPT(0,4)&amp;_xlfn.BASE(DB07_baselinesequence[[#This Row],[num]],36),4),2)</f>
        <v>07-00-M8</v>
      </c>
      <c r="C788" s="12" t="s">
        <v>3409</v>
      </c>
      <c r="F788" s="1" t="s">
        <v>3266</v>
      </c>
      <c r="G788" s="1" t="str">
        <f>_xlfn.XLOOKUP(DB07_baselinesequence[[#This Row],[basesequence-ID]],DB06_baseline[ID],DB06_baseline[Baseline],"",0)</f>
        <v>TGGCATCCATGTAAAGTCTC</v>
      </c>
      <c r="H788" s="1">
        <f>_xlfn.XLOOKUP(DB07_baselinesequence[[#This Row],[basesequence-ID]],DB06_baseline[ID],DB06_baseline[確認済],FALSE,0)</f>
        <v>0</v>
      </c>
      <c r="J788" s="13" t="s">
        <v>3634</v>
      </c>
      <c r="K788" s="4"/>
      <c r="L788" s="3"/>
    </row>
    <row r="789" spans="1:12" ht="18" x14ac:dyDescent="0.45">
      <c r="A789" s="1">
        <v>801</v>
      </c>
      <c r="B789" s="1" t="str">
        <f>"07-"&amp;LEFT(RIGHTB(REPT(0,4)&amp;_xlfn.BASE(DB07_baselinesequence[[#This Row],[num]],36),4),2)&amp;"-"&amp;RIGHT(RIGHTB(REPT(0,4)&amp;_xlfn.BASE(DB07_baselinesequence[[#This Row],[num]],36),4),2)</f>
        <v>07-00-M9</v>
      </c>
      <c r="C789" s="12" t="s">
        <v>3410</v>
      </c>
      <c r="F789" s="1" t="s">
        <v>3268</v>
      </c>
      <c r="G789" s="1" t="str">
        <f>_xlfn.XLOOKUP(DB07_baselinesequence[[#This Row],[basesequence-ID]],DB06_baseline[ID],DB06_baseline[Baseline],"",0)</f>
        <v>TTGGCATCCATGTAAAGTCT</v>
      </c>
      <c r="H789" s="1">
        <f>_xlfn.XLOOKUP(DB07_baselinesequence[[#This Row],[basesequence-ID]],DB06_baseline[ID],DB06_baseline[確認済],FALSE,0)</f>
        <v>0</v>
      </c>
      <c r="J789" s="13" t="s">
        <v>3635</v>
      </c>
      <c r="K789" s="4"/>
      <c r="L789" s="3"/>
    </row>
    <row r="790" spans="1:12" ht="18" x14ac:dyDescent="0.45">
      <c r="A790" s="1">
        <v>802</v>
      </c>
      <c r="B790" s="1" t="str">
        <f>"07-"&amp;LEFT(RIGHTB(REPT(0,4)&amp;_xlfn.BASE(DB07_baselinesequence[[#This Row],[num]],36),4),2)&amp;"-"&amp;RIGHT(RIGHTB(REPT(0,4)&amp;_xlfn.BASE(DB07_baselinesequence[[#This Row],[num]],36),4),2)</f>
        <v>07-00-MA</v>
      </c>
      <c r="C790" s="12" t="s">
        <v>3411</v>
      </c>
      <c r="F790" s="1" t="s">
        <v>3270</v>
      </c>
      <c r="G790" s="1" t="str">
        <f>_xlfn.XLOOKUP(DB07_baselinesequence[[#This Row],[basesequence-ID]],DB06_baseline[ID],DB06_baseline[Baseline],"",0)</f>
        <v>GTTGGCATCCATGTAAAGTC</v>
      </c>
      <c r="H790" s="1">
        <f>_xlfn.XLOOKUP(DB07_baselinesequence[[#This Row],[basesequence-ID]],DB06_baseline[ID],DB06_baseline[確認済],FALSE,0)</f>
        <v>0</v>
      </c>
      <c r="J790" s="13" t="s">
        <v>3636</v>
      </c>
      <c r="K790" s="4"/>
      <c r="L790" s="3"/>
    </row>
    <row r="791" spans="1:12" ht="18" x14ac:dyDescent="0.45">
      <c r="A791" s="1">
        <v>803</v>
      </c>
      <c r="B791" s="1" t="str">
        <f>"07-"&amp;LEFT(RIGHTB(REPT(0,4)&amp;_xlfn.BASE(DB07_baselinesequence[[#This Row],[num]],36),4),2)&amp;"-"&amp;RIGHT(RIGHTB(REPT(0,4)&amp;_xlfn.BASE(DB07_baselinesequence[[#This Row],[num]],36),4),2)</f>
        <v>07-00-MB</v>
      </c>
      <c r="C791" s="12" t="s">
        <v>3412</v>
      </c>
      <c r="F791" s="1" t="s">
        <v>3272</v>
      </c>
      <c r="G791" s="1" t="str">
        <f>_xlfn.XLOOKUP(DB07_baselinesequence[[#This Row],[basesequence-ID]],DB06_baseline[ID],DB06_baseline[Baseline],"",0)</f>
        <v>GGTTGGCATCCATGTAAAGT</v>
      </c>
      <c r="H791" s="1">
        <f>_xlfn.XLOOKUP(DB07_baselinesequence[[#This Row],[basesequence-ID]],DB06_baseline[ID],DB06_baseline[確認済],FALSE,0)</f>
        <v>0</v>
      </c>
      <c r="J791" s="13" t="s">
        <v>3637</v>
      </c>
      <c r="K791" s="4"/>
      <c r="L791" s="3"/>
    </row>
    <row r="792" spans="1:12" ht="18" x14ac:dyDescent="0.45">
      <c r="A792" s="1">
        <v>804</v>
      </c>
      <c r="B792" s="1" t="str">
        <f>"07-"&amp;LEFT(RIGHTB(REPT(0,4)&amp;_xlfn.BASE(DB07_baselinesequence[[#This Row],[num]],36),4),2)&amp;"-"&amp;RIGHT(RIGHTB(REPT(0,4)&amp;_xlfn.BASE(DB07_baselinesequence[[#This Row],[num]],36),4),2)</f>
        <v>07-00-MC</v>
      </c>
      <c r="C792" s="12" t="s">
        <v>3413</v>
      </c>
      <c r="F792" s="1" t="s">
        <v>3274</v>
      </c>
      <c r="G792" s="1" t="str">
        <f>_xlfn.XLOOKUP(DB07_baselinesequence[[#This Row],[basesequence-ID]],DB06_baseline[ID],DB06_baseline[Baseline],"",0)</f>
        <v>CCGGTTGGCATCCATGTAAA</v>
      </c>
      <c r="H792" s="1">
        <f>_xlfn.XLOOKUP(DB07_baselinesequence[[#This Row],[basesequence-ID]],DB06_baseline[ID],DB06_baseline[確認済],FALSE,0)</f>
        <v>0</v>
      </c>
      <c r="J792" s="13" t="s">
        <v>3638</v>
      </c>
      <c r="K792" s="4"/>
      <c r="L792" s="3"/>
    </row>
    <row r="793" spans="1:12" ht="18" x14ac:dyDescent="0.45">
      <c r="A793" s="1">
        <v>805</v>
      </c>
      <c r="B793" s="1" t="str">
        <f>"07-"&amp;LEFT(RIGHTB(REPT(0,4)&amp;_xlfn.BASE(DB07_baselinesequence[[#This Row],[num]],36),4),2)&amp;"-"&amp;RIGHT(RIGHTB(REPT(0,4)&amp;_xlfn.BASE(DB07_baselinesequence[[#This Row],[num]],36),4),2)</f>
        <v>07-00-MD</v>
      </c>
      <c r="C793" s="12" t="s">
        <v>3414</v>
      </c>
      <c r="F793" s="1" t="s">
        <v>3276</v>
      </c>
      <c r="G793" s="1" t="str">
        <f>_xlfn.XLOOKUP(DB07_baselinesequence[[#This Row],[basesequence-ID]],DB06_baseline[ID],DB06_baseline[Baseline],"",0)</f>
        <v>ACCGGTTGGCATCCATGTAA</v>
      </c>
      <c r="H793" s="1">
        <f>_xlfn.XLOOKUP(DB07_baselinesequence[[#This Row],[basesequence-ID]],DB06_baseline[ID],DB06_baseline[確認済],FALSE,0)</f>
        <v>0</v>
      </c>
      <c r="J793" s="13" t="s">
        <v>3639</v>
      </c>
      <c r="K793" s="4"/>
      <c r="L793" s="3"/>
    </row>
    <row r="794" spans="1:12" ht="18" x14ac:dyDescent="0.45">
      <c r="A794" s="1">
        <v>806</v>
      </c>
      <c r="B794" s="1" t="str">
        <f>"07-"&amp;LEFT(RIGHTB(REPT(0,4)&amp;_xlfn.BASE(DB07_baselinesequence[[#This Row],[num]],36),4),2)&amp;"-"&amp;RIGHT(RIGHTB(REPT(0,4)&amp;_xlfn.BASE(DB07_baselinesequence[[#This Row],[num]],36),4),2)</f>
        <v>07-00-ME</v>
      </c>
      <c r="C794" s="12" t="s">
        <v>3415</v>
      </c>
      <c r="F794" s="1" t="s">
        <v>3278</v>
      </c>
      <c r="G794" s="1" t="str">
        <f>_xlfn.XLOOKUP(DB07_baselinesequence[[#This Row],[basesequence-ID]],DB06_baseline[ID],DB06_baseline[Baseline],"",0)</f>
        <v>GACCGGTTGGCATCCATGTA</v>
      </c>
      <c r="H794" s="1">
        <f>_xlfn.XLOOKUP(DB07_baselinesequence[[#This Row],[basesequence-ID]],DB06_baseline[ID],DB06_baseline[確認済],FALSE,0)</f>
        <v>0</v>
      </c>
      <c r="J794" s="13" t="s">
        <v>3640</v>
      </c>
      <c r="K794" s="4"/>
      <c r="L794" s="3"/>
    </row>
    <row r="795" spans="1:12" ht="18" x14ac:dyDescent="0.45">
      <c r="A795" s="1">
        <v>807</v>
      </c>
      <c r="B795" s="1" t="str">
        <f>"07-"&amp;LEFT(RIGHTB(REPT(0,4)&amp;_xlfn.BASE(DB07_baselinesequence[[#This Row],[num]],36),4),2)&amp;"-"&amp;RIGHT(RIGHTB(REPT(0,4)&amp;_xlfn.BASE(DB07_baselinesequence[[#This Row],[num]],36),4),2)</f>
        <v>07-00-MF</v>
      </c>
      <c r="C795" s="12" t="s">
        <v>3416</v>
      </c>
      <c r="F795" s="1" t="s">
        <v>3280</v>
      </c>
      <c r="G795" s="1" t="str">
        <f>_xlfn.XLOOKUP(DB07_baselinesequence[[#This Row],[basesequence-ID]],DB06_baseline[ID],DB06_baseline[Baseline],"",0)</f>
        <v>TGACCGGTTGGCATCCATGT</v>
      </c>
      <c r="H795" s="1">
        <f>_xlfn.XLOOKUP(DB07_baselinesequence[[#This Row],[basesequence-ID]],DB06_baseline[ID],DB06_baseline[確認済],FALSE,0)</f>
        <v>0</v>
      </c>
      <c r="J795" s="13" t="s">
        <v>3641</v>
      </c>
      <c r="K795" s="4"/>
      <c r="L795" s="3"/>
    </row>
    <row r="796" spans="1:12" ht="18" x14ac:dyDescent="0.45">
      <c r="A796" s="1">
        <v>808</v>
      </c>
      <c r="B796" s="1" t="str">
        <f>"07-"&amp;LEFT(RIGHTB(REPT(0,4)&amp;_xlfn.BASE(DB07_baselinesequence[[#This Row],[num]],36),4),2)&amp;"-"&amp;RIGHT(RIGHTB(REPT(0,4)&amp;_xlfn.BASE(DB07_baselinesequence[[#This Row],[num]],36),4),2)</f>
        <v>07-00-MG</v>
      </c>
      <c r="C796" s="12" t="s">
        <v>3417</v>
      </c>
      <c r="F796" s="1" t="s">
        <v>3282</v>
      </c>
      <c r="G796" s="1" t="str">
        <f>_xlfn.XLOOKUP(DB07_baselinesequence[[#This Row],[basesequence-ID]],DB06_baseline[ID],DB06_baseline[Baseline],"",0)</f>
        <v>GGTGACCGGTTGGCATCCAT</v>
      </c>
      <c r="H796" s="1">
        <f>_xlfn.XLOOKUP(DB07_baselinesequence[[#This Row],[basesequence-ID]],DB06_baseline[ID],DB06_baseline[確認済],FALSE,0)</f>
        <v>0</v>
      </c>
      <c r="J796" s="13" t="s">
        <v>3642</v>
      </c>
      <c r="K796" s="4"/>
      <c r="L796" s="3"/>
    </row>
    <row r="797" spans="1:12" ht="18" x14ac:dyDescent="0.45">
      <c r="A797" s="1">
        <v>809</v>
      </c>
      <c r="B797" s="1" t="str">
        <f>"07-"&amp;LEFT(RIGHTB(REPT(0,4)&amp;_xlfn.BASE(DB07_baselinesequence[[#This Row],[num]],36),4),2)&amp;"-"&amp;RIGHT(RIGHTB(REPT(0,4)&amp;_xlfn.BASE(DB07_baselinesequence[[#This Row],[num]],36),4),2)</f>
        <v>07-00-MH</v>
      </c>
      <c r="C797" s="12" t="s">
        <v>3418</v>
      </c>
      <c r="F797" s="1" t="s">
        <v>3284</v>
      </c>
      <c r="G797" s="1" t="str">
        <f>_xlfn.XLOOKUP(DB07_baselinesequence[[#This Row],[basesequence-ID]],DB06_baseline[ID],DB06_baseline[Baseline],"",0)</f>
        <v>TTTGCCATCCTCCTGGGTGA</v>
      </c>
      <c r="H797" s="1">
        <f>_xlfn.XLOOKUP(DB07_baselinesequence[[#This Row],[basesequence-ID]],DB06_baseline[ID],DB06_baseline[確認済],FALSE,0)</f>
        <v>0</v>
      </c>
      <c r="J797" s="13" t="s">
        <v>3643</v>
      </c>
      <c r="K797" s="4"/>
      <c r="L797" s="3"/>
    </row>
    <row r="798" spans="1:12" ht="18" x14ac:dyDescent="0.45">
      <c r="A798" s="1">
        <v>810</v>
      </c>
      <c r="B798" s="1" t="str">
        <f>"07-"&amp;LEFT(RIGHTB(REPT(0,4)&amp;_xlfn.BASE(DB07_baselinesequence[[#This Row],[num]],36),4),2)&amp;"-"&amp;RIGHT(RIGHTB(REPT(0,4)&amp;_xlfn.BASE(DB07_baselinesequence[[#This Row],[num]],36),4),2)</f>
        <v>07-00-MI</v>
      </c>
      <c r="C798" s="12" t="s">
        <v>3419</v>
      </c>
      <c r="F798" s="1" t="s">
        <v>3286</v>
      </c>
      <c r="G798" s="1" t="str">
        <f>_xlfn.XLOOKUP(DB07_baselinesequence[[#This Row],[basesequence-ID]],DB06_baseline[ID],DB06_baseline[Baseline],"",0)</f>
        <v>TCTTTGCCATCCTCCTGGGT</v>
      </c>
      <c r="H798" s="1">
        <f>_xlfn.XLOOKUP(DB07_baselinesequence[[#This Row],[basesequence-ID]],DB06_baseline[ID],DB06_baseline[確認済],FALSE,0)</f>
        <v>0</v>
      </c>
      <c r="J798" s="13" t="s">
        <v>3644</v>
      </c>
      <c r="K798" s="4"/>
      <c r="L798" s="3"/>
    </row>
    <row r="799" spans="1:12" ht="18" x14ac:dyDescent="0.45">
      <c r="A799" s="1">
        <v>811</v>
      </c>
      <c r="B799" s="1" t="str">
        <f>"07-"&amp;LEFT(RIGHTB(REPT(0,4)&amp;_xlfn.BASE(DB07_baselinesequence[[#This Row],[num]],36),4),2)&amp;"-"&amp;RIGHT(RIGHTB(REPT(0,4)&amp;_xlfn.BASE(DB07_baselinesequence[[#This Row],[num]],36),4),2)</f>
        <v>07-00-MJ</v>
      </c>
      <c r="C799" s="12" t="s">
        <v>3420</v>
      </c>
      <c r="F799" s="1" t="s">
        <v>3288</v>
      </c>
      <c r="G799" s="1" t="str">
        <f>_xlfn.XLOOKUP(DB07_baselinesequence[[#This Row],[basesequence-ID]],DB06_baseline[ID],DB06_baseline[Baseline],"",0)</f>
        <v>CTCTTTGCCATCCTCCTGGG</v>
      </c>
      <c r="H799" s="1">
        <f>_xlfn.XLOOKUP(DB07_baselinesequence[[#This Row],[basesequence-ID]],DB06_baseline[ID],DB06_baseline[確認済],FALSE,0)</f>
        <v>0</v>
      </c>
      <c r="J799" s="13" t="s">
        <v>3645</v>
      </c>
      <c r="K799" s="4"/>
      <c r="L799" s="3"/>
    </row>
    <row r="800" spans="1:12" ht="18" x14ac:dyDescent="0.45">
      <c r="A800" s="1">
        <v>812</v>
      </c>
      <c r="B800" s="1" t="str">
        <f>"07-"&amp;LEFT(RIGHTB(REPT(0,4)&amp;_xlfn.BASE(DB07_baselinesequence[[#This Row],[num]],36),4),2)&amp;"-"&amp;RIGHT(RIGHTB(REPT(0,4)&amp;_xlfn.BASE(DB07_baselinesequence[[#This Row],[num]],36),4),2)</f>
        <v>07-00-MK</v>
      </c>
      <c r="C800" s="12" t="s">
        <v>3421</v>
      </c>
      <c r="F800" s="1" t="s">
        <v>3290</v>
      </c>
      <c r="G800" s="1" t="str">
        <f>_xlfn.XLOOKUP(DB07_baselinesequence[[#This Row],[basesequence-ID]],DB06_baseline[ID],DB06_baseline[Baseline],"",0)</f>
        <v>CTCTCTTTGCCATCCTCCTG</v>
      </c>
      <c r="H800" s="1">
        <f>_xlfn.XLOOKUP(DB07_baselinesequence[[#This Row],[basesequence-ID]],DB06_baseline[ID],DB06_baseline[確認済],FALSE,0)</f>
        <v>0</v>
      </c>
      <c r="J800" s="13" t="s">
        <v>3646</v>
      </c>
      <c r="K800" s="4"/>
      <c r="L800" s="3"/>
    </row>
    <row r="801" spans="1:12" ht="18" x14ac:dyDescent="0.45">
      <c r="A801" s="1">
        <v>813</v>
      </c>
      <c r="B801" s="1" t="str">
        <f>"07-"&amp;LEFT(RIGHTB(REPT(0,4)&amp;_xlfn.BASE(DB07_baselinesequence[[#This Row],[num]],36),4),2)&amp;"-"&amp;RIGHT(RIGHTB(REPT(0,4)&amp;_xlfn.BASE(DB07_baselinesequence[[#This Row],[num]],36),4),2)</f>
        <v>07-00-ML</v>
      </c>
      <c r="C801" s="12" t="s">
        <v>3422</v>
      </c>
      <c r="F801" s="1" t="s">
        <v>3292</v>
      </c>
      <c r="G801" s="1" t="str">
        <f>_xlfn.XLOOKUP(DB07_baselinesequence[[#This Row],[basesequence-ID]],DB06_baseline[ID],DB06_baseline[Baseline],"",0)</f>
        <v>ACTCTCTTTGCCATCCTCCT</v>
      </c>
      <c r="H801" s="1">
        <f>_xlfn.XLOOKUP(DB07_baselinesequence[[#This Row],[basesequence-ID]],DB06_baseline[ID],DB06_baseline[確認済],FALSE,0)</f>
        <v>0</v>
      </c>
      <c r="J801" s="13" t="s">
        <v>3647</v>
      </c>
      <c r="K801" s="4"/>
      <c r="L801" s="3"/>
    </row>
    <row r="802" spans="1:12" ht="18" x14ac:dyDescent="0.45">
      <c r="A802" s="1">
        <v>814</v>
      </c>
      <c r="B802" s="1" t="str">
        <f>"07-"&amp;LEFT(RIGHTB(REPT(0,4)&amp;_xlfn.BASE(DB07_baselinesequence[[#This Row],[num]],36),4),2)&amp;"-"&amp;RIGHT(RIGHTB(REPT(0,4)&amp;_xlfn.BASE(DB07_baselinesequence[[#This Row],[num]],36),4),2)</f>
        <v>07-00-MM</v>
      </c>
      <c r="C802" s="12" t="s">
        <v>3423</v>
      </c>
      <c r="F802" s="1" t="s">
        <v>3294</v>
      </c>
      <c r="G802" s="1" t="str">
        <f>_xlfn.XLOOKUP(DB07_baselinesequence[[#This Row],[basesequence-ID]],DB06_baseline[ID],DB06_baseline[Baseline],"",0)</f>
        <v>GACTCTCTTTGCCATCCTCC</v>
      </c>
      <c r="H802" s="1">
        <f>_xlfn.XLOOKUP(DB07_baselinesequence[[#This Row],[basesequence-ID]],DB06_baseline[ID],DB06_baseline[確認済],FALSE,0)</f>
        <v>0</v>
      </c>
      <c r="J802" s="13" t="s">
        <v>3648</v>
      </c>
      <c r="K802" s="4"/>
      <c r="L802" s="3"/>
    </row>
    <row r="803" spans="1:12" ht="18" x14ac:dyDescent="0.45">
      <c r="A803" s="1">
        <v>815</v>
      </c>
      <c r="B803" s="1" t="str">
        <f>"07-"&amp;LEFT(RIGHTB(REPT(0,4)&amp;_xlfn.BASE(DB07_baselinesequence[[#This Row],[num]],36),4),2)&amp;"-"&amp;RIGHT(RIGHTB(REPT(0,4)&amp;_xlfn.BASE(DB07_baselinesequence[[#This Row],[num]],36),4),2)</f>
        <v>07-00-MN</v>
      </c>
      <c r="C803" s="12" t="s">
        <v>3424</v>
      </c>
      <c r="F803" s="1" t="s">
        <v>3296</v>
      </c>
      <c r="G803" s="1" t="str">
        <f>_xlfn.XLOOKUP(DB07_baselinesequence[[#This Row],[basesequence-ID]],DB06_baseline[ID],DB06_baseline[Baseline],"",0)</f>
        <v>CGACTCTCTTTGCCATCCTC</v>
      </c>
      <c r="H803" s="1">
        <f>_xlfn.XLOOKUP(DB07_baselinesequence[[#This Row],[basesequence-ID]],DB06_baseline[ID],DB06_baseline[確認済],FALSE,0)</f>
        <v>0</v>
      </c>
      <c r="J803" s="13" t="s">
        <v>3649</v>
      </c>
      <c r="K803" s="4"/>
      <c r="L803" s="3"/>
    </row>
    <row r="804" spans="1:12" ht="18" x14ac:dyDescent="0.45">
      <c r="A804" s="1">
        <v>816</v>
      </c>
      <c r="B804" s="1" t="str">
        <f>"07-"&amp;LEFT(RIGHTB(REPT(0,4)&amp;_xlfn.BASE(DB07_baselinesequence[[#This Row],[num]],36),4),2)&amp;"-"&amp;RIGHT(RIGHTB(REPT(0,4)&amp;_xlfn.BASE(DB07_baselinesequence[[#This Row],[num]],36),4),2)</f>
        <v>07-00-MO</v>
      </c>
      <c r="C804" s="12" t="s">
        <v>3425</v>
      </c>
      <c r="F804" s="1" t="s">
        <v>3298</v>
      </c>
      <c r="G804" s="1" t="str">
        <f>_xlfn.XLOOKUP(DB07_baselinesequence[[#This Row],[basesequence-ID]],DB06_baseline[ID],DB06_baseline[Baseline],"",0)</f>
        <v>TGCGACTCTCTTTGCCATCC</v>
      </c>
      <c r="H804" s="1">
        <f>_xlfn.XLOOKUP(DB07_baselinesequence[[#This Row],[basesequence-ID]],DB06_baseline[ID],DB06_baseline[確認済],FALSE,0)</f>
        <v>0</v>
      </c>
      <c r="J804" s="13" t="s">
        <v>3650</v>
      </c>
      <c r="K804" s="4"/>
      <c r="L804" s="3"/>
    </row>
    <row r="805" spans="1:12" ht="18" x14ac:dyDescent="0.45">
      <c r="A805" s="1">
        <v>817</v>
      </c>
      <c r="B805" s="1" t="str">
        <f>"07-"&amp;LEFT(RIGHTB(REPT(0,4)&amp;_xlfn.BASE(DB07_baselinesequence[[#This Row],[num]],36),4),2)&amp;"-"&amp;RIGHT(RIGHTB(REPT(0,4)&amp;_xlfn.BASE(DB07_baselinesequence[[#This Row],[num]],36),4),2)</f>
        <v>07-00-MP</v>
      </c>
      <c r="C805" s="12" t="s">
        <v>3426</v>
      </c>
      <c r="F805" s="1" t="s">
        <v>3300</v>
      </c>
      <c r="G805" s="1" t="str">
        <f>_xlfn.XLOOKUP(DB07_baselinesequence[[#This Row],[basesequence-ID]],DB06_baseline[ID],DB06_baseline[Baseline],"",0)</f>
        <v>ATGCGACTCTCTTTGCCATC</v>
      </c>
      <c r="H805" s="1">
        <f>_xlfn.XLOOKUP(DB07_baselinesequence[[#This Row],[basesequence-ID]],DB06_baseline[ID],DB06_baseline[確認済],FALSE,0)</f>
        <v>0</v>
      </c>
      <c r="J805" s="13" t="s">
        <v>3651</v>
      </c>
      <c r="K805" s="4"/>
      <c r="L805" s="3"/>
    </row>
    <row r="806" spans="1:12" ht="18" x14ac:dyDescent="0.45">
      <c r="A806" s="1">
        <v>818</v>
      </c>
      <c r="B806" s="1" t="str">
        <f>"07-"&amp;LEFT(RIGHTB(REPT(0,4)&amp;_xlfn.BASE(DB07_baselinesequence[[#This Row],[num]],36),4),2)&amp;"-"&amp;RIGHT(RIGHTB(REPT(0,4)&amp;_xlfn.BASE(DB07_baselinesequence[[#This Row],[num]],36),4),2)</f>
        <v>07-00-MQ</v>
      </c>
      <c r="C806" s="12" t="s">
        <v>3427</v>
      </c>
      <c r="F806" s="1" t="s">
        <v>3302</v>
      </c>
      <c r="G806" s="1" t="str">
        <f>_xlfn.XLOOKUP(DB07_baselinesequence[[#This Row],[basesequence-ID]],DB06_baseline[ID],DB06_baseline[Baseline],"",0)</f>
        <v>GATGCGACTCTCTTTGCCAT</v>
      </c>
      <c r="H806" s="1">
        <f>_xlfn.XLOOKUP(DB07_baselinesequence[[#This Row],[basesequence-ID]],DB06_baseline[ID],DB06_baseline[確認済],FALSE,0)</f>
        <v>0</v>
      </c>
      <c r="J806" s="13" t="s">
        <v>3652</v>
      </c>
      <c r="K806" s="4"/>
      <c r="L806" s="3"/>
    </row>
    <row r="807" spans="1:12" ht="18" x14ac:dyDescent="0.45">
      <c r="A807" s="1">
        <v>819</v>
      </c>
      <c r="B807" s="1" t="str">
        <f>"07-"&amp;LEFT(RIGHTB(REPT(0,4)&amp;_xlfn.BASE(DB07_baselinesequence[[#This Row],[num]],36),4),2)&amp;"-"&amp;RIGHT(RIGHTB(REPT(0,4)&amp;_xlfn.BASE(DB07_baselinesequence[[#This Row],[num]],36),4),2)</f>
        <v>07-00-MR</v>
      </c>
      <c r="C807" s="12" t="s">
        <v>3428</v>
      </c>
      <c r="F807" s="1" t="s">
        <v>3304</v>
      </c>
      <c r="G807" s="1" t="str">
        <f>_xlfn.XLOOKUP(DB07_baselinesequence[[#This Row],[basesequence-ID]],DB06_baseline[ID],DB06_baseline[Baseline],"",0)</f>
        <v>AGATGCGACTCTCTTTGCCA</v>
      </c>
      <c r="H807" s="1">
        <f>_xlfn.XLOOKUP(DB07_baselinesequence[[#This Row],[basesequence-ID]],DB06_baseline[ID],DB06_baseline[確認済],FALSE,0)</f>
        <v>0</v>
      </c>
      <c r="J807" s="13" t="s">
        <v>3653</v>
      </c>
      <c r="K807" s="4"/>
      <c r="L807" s="3"/>
    </row>
    <row r="808" spans="1:12" ht="18" x14ac:dyDescent="0.45">
      <c r="A808" s="1">
        <v>820</v>
      </c>
      <c r="B808" s="1" t="str">
        <f>"07-"&amp;LEFT(RIGHTB(REPT(0,4)&amp;_xlfn.BASE(DB07_baselinesequence[[#This Row],[num]],36),4),2)&amp;"-"&amp;RIGHT(RIGHTB(REPT(0,4)&amp;_xlfn.BASE(DB07_baselinesequence[[#This Row],[num]],36),4),2)</f>
        <v>07-00-MS</v>
      </c>
      <c r="C808" s="12" t="s">
        <v>3429</v>
      </c>
      <c r="F808" s="1" t="s">
        <v>3306</v>
      </c>
      <c r="G808" s="1" t="str">
        <f>_xlfn.XLOOKUP(DB07_baselinesequence[[#This Row],[basesequence-ID]],DB06_baseline[ID],DB06_baseline[Baseline],"",0)</f>
        <v>TGAGATGCGACTCTCTTTGC</v>
      </c>
      <c r="H808" s="1">
        <f>_xlfn.XLOOKUP(DB07_baselinesequence[[#This Row],[basesequence-ID]],DB06_baseline[ID],DB06_baseline[確認済],FALSE,0)</f>
        <v>0</v>
      </c>
      <c r="J808" s="13" t="s">
        <v>3654</v>
      </c>
      <c r="K808" s="4"/>
      <c r="L808" s="3"/>
    </row>
    <row r="809" spans="1:12" ht="18" x14ac:dyDescent="0.45">
      <c r="A809" s="1">
        <v>821</v>
      </c>
      <c r="B809" s="1" t="str">
        <f>"07-"&amp;LEFT(RIGHTB(REPT(0,4)&amp;_xlfn.BASE(DB07_baselinesequence[[#This Row],[num]],36),4),2)&amp;"-"&amp;RIGHT(RIGHTB(REPT(0,4)&amp;_xlfn.BASE(DB07_baselinesequence[[#This Row],[num]],36),4),2)</f>
        <v>07-00-MT</v>
      </c>
      <c r="C809" s="12" t="s">
        <v>3430</v>
      </c>
      <c r="F809" s="1" t="s">
        <v>3308</v>
      </c>
      <c r="G809" s="1" t="str">
        <f>_xlfn.XLOOKUP(DB07_baselinesequence[[#This Row],[basesequence-ID]],DB06_baseline[ID],DB06_baseline[Baseline],"",0)</f>
        <v>CTGAGATGCGACTCTCTTTG</v>
      </c>
      <c r="H809" s="1">
        <f>_xlfn.XLOOKUP(DB07_baselinesequence[[#This Row],[basesequence-ID]],DB06_baseline[ID],DB06_baseline[確認済],FALSE,0)</f>
        <v>0</v>
      </c>
      <c r="J809" s="13" t="s">
        <v>3655</v>
      </c>
      <c r="K809" s="4"/>
      <c r="L809" s="3"/>
    </row>
    <row r="810" spans="1:12" ht="18" x14ac:dyDescent="0.45">
      <c r="A810" s="1">
        <v>822</v>
      </c>
      <c r="B810" s="1" t="str">
        <f>"07-"&amp;LEFT(RIGHTB(REPT(0,4)&amp;_xlfn.BASE(DB07_baselinesequence[[#This Row],[num]],36),4),2)&amp;"-"&amp;RIGHT(RIGHTB(REPT(0,4)&amp;_xlfn.BASE(DB07_baselinesequence[[#This Row],[num]],36),4),2)</f>
        <v>07-00-MU</v>
      </c>
      <c r="C810" s="12" t="s">
        <v>3431</v>
      </c>
      <c r="F810" s="1" t="s">
        <v>3310</v>
      </c>
      <c r="G810" s="1" t="str">
        <f>_xlfn.XLOOKUP(DB07_baselinesequence[[#This Row],[basesequence-ID]],DB06_baseline[ID],DB06_baseline[Baseline],"",0)</f>
        <v>ACTGAGATGCGACTCTCTTT</v>
      </c>
      <c r="H810" s="1">
        <f>_xlfn.XLOOKUP(DB07_baselinesequence[[#This Row],[basesequence-ID]],DB06_baseline[ID],DB06_baseline[確認済],FALSE,0)</f>
        <v>0</v>
      </c>
      <c r="J810" s="13" t="s">
        <v>3656</v>
      </c>
      <c r="K810" s="4"/>
      <c r="L810" s="3"/>
    </row>
    <row r="811" spans="1:12" ht="18" x14ac:dyDescent="0.45">
      <c r="A811" s="1">
        <v>823</v>
      </c>
      <c r="B811" s="1" t="str">
        <f>"07-"&amp;LEFT(RIGHTB(REPT(0,4)&amp;_xlfn.BASE(DB07_baselinesequence[[#This Row],[num]],36),4),2)&amp;"-"&amp;RIGHT(RIGHTB(REPT(0,4)&amp;_xlfn.BASE(DB07_baselinesequence[[#This Row],[num]],36),4),2)</f>
        <v>07-00-MV</v>
      </c>
      <c r="C811" s="12" t="s">
        <v>3432</v>
      </c>
      <c r="F811" s="1" t="s">
        <v>3312</v>
      </c>
      <c r="G811" s="1" t="str">
        <f>_xlfn.XLOOKUP(DB07_baselinesequence[[#This Row],[basesequence-ID]],DB06_baseline[ID],DB06_baseline[Baseline],"",0)</f>
        <v>CACTGAGATGCGACTCTCTT</v>
      </c>
      <c r="H811" s="1">
        <f>_xlfn.XLOOKUP(DB07_baselinesequence[[#This Row],[basesequence-ID]],DB06_baseline[ID],DB06_baseline[確認済],FALSE,0)</f>
        <v>0</v>
      </c>
      <c r="J811" s="13" t="s">
        <v>3657</v>
      </c>
      <c r="K811" s="4"/>
      <c r="L811" s="3"/>
    </row>
    <row r="812" spans="1:12" ht="18" x14ac:dyDescent="0.45">
      <c r="A812" s="1">
        <v>824</v>
      </c>
      <c r="B812" s="1" t="str">
        <f>"07-"&amp;LEFT(RIGHTB(REPT(0,4)&amp;_xlfn.BASE(DB07_baselinesequence[[#This Row],[num]],36),4),2)&amp;"-"&amp;RIGHT(RIGHTB(REPT(0,4)&amp;_xlfn.BASE(DB07_baselinesequence[[#This Row],[num]],36),4),2)</f>
        <v>07-00-MW</v>
      </c>
      <c r="C812" s="12" t="s">
        <v>3433</v>
      </c>
      <c r="F812" s="1" t="s">
        <v>3314</v>
      </c>
      <c r="G812" s="1" t="str">
        <f>_xlfn.XLOOKUP(DB07_baselinesequence[[#This Row],[basesequence-ID]],DB06_baseline[ID],DB06_baseline[Baseline],"",0)</f>
        <v>TGCACTGAGATGCGACTCTC</v>
      </c>
      <c r="H812" s="1">
        <f>_xlfn.XLOOKUP(DB07_baselinesequence[[#This Row],[basesequence-ID]],DB06_baseline[ID],DB06_baseline[確認済],FALSE,0)</f>
        <v>0</v>
      </c>
      <c r="J812" s="13" t="s">
        <v>3658</v>
      </c>
      <c r="K812" s="4"/>
      <c r="L812" s="3"/>
    </row>
    <row r="813" spans="1:12" ht="18" x14ac:dyDescent="0.45">
      <c r="A813" s="1">
        <v>825</v>
      </c>
      <c r="B813" s="1" t="str">
        <f>"07-"&amp;LEFT(RIGHTB(REPT(0,4)&amp;_xlfn.BASE(DB07_baselinesequence[[#This Row],[num]],36),4),2)&amp;"-"&amp;RIGHT(RIGHTB(REPT(0,4)&amp;_xlfn.BASE(DB07_baselinesequence[[#This Row],[num]],36),4),2)</f>
        <v>07-00-MX</v>
      </c>
      <c r="C813" s="12" t="s">
        <v>3434</v>
      </c>
      <c r="F813" s="1" t="s">
        <v>3316</v>
      </c>
      <c r="G813" s="1" t="str">
        <f>_xlfn.XLOOKUP(DB07_baselinesequence[[#This Row],[basesequence-ID]],DB06_baseline[ID],DB06_baseline[Baseline],"",0)</f>
        <v>CTGCACTGAGATGCGACTCT</v>
      </c>
      <c r="H813" s="1">
        <f>_xlfn.XLOOKUP(DB07_baselinesequence[[#This Row],[basesequence-ID]],DB06_baseline[ID],DB06_baseline[確認済],FALSE,0)</f>
        <v>0</v>
      </c>
      <c r="J813" s="13" t="s">
        <v>3659</v>
      </c>
      <c r="K813" s="4"/>
      <c r="L813" s="3"/>
    </row>
    <row r="814" spans="1:12" ht="18" x14ac:dyDescent="0.45">
      <c r="A814" s="1">
        <v>826</v>
      </c>
      <c r="B814" s="1" t="str">
        <f>"07-"&amp;LEFT(RIGHTB(REPT(0,4)&amp;_xlfn.BASE(DB07_baselinesequence[[#This Row],[num]],36),4),2)&amp;"-"&amp;RIGHT(RIGHTB(REPT(0,4)&amp;_xlfn.BASE(DB07_baselinesequence[[#This Row],[num]],36),4),2)</f>
        <v>07-00-MY</v>
      </c>
      <c r="C814" s="12" t="s">
        <v>3435</v>
      </c>
      <c r="F814" s="1" t="s">
        <v>3318</v>
      </c>
      <c r="G814" s="1" t="str">
        <f>_xlfn.XLOOKUP(DB07_baselinesequence[[#This Row],[basesequence-ID]],DB06_baseline[ID],DB06_baseline[Baseline],"",0)</f>
        <v>CCTGCACTGAGATGCGACTC</v>
      </c>
      <c r="H814" s="1">
        <f>_xlfn.XLOOKUP(DB07_baselinesequence[[#This Row],[basesequence-ID]],DB06_baseline[ID],DB06_baseline[確認済],FALSE,0)</f>
        <v>0</v>
      </c>
      <c r="J814" s="13" t="s">
        <v>3660</v>
      </c>
      <c r="K814" s="4"/>
      <c r="L814" s="3"/>
    </row>
    <row r="815" spans="1:12" ht="18" x14ac:dyDescent="0.45">
      <c r="A815" s="1">
        <v>827</v>
      </c>
      <c r="B815" s="1" t="str">
        <f>"07-"&amp;LEFT(RIGHTB(REPT(0,4)&amp;_xlfn.BASE(DB07_baselinesequence[[#This Row],[num]],36),4),2)&amp;"-"&amp;RIGHT(RIGHTB(REPT(0,4)&amp;_xlfn.BASE(DB07_baselinesequence[[#This Row],[num]],36),4),2)</f>
        <v>07-00-MZ</v>
      </c>
      <c r="C815" s="12" t="s">
        <v>3436</v>
      </c>
      <c r="F815" s="1" t="s">
        <v>3320</v>
      </c>
      <c r="G815" s="1" t="str">
        <f>_xlfn.XLOOKUP(DB07_baselinesequence[[#This Row],[basesequence-ID]],DB06_baseline[ID],DB06_baseline[Baseline],"",0)</f>
        <v>TCCTGCACTGAGATGCGACT</v>
      </c>
      <c r="H815" s="1">
        <f>_xlfn.XLOOKUP(DB07_baselinesequence[[#This Row],[basesequence-ID]],DB06_baseline[ID],DB06_baseline[確認済],FALSE,0)</f>
        <v>0</v>
      </c>
      <c r="J815" s="13" t="s">
        <v>3661</v>
      </c>
      <c r="K815" s="4"/>
      <c r="L815" s="3"/>
    </row>
    <row r="816" spans="1:12" ht="18" x14ac:dyDescent="0.45">
      <c r="A816" s="1">
        <v>828</v>
      </c>
      <c r="B816" s="1" t="str">
        <f>"07-"&amp;LEFT(RIGHTB(REPT(0,4)&amp;_xlfn.BASE(DB07_baselinesequence[[#This Row],[num]],36),4),2)&amp;"-"&amp;RIGHT(RIGHTB(REPT(0,4)&amp;_xlfn.BASE(DB07_baselinesequence[[#This Row],[num]],36),4),2)</f>
        <v>07-00-N0</v>
      </c>
      <c r="C816" s="12" t="s">
        <v>3437</v>
      </c>
      <c r="F816" s="1" t="s">
        <v>3322</v>
      </c>
      <c r="G816" s="1" t="str">
        <f>_xlfn.XLOOKUP(DB07_baselinesequence[[#This Row],[basesequence-ID]],DB06_baseline[ID],DB06_baseline[Baseline],"",0)</f>
        <v>TCTCCTGCACTGAGATGCGA</v>
      </c>
      <c r="H816" s="1">
        <f>_xlfn.XLOOKUP(DB07_baselinesequence[[#This Row],[basesequence-ID]],DB06_baseline[ID],DB06_baseline[確認済],FALSE,0)</f>
        <v>0</v>
      </c>
      <c r="J816" s="13" t="s">
        <v>3662</v>
      </c>
      <c r="K816" s="4"/>
      <c r="L816" s="3"/>
    </row>
    <row r="817" spans="1:12" ht="18" x14ac:dyDescent="0.45">
      <c r="A817" s="1">
        <v>829</v>
      </c>
      <c r="B817" s="1" t="str">
        <f>"07-"&amp;LEFT(RIGHTB(REPT(0,4)&amp;_xlfn.BASE(DB07_baselinesequence[[#This Row],[num]],36),4),2)&amp;"-"&amp;RIGHT(RIGHTB(REPT(0,4)&amp;_xlfn.BASE(DB07_baselinesequence[[#This Row],[num]],36),4),2)</f>
        <v>07-00-N1</v>
      </c>
      <c r="C817" s="12" t="s">
        <v>3438</v>
      </c>
      <c r="F817" s="1" t="s">
        <v>3324</v>
      </c>
      <c r="G817" s="1" t="str">
        <f>_xlfn.XLOOKUP(DB07_baselinesequence[[#This Row],[basesequence-ID]],DB06_baseline[ID],DB06_baseline[Baseline],"",0)</f>
        <v>CTCTCCTGCACTGAGATGCG</v>
      </c>
      <c r="H817" s="1">
        <f>_xlfn.XLOOKUP(DB07_baselinesequence[[#This Row],[basesequence-ID]],DB06_baseline[ID],DB06_baseline[確認済],FALSE,0)</f>
        <v>0</v>
      </c>
      <c r="J817" s="13" t="s">
        <v>3663</v>
      </c>
      <c r="K817" s="4"/>
      <c r="L817" s="3"/>
    </row>
    <row r="818" spans="1:12" x14ac:dyDescent="0.45">
      <c r="A818" s="1">
        <v>830</v>
      </c>
      <c r="B818" s="1" t="str">
        <f>"07-"&amp;LEFT(RIGHTB(REPT(0,4)&amp;_xlfn.BASE(DB07_baselinesequence[[#This Row],[num]],36),4),2)&amp;"-"&amp;RIGHT(RIGHTB(REPT(0,4)&amp;_xlfn.BASE(DB07_baselinesequence[[#This Row],[num]],36),4),2)</f>
        <v>07-00-N2</v>
      </c>
      <c r="C818" s="1" t="s">
        <v>3666</v>
      </c>
      <c r="F818" s="1" t="s">
        <v>3664</v>
      </c>
      <c r="G818" s="1" t="str">
        <f>_xlfn.XLOOKUP(DB07_baselinesequence[[#This Row],[basesequence-ID]],DB06_baseline[ID],DB06_baseline[Baseline],"",0)</f>
        <v>CCATCAATAAGGAAGAAGCCC</v>
      </c>
      <c r="H818" s="1">
        <f>_xlfn.XLOOKUP(DB07_baselinesequence[[#This Row],[basesequence-ID]],DB06_baseline[ID],DB06_baseline[確認済],FALSE,0)</f>
        <v>0</v>
      </c>
      <c r="J818" s="1" t="s">
        <v>3683</v>
      </c>
      <c r="K818" s="4"/>
      <c r="L818" s="3"/>
    </row>
    <row r="819" spans="1:12" x14ac:dyDescent="0.45">
      <c r="A819" s="1">
        <v>831</v>
      </c>
      <c r="B819" s="1" t="str">
        <f>"07-"&amp;LEFT(RIGHTB(REPT(0,4)&amp;_xlfn.BASE(DB07_baselinesequence[[#This Row],[num]],36),4),2)&amp;"-"&amp;RIGHT(RIGHTB(REPT(0,4)&amp;_xlfn.BASE(DB07_baselinesequence[[#This Row],[num]],36),4),2)</f>
        <v>07-00-N3</v>
      </c>
      <c r="C819" s="1" t="s">
        <v>3667</v>
      </c>
      <c r="F819" s="1" t="s">
        <v>3665</v>
      </c>
      <c r="G819" s="1" t="str">
        <f>_xlfn.XLOOKUP(DB07_baselinesequence[[#This Row],[basesequence-ID]],DB06_baseline[ID],DB06_baseline[Baseline],"",0)</f>
        <v>GGGCTTCTTCCTTATTGATGG</v>
      </c>
      <c r="H819" s="1">
        <f>_xlfn.XLOOKUP(DB07_baselinesequence[[#This Row],[basesequence-ID]],DB06_baseline[ID],DB06_baseline[確認済],FALSE,0)</f>
        <v>0</v>
      </c>
      <c r="J819" s="1" t="s">
        <v>3682</v>
      </c>
      <c r="K819" s="4"/>
      <c r="L819" s="3"/>
    </row>
    <row r="820" spans="1:12" x14ac:dyDescent="0.45">
      <c r="A820" s="1">
        <v>832</v>
      </c>
      <c r="B820" s="1" t="str">
        <f>"07-"&amp;LEFT(RIGHTB(REPT(0,4)&amp;_xlfn.BASE(DB07_baselinesequence[[#This Row],[num]],36),4),2)&amp;"-"&amp;RIGHT(RIGHTB(REPT(0,4)&amp;_xlfn.BASE(DB07_baselinesequence[[#This Row],[num]],36),4),2)</f>
        <v>07-00-N4</v>
      </c>
      <c r="C820" s="1" t="s">
        <v>3674</v>
      </c>
      <c r="F820" s="1" t="s">
        <v>3670</v>
      </c>
      <c r="G820" s="1" t="str">
        <f>_xlfn.XLOOKUP(DB07_baselinesequence[[#This Row],[basesequence-ID]],DB06_baseline[ID],DB06_baseline[Baseline],"",0)</f>
        <v>AAGCAGAGTTCAAAAGCCCT</v>
      </c>
      <c r="H820" s="1">
        <f>_xlfn.XLOOKUP(DB07_baselinesequence[[#This Row],[basesequence-ID]],DB06_baseline[ID],DB06_baseline[確認済],FALSE,0)</f>
        <v>0</v>
      </c>
      <c r="J820" s="1" t="s">
        <v>3678</v>
      </c>
      <c r="K820" s="4"/>
      <c r="L820" s="3"/>
    </row>
    <row r="821" spans="1:12" x14ac:dyDescent="0.45">
      <c r="A821" s="1">
        <v>833</v>
      </c>
      <c r="B821" s="1" t="str">
        <f>"07-"&amp;LEFT(RIGHTB(REPT(0,4)&amp;_xlfn.BASE(DB07_baselinesequence[[#This Row],[num]],36),4),2)&amp;"-"&amp;RIGHT(RIGHTB(REPT(0,4)&amp;_xlfn.BASE(DB07_baselinesequence[[#This Row],[num]],36),4),2)</f>
        <v>07-00-N5</v>
      </c>
      <c r="C821" s="1" t="s">
        <v>3675</v>
      </c>
      <c r="F821" s="1" t="s">
        <v>3672</v>
      </c>
      <c r="G821" s="1" t="str">
        <f>_xlfn.XLOOKUP(DB07_baselinesequence[[#This Row],[basesequence-ID]],DB06_baseline[ID],DB06_baseline[Baseline],"",0)</f>
        <v>AGGGCTTTTGAACTCTGCTT</v>
      </c>
      <c r="H821" s="1">
        <f>_xlfn.XLOOKUP(DB07_baselinesequence[[#This Row],[basesequence-ID]],DB06_baseline[ID],DB06_baseline[確認済],FALSE,0)</f>
        <v>0</v>
      </c>
      <c r="J821" s="1" t="s">
        <v>3679</v>
      </c>
      <c r="K821" s="4"/>
      <c r="L821" s="3"/>
    </row>
    <row r="822" spans="1:12" x14ac:dyDescent="0.5">
      <c r="A822" s="1">
        <v>834</v>
      </c>
      <c r="B822" s="1" t="str">
        <f>"07-"&amp;LEFT(RIGHTB(REPT(0,4)&amp;_xlfn.BASE(DB07_baselinesequence[[#This Row],[num]],36),4),2)&amp;"-"&amp;RIGHT(RIGHTB(REPT(0,4)&amp;_xlfn.BASE(DB07_baselinesequence[[#This Row],[num]],36),4),2)</f>
        <v>07-00-N6</v>
      </c>
      <c r="C822" s="1" t="s">
        <v>3904</v>
      </c>
      <c r="D822" s="1" t="s">
        <v>3902</v>
      </c>
      <c r="F822" s="1" t="s">
        <v>3037</v>
      </c>
      <c r="G822" s="1" t="str">
        <f>_xlfn.XLOOKUP(DB07_baselinesequence[[#This Row],[basesequence-ID]],DB06_baseline[ID],DB06_baseline[Baseline],"",0)</f>
        <v>AAAACCACAGGCGAGTTCTAC</v>
      </c>
      <c r="H822" s="1">
        <f>_xlfn.XLOOKUP(DB07_baselinesequence[[#This Row],[basesequence-ID]],DB06_baseline[ID],DB06_baseline[確認済],FALSE,0)</f>
        <v>0</v>
      </c>
      <c r="J822" s="14" t="s">
        <v>3708</v>
      </c>
      <c r="K822" s="4"/>
      <c r="L822" s="3"/>
    </row>
    <row r="823" spans="1:12" x14ac:dyDescent="0.5">
      <c r="A823" s="1">
        <v>835</v>
      </c>
      <c r="B823" s="1" t="str">
        <f>"07-"&amp;LEFT(RIGHTB(REPT(0,4)&amp;_xlfn.BASE(DB07_baselinesequence[[#This Row],[num]],36),4),2)&amp;"-"&amp;RIGHT(RIGHTB(REPT(0,4)&amp;_xlfn.BASE(DB07_baselinesequence[[#This Row],[num]],36),4),2)</f>
        <v>07-00-N7</v>
      </c>
      <c r="C823" s="1" t="s">
        <v>3724</v>
      </c>
      <c r="F823" s="1" t="s">
        <v>3037</v>
      </c>
      <c r="G823" s="1" t="str">
        <f>_xlfn.XLOOKUP(DB07_baselinesequence[[#This Row],[basesequence-ID]],DB06_baseline[ID],DB06_baseline[Baseline],"",0)</f>
        <v>AAAACCACAGGCGAGTTCTAC</v>
      </c>
      <c r="H823" s="1">
        <f>_xlfn.XLOOKUP(DB07_baselinesequence[[#This Row],[basesequence-ID]],DB06_baseline[ID],DB06_baseline[確認済],FALSE,0)</f>
        <v>0</v>
      </c>
      <c r="J823" s="14" t="s">
        <v>3709</v>
      </c>
      <c r="K823" s="4"/>
      <c r="L823" s="3"/>
    </row>
    <row r="824" spans="1:12" x14ac:dyDescent="0.5">
      <c r="A824" s="1">
        <v>836</v>
      </c>
      <c r="B824" s="1" t="str">
        <f>"07-"&amp;LEFT(RIGHTB(REPT(0,4)&amp;_xlfn.BASE(DB07_baselinesequence[[#This Row],[num]],36),4),2)&amp;"-"&amp;RIGHT(RIGHTB(REPT(0,4)&amp;_xlfn.BASE(DB07_baselinesequence[[#This Row],[num]],36),4),2)</f>
        <v>07-00-N8</v>
      </c>
      <c r="C824" s="1" t="s">
        <v>3725</v>
      </c>
      <c r="F824" s="1" t="s">
        <v>3037</v>
      </c>
      <c r="G824" s="1" t="str">
        <f>_xlfn.XLOOKUP(DB07_baselinesequence[[#This Row],[basesequence-ID]],DB06_baseline[ID],DB06_baseline[Baseline],"",0)</f>
        <v>AAAACCACAGGCGAGTTCTAC</v>
      </c>
      <c r="H824" s="1">
        <f>_xlfn.XLOOKUP(DB07_baselinesequence[[#This Row],[basesequence-ID]],DB06_baseline[ID],DB06_baseline[確認済],FALSE,0)</f>
        <v>0</v>
      </c>
      <c r="J824" s="14" t="s">
        <v>3767</v>
      </c>
      <c r="K824" s="4"/>
      <c r="L824" s="3"/>
    </row>
    <row r="825" spans="1:12" x14ac:dyDescent="0.45">
      <c r="A825" s="1">
        <v>837</v>
      </c>
      <c r="B825" s="1" t="str">
        <f>"07-"&amp;LEFT(RIGHTB(REPT(0,4)&amp;_xlfn.BASE(DB07_baselinesequence[[#This Row],[num]],36),4),2)&amp;"-"&amp;RIGHT(RIGHTB(REPT(0,4)&amp;_xlfn.BASE(DB07_baselinesequence[[#This Row],[num]],36),4),2)</f>
        <v>07-00-N9</v>
      </c>
      <c r="C825" s="1" t="s">
        <v>3905</v>
      </c>
      <c r="D825" s="1" t="s">
        <v>3903</v>
      </c>
      <c r="F825" s="1" t="s">
        <v>3039</v>
      </c>
      <c r="G825" s="1" t="str">
        <f>_xlfn.XLOOKUP(DB07_baselinesequence[[#This Row],[basesequence-ID]],DB06_baseline[ID],DB06_baseline[Baseline],"",0)</f>
        <v>GTAGAACTCGCCTGTGGTTTT</v>
      </c>
      <c r="H825" s="1">
        <f>_xlfn.XLOOKUP(DB07_baselinesequence[[#This Row],[basesequence-ID]],DB06_baseline[ID],DB06_baseline[確認済],FALSE,0)</f>
        <v>0</v>
      </c>
      <c r="J825" s="15" t="s">
        <v>3710</v>
      </c>
      <c r="K825" s="4"/>
      <c r="L825" s="3"/>
    </row>
    <row r="826" spans="1:12" x14ac:dyDescent="0.45">
      <c r="A826" s="1">
        <v>838</v>
      </c>
      <c r="B826" s="1" t="str">
        <f>"07-"&amp;LEFT(RIGHTB(REPT(0,4)&amp;_xlfn.BASE(DB07_baselinesequence[[#This Row],[num]],36),4),2)&amp;"-"&amp;RIGHT(RIGHTB(REPT(0,4)&amp;_xlfn.BASE(DB07_baselinesequence[[#This Row],[num]],36),4),2)</f>
        <v>07-00-NA</v>
      </c>
      <c r="C826" s="1" t="s">
        <v>3726</v>
      </c>
      <c r="F826" s="1" t="s">
        <v>3039</v>
      </c>
      <c r="G826" s="1" t="str">
        <f>_xlfn.XLOOKUP(DB07_baselinesequence[[#This Row],[basesequence-ID]],DB06_baseline[ID],DB06_baseline[Baseline],"",0)</f>
        <v>GTAGAACTCGCCTGTGGTTTT</v>
      </c>
      <c r="H826" s="1">
        <f>_xlfn.XLOOKUP(DB07_baselinesequence[[#This Row],[basesequence-ID]],DB06_baseline[ID],DB06_baseline[確認済],FALSE,0)</f>
        <v>0</v>
      </c>
      <c r="J826" s="15" t="s">
        <v>3711</v>
      </c>
      <c r="K826" s="4"/>
      <c r="L826" s="3"/>
    </row>
    <row r="827" spans="1:12" x14ac:dyDescent="0.45">
      <c r="A827" s="1">
        <v>839</v>
      </c>
      <c r="B827" s="1" t="str">
        <f>"07-"&amp;LEFT(RIGHTB(REPT(0,4)&amp;_xlfn.BASE(DB07_baselinesequence[[#This Row],[num]],36),4),2)&amp;"-"&amp;RIGHT(RIGHTB(REPT(0,4)&amp;_xlfn.BASE(DB07_baselinesequence[[#This Row],[num]],36),4),2)</f>
        <v>07-00-NB</v>
      </c>
      <c r="C827" s="1" t="s">
        <v>3727</v>
      </c>
      <c r="F827" s="1" t="s">
        <v>3688</v>
      </c>
      <c r="G827" s="1" t="str">
        <f>_xlfn.XLOOKUP(DB07_baselinesequence[[#This Row],[basesequence-ID]],DB06_baseline[ID],DB06_baseline[Baseline],"",0)</f>
        <v>GTAIAACTCICCTITIITTTT</v>
      </c>
      <c r="H827" s="1">
        <f>_xlfn.XLOOKUP(DB07_baselinesequence[[#This Row],[basesequence-ID]],DB06_baseline[ID],DB06_baseline[確認済],FALSE,0)</f>
        <v>0</v>
      </c>
      <c r="J827" s="15" t="s">
        <v>3712</v>
      </c>
      <c r="K827" s="4"/>
      <c r="L827" s="3"/>
    </row>
    <row r="828" spans="1:12" x14ac:dyDescent="0.45">
      <c r="A828" s="1">
        <v>840</v>
      </c>
      <c r="B828" s="1" t="str">
        <f>"07-"&amp;LEFT(RIGHTB(REPT(0,4)&amp;_xlfn.BASE(DB07_baselinesequence[[#This Row],[num]],36),4),2)&amp;"-"&amp;RIGHT(RIGHTB(REPT(0,4)&amp;_xlfn.BASE(DB07_baselinesequence[[#This Row],[num]],36),4),2)</f>
        <v>07-00-NC</v>
      </c>
      <c r="C828" s="1" t="s">
        <v>3728</v>
      </c>
      <c r="F828" s="1" t="s">
        <v>3688</v>
      </c>
      <c r="G828" s="1" t="str">
        <f>_xlfn.XLOOKUP(DB07_baselinesequence[[#This Row],[basesequence-ID]],DB06_baseline[ID],DB06_baseline[Baseline],"",0)</f>
        <v>GTAIAACTCICCTITIITTTT</v>
      </c>
      <c r="H828" s="1">
        <f>_xlfn.XLOOKUP(DB07_baselinesequence[[#This Row],[basesequence-ID]],DB06_baseline[ID],DB06_baseline[確認済],FALSE,0)</f>
        <v>0</v>
      </c>
      <c r="J828" s="15" t="s">
        <v>3713</v>
      </c>
      <c r="K828" s="4"/>
      <c r="L828" s="3"/>
    </row>
    <row r="829" spans="1:12" x14ac:dyDescent="0.45">
      <c r="A829" s="1">
        <v>841</v>
      </c>
      <c r="B829" s="1" t="str">
        <f>"07-"&amp;LEFT(RIGHTB(REPT(0,4)&amp;_xlfn.BASE(DB07_baselinesequence[[#This Row],[num]],36),4),2)&amp;"-"&amp;RIGHT(RIGHTB(REPT(0,4)&amp;_xlfn.BASE(DB07_baselinesequence[[#This Row],[num]],36),4),2)</f>
        <v>07-00-ND</v>
      </c>
      <c r="C829" s="1" t="s">
        <v>3910</v>
      </c>
      <c r="F829" s="1" t="s">
        <v>3039</v>
      </c>
      <c r="G829" s="1" t="str">
        <f>_xlfn.XLOOKUP(DB07_baselinesequence[[#This Row],[basesequence-ID]],DB06_baseline[ID],DB06_baseline[Baseline],"",0)</f>
        <v>GTAGAACTCGCCTGTGGTTTT</v>
      </c>
      <c r="H829" s="1">
        <f>_xlfn.XLOOKUP(DB07_baselinesequence[[#This Row],[basesequence-ID]],DB06_baseline[ID],DB06_baseline[確認済],FALSE,0)</f>
        <v>0</v>
      </c>
      <c r="J829" s="15" t="s">
        <v>3714</v>
      </c>
      <c r="K829" s="4"/>
      <c r="L829" s="3"/>
    </row>
    <row r="830" spans="1:12" x14ac:dyDescent="0.45">
      <c r="A830" s="1">
        <v>842</v>
      </c>
      <c r="B830" s="1" t="str">
        <f>"07-"&amp;LEFT(RIGHTB(REPT(0,4)&amp;_xlfn.BASE(DB07_baselinesequence[[#This Row],[num]],36),4),2)&amp;"-"&amp;RIGHT(RIGHTB(REPT(0,4)&amp;_xlfn.BASE(DB07_baselinesequence[[#This Row],[num]],36),4),2)</f>
        <v>07-00-NE</v>
      </c>
      <c r="C830" s="1" t="s">
        <v>3909</v>
      </c>
      <c r="F830" s="1" t="s">
        <v>3039</v>
      </c>
      <c r="G830" s="1" t="str">
        <f>_xlfn.XLOOKUP(DB07_baselinesequence[[#This Row],[basesequence-ID]],DB06_baseline[ID],DB06_baseline[Baseline],"",0)</f>
        <v>GTAGAACTCGCCTGTGGTTTT</v>
      </c>
      <c r="H830" s="1">
        <f>_xlfn.XLOOKUP(DB07_baselinesequence[[#This Row],[basesequence-ID]],DB06_baseline[ID],DB06_baseline[確認済],FALSE,0)</f>
        <v>0</v>
      </c>
      <c r="J830" s="15" t="s">
        <v>3715</v>
      </c>
      <c r="K830" s="4"/>
      <c r="L830" s="3"/>
    </row>
    <row r="831" spans="1:12" x14ac:dyDescent="0.45">
      <c r="A831" s="1">
        <v>843</v>
      </c>
      <c r="B831" s="1" t="str">
        <f>"07-"&amp;LEFT(RIGHTB(REPT(0,4)&amp;_xlfn.BASE(DB07_baselinesequence[[#This Row],[num]],36),4),2)&amp;"-"&amp;RIGHT(RIGHTB(REPT(0,4)&amp;_xlfn.BASE(DB07_baselinesequence[[#This Row],[num]],36),4),2)</f>
        <v>07-00-NF</v>
      </c>
      <c r="C831" s="1" t="s">
        <v>3915</v>
      </c>
      <c r="F831" s="1" t="s">
        <v>3688</v>
      </c>
      <c r="G831" s="1" t="str">
        <f>_xlfn.XLOOKUP(DB07_baselinesequence[[#This Row],[basesequence-ID]],DB06_baseline[ID],DB06_baseline[Baseline],"",0)</f>
        <v>GTAIAACTCICCTITIITTTT</v>
      </c>
      <c r="H831" s="1">
        <f>_xlfn.XLOOKUP(DB07_baselinesequence[[#This Row],[basesequence-ID]],DB06_baseline[ID],DB06_baseline[確認済],FALSE,0)</f>
        <v>0</v>
      </c>
      <c r="J831" s="15" t="s">
        <v>3716</v>
      </c>
      <c r="K831" s="4"/>
      <c r="L831" s="3"/>
    </row>
    <row r="832" spans="1:12" x14ac:dyDescent="0.45">
      <c r="A832" s="1">
        <v>844</v>
      </c>
      <c r="B832" s="1" t="str">
        <f>"07-"&amp;LEFT(RIGHTB(REPT(0,4)&amp;_xlfn.BASE(DB07_baselinesequence[[#This Row],[num]],36),4),2)&amp;"-"&amp;RIGHT(RIGHTB(REPT(0,4)&amp;_xlfn.BASE(DB07_baselinesequence[[#This Row],[num]],36),4),2)</f>
        <v>07-00-NG</v>
      </c>
      <c r="C832" s="1" t="s">
        <v>3730</v>
      </c>
      <c r="F832" s="1" t="s">
        <v>3690</v>
      </c>
      <c r="G832" s="1" t="str">
        <f>_xlfn.XLOOKUP(DB07_baselinesequence[[#This Row],[basesequence-ID]],DB06_baseline[ID],DB06_baseline[Baseline],"",0)</f>
        <v>GTAGAACTCGCCTGTG</v>
      </c>
      <c r="H832" s="1">
        <f>_xlfn.XLOOKUP(DB07_baselinesequence[[#This Row],[basesequence-ID]],DB06_baseline[ID],DB06_baseline[確認済],FALSE,0)</f>
        <v>0</v>
      </c>
      <c r="J832" s="15" t="s">
        <v>3760</v>
      </c>
      <c r="K832" s="4"/>
      <c r="L832" s="3"/>
    </row>
    <row r="833" spans="1:12" x14ac:dyDescent="0.45">
      <c r="A833" s="1">
        <v>845</v>
      </c>
      <c r="B833" s="1" t="str">
        <f>"07-"&amp;LEFT(RIGHTB(REPT(0,4)&amp;_xlfn.BASE(DB07_baselinesequence[[#This Row],[num]],36),4),2)&amp;"-"&amp;RIGHT(RIGHTB(REPT(0,4)&amp;_xlfn.BASE(DB07_baselinesequence[[#This Row],[num]],36),4),2)</f>
        <v>07-00-NH</v>
      </c>
      <c r="C833" s="1" t="s">
        <v>3731</v>
      </c>
      <c r="F833" s="1" t="s">
        <v>3693</v>
      </c>
      <c r="G833" s="1" t="str">
        <f>_xlfn.XLOOKUP(DB07_baselinesequence[[#This Row],[basesequence-ID]],DB06_baseline[ID],DB06_baseline[Baseline],"",0)</f>
        <v>GTAGAACTCGC</v>
      </c>
      <c r="H833" s="1">
        <f>_xlfn.XLOOKUP(DB07_baselinesequence[[#This Row],[basesequence-ID]],DB06_baseline[ID],DB06_baseline[確認済],FALSE,0)</f>
        <v>0</v>
      </c>
      <c r="J833" s="15" t="s">
        <v>3717</v>
      </c>
      <c r="K833" s="4"/>
      <c r="L833" s="3"/>
    </row>
    <row r="834" spans="1:12" x14ac:dyDescent="0.45">
      <c r="A834" s="1">
        <v>846</v>
      </c>
      <c r="B834" s="1" t="str">
        <f>"07-"&amp;LEFT(RIGHTB(REPT(0,4)&amp;_xlfn.BASE(DB07_baselinesequence[[#This Row],[num]],36),4),2)&amp;"-"&amp;RIGHT(RIGHTB(REPT(0,4)&amp;_xlfn.BASE(DB07_baselinesequence[[#This Row],[num]],36),4),2)</f>
        <v>07-00-NI</v>
      </c>
      <c r="C834" s="1" t="s">
        <v>3911</v>
      </c>
      <c r="F834" s="1" t="s">
        <v>3693</v>
      </c>
      <c r="G834" s="1" t="str">
        <f>_xlfn.XLOOKUP(DB07_baselinesequence[[#This Row],[basesequence-ID]],DB06_baseline[ID],DB06_baseline[Baseline],"",0)</f>
        <v>GTAGAACTCGC</v>
      </c>
      <c r="H834" s="1">
        <f>_xlfn.XLOOKUP(DB07_baselinesequence[[#This Row],[basesequence-ID]],DB06_baseline[ID],DB06_baseline[確認済],FALSE,0)</f>
        <v>0</v>
      </c>
      <c r="J834" s="15" t="s">
        <v>3718</v>
      </c>
      <c r="K834" s="4"/>
      <c r="L834" s="3"/>
    </row>
    <row r="835" spans="1:12" x14ac:dyDescent="0.45">
      <c r="A835" s="1">
        <v>847</v>
      </c>
      <c r="B835" s="1" t="str">
        <f>"07-"&amp;LEFT(RIGHTB(REPT(0,4)&amp;_xlfn.BASE(DB07_baselinesequence[[#This Row],[num]],36),4),2)&amp;"-"&amp;RIGHT(RIGHTB(REPT(0,4)&amp;_xlfn.BASE(DB07_baselinesequence[[#This Row],[num]],36),4),2)</f>
        <v>07-00-NJ</v>
      </c>
      <c r="C835" s="1" t="s">
        <v>3732</v>
      </c>
      <c r="F835" s="1" t="s">
        <v>3696</v>
      </c>
      <c r="G835" s="1" t="str">
        <f>_xlfn.XLOOKUP(DB07_baselinesequence[[#This Row],[basesequence-ID]],DB06_baseline[ID],DB06_baseline[Baseline],"",0)</f>
        <v>ACTCGCCTGTGGTTTT</v>
      </c>
      <c r="H835" s="1">
        <f>_xlfn.XLOOKUP(DB07_baselinesequence[[#This Row],[basesequence-ID]],DB06_baseline[ID],DB06_baseline[確認済],FALSE,0)</f>
        <v>0</v>
      </c>
      <c r="J835" s="15" t="s">
        <v>3719</v>
      </c>
      <c r="K835" s="4"/>
      <c r="L835" s="3"/>
    </row>
    <row r="836" spans="1:12" x14ac:dyDescent="0.45">
      <c r="A836" s="1">
        <v>848</v>
      </c>
      <c r="B836" s="1" t="str">
        <f>"07-"&amp;LEFT(RIGHTB(REPT(0,4)&amp;_xlfn.BASE(DB07_baselinesequence[[#This Row],[num]],36),4),2)&amp;"-"&amp;RIGHT(RIGHTB(REPT(0,4)&amp;_xlfn.BASE(DB07_baselinesequence[[#This Row],[num]],36),4),2)</f>
        <v>07-00-NK</v>
      </c>
      <c r="C836" s="1" t="s">
        <v>3733</v>
      </c>
      <c r="F836" s="1" t="s">
        <v>3699</v>
      </c>
      <c r="G836" s="1" t="str">
        <f>_xlfn.XLOOKUP(DB07_baselinesequence[[#This Row],[basesequence-ID]],DB06_baseline[ID],DB06_baseline[Baseline],"",0)</f>
        <v>CCTGTGGTTTT</v>
      </c>
      <c r="H836" s="1">
        <f>_xlfn.XLOOKUP(DB07_baselinesequence[[#This Row],[basesequence-ID]],DB06_baseline[ID],DB06_baseline[確認済],FALSE,0)</f>
        <v>0</v>
      </c>
      <c r="J836" s="15" t="s">
        <v>3720</v>
      </c>
      <c r="K836" s="4"/>
      <c r="L836" s="3"/>
    </row>
    <row r="837" spans="1:12" x14ac:dyDescent="0.45">
      <c r="A837" s="1">
        <v>849</v>
      </c>
      <c r="B837" s="1" t="str">
        <f>"07-"&amp;LEFT(RIGHTB(REPT(0,4)&amp;_xlfn.BASE(DB07_baselinesequence[[#This Row],[num]],36),4),2)&amp;"-"&amp;RIGHT(RIGHTB(REPT(0,4)&amp;_xlfn.BASE(DB07_baselinesequence[[#This Row],[num]],36),4),2)</f>
        <v>07-00-NL</v>
      </c>
      <c r="C837" s="1" t="s">
        <v>3912</v>
      </c>
      <c r="F837" s="1" t="s">
        <v>3699</v>
      </c>
      <c r="G837" s="1" t="str">
        <f>_xlfn.XLOOKUP(DB07_baselinesequence[[#This Row],[basesequence-ID]],DB06_baseline[ID],DB06_baseline[Baseline],"",0)</f>
        <v>CCTGTGGTTTT</v>
      </c>
      <c r="H837" s="1">
        <f>_xlfn.XLOOKUP(DB07_baselinesequence[[#This Row],[basesequence-ID]],DB06_baseline[ID],DB06_baseline[確認済],FALSE,0)</f>
        <v>0</v>
      </c>
      <c r="J837" s="15" t="s">
        <v>3721</v>
      </c>
      <c r="K837" s="4"/>
      <c r="L837" s="3"/>
    </row>
    <row r="838" spans="1:12" x14ac:dyDescent="0.45">
      <c r="A838" s="1">
        <v>850</v>
      </c>
      <c r="B838" s="1" t="str">
        <f>"07-"&amp;LEFT(RIGHTB(REPT(0,4)&amp;_xlfn.BASE(DB07_baselinesequence[[#This Row],[num]],36),4),2)&amp;"-"&amp;RIGHT(RIGHTB(REPT(0,4)&amp;_xlfn.BASE(DB07_baselinesequence[[#This Row],[num]],36),4),2)</f>
        <v>07-00-NM</v>
      </c>
      <c r="C838" s="1" t="s">
        <v>3734</v>
      </c>
      <c r="F838" s="1" t="s">
        <v>3702</v>
      </c>
      <c r="G838" s="1" t="str">
        <f>_xlfn.XLOOKUP(DB07_baselinesequence[[#This Row],[basesequence-ID]],DB06_baseline[ID],DB06_baseline[Baseline],"",0)</f>
        <v>GTAGAACTCGCCTGTGGTTTTCTAGGTCATG</v>
      </c>
      <c r="H838" s="1">
        <f>_xlfn.XLOOKUP(DB07_baselinesequence[[#This Row],[basesequence-ID]],DB06_baseline[ID],DB06_baseline[確認済],FALSE,0)</f>
        <v>0</v>
      </c>
      <c r="J838" s="15" t="s">
        <v>3771</v>
      </c>
      <c r="K838" s="4"/>
      <c r="L838" s="3"/>
    </row>
    <row r="839" spans="1:12" x14ac:dyDescent="0.45">
      <c r="A839" s="1">
        <v>851</v>
      </c>
      <c r="B839" s="1" t="str">
        <f>"07-"&amp;LEFT(RIGHTB(REPT(0,4)&amp;_xlfn.BASE(DB07_baselinesequence[[#This Row],[num]],36),4),2)&amp;"-"&amp;RIGHT(RIGHTB(REPT(0,4)&amp;_xlfn.BASE(DB07_baselinesequence[[#This Row],[num]],36),4),2)</f>
        <v>07-00-NN</v>
      </c>
      <c r="C839" s="1" t="s">
        <v>3913</v>
      </c>
      <c r="F839" s="1" t="s">
        <v>3702</v>
      </c>
      <c r="G839" s="1" t="str">
        <f>_xlfn.XLOOKUP(DB07_baselinesequence[[#This Row],[basesequence-ID]],DB06_baseline[ID],DB06_baseline[Baseline],"",0)</f>
        <v>GTAGAACTCGCCTGTGGTTTTCTAGGTCATG</v>
      </c>
      <c r="H839" s="1">
        <f>_xlfn.XLOOKUP(DB07_baselinesequence[[#This Row],[basesequence-ID]],DB06_baseline[ID],DB06_baseline[確認済],FALSE,0)</f>
        <v>0</v>
      </c>
      <c r="J839" s="15" t="s">
        <v>3770</v>
      </c>
      <c r="K839" s="4"/>
      <c r="L839" s="3"/>
    </row>
    <row r="840" spans="1:12" x14ac:dyDescent="0.45">
      <c r="A840" s="1">
        <v>852</v>
      </c>
      <c r="B840" s="1" t="str">
        <f>"07-"&amp;LEFT(RIGHTB(REPT(0,4)&amp;_xlfn.BASE(DB07_baselinesequence[[#This Row],[num]],36),4),2)&amp;"-"&amp;RIGHT(RIGHTB(REPT(0,4)&amp;_xlfn.BASE(DB07_baselinesequence[[#This Row],[num]],36),4),2)</f>
        <v>07-00-NO</v>
      </c>
      <c r="C840" s="1" t="s">
        <v>3735</v>
      </c>
      <c r="F840" s="1" t="s">
        <v>3705</v>
      </c>
      <c r="G840" s="1" t="str">
        <f>_xlfn.XLOOKUP(DB07_baselinesequence[[#This Row],[basesequence-ID]],DB06_baseline[ID],DB06_baseline[Baseline],"",0)</f>
        <v>CTAGGTCATGGTAGAACTCGCCTGTGGTTTT</v>
      </c>
      <c r="H840" s="1">
        <f>_xlfn.XLOOKUP(DB07_baselinesequence[[#This Row],[basesequence-ID]],DB06_baseline[ID],DB06_baseline[確認済],FALSE,0)</f>
        <v>0</v>
      </c>
      <c r="I840" s="15"/>
      <c r="J840" s="15" t="s">
        <v>3769</v>
      </c>
      <c r="K840" s="4"/>
      <c r="L840" s="3"/>
    </row>
    <row r="841" spans="1:12" x14ac:dyDescent="0.45">
      <c r="A841" s="1">
        <v>853</v>
      </c>
      <c r="B841" s="1" t="str">
        <f>"07-"&amp;LEFT(RIGHTB(REPT(0,4)&amp;_xlfn.BASE(DB07_baselinesequence[[#This Row],[num]],36),4),2)&amp;"-"&amp;RIGHT(RIGHTB(REPT(0,4)&amp;_xlfn.BASE(DB07_baselinesequence[[#This Row],[num]],36),4),2)</f>
        <v>07-00-NP</v>
      </c>
      <c r="C841" s="1" t="s">
        <v>3914</v>
      </c>
      <c r="F841" s="1" t="s">
        <v>3705</v>
      </c>
      <c r="G841" s="1" t="str">
        <f>_xlfn.XLOOKUP(DB07_baselinesequence[[#This Row],[basesequence-ID]],DB06_baseline[ID],DB06_baseline[Baseline],"",0)</f>
        <v>CTAGGTCATGGTAGAACTCGCCTGTGGTTTT</v>
      </c>
      <c r="H841" s="1">
        <f>_xlfn.XLOOKUP(DB07_baselinesequence[[#This Row],[basesequence-ID]],DB06_baseline[ID],DB06_baseline[確認済],FALSE,0)</f>
        <v>0</v>
      </c>
      <c r="J841" s="15" t="s">
        <v>3768</v>
      </c>
      <c r="K841" s="4"/>
      <c r="L841" s="3"/>
    </row>
    <row r="842" spans="1:12" x14ac:dyDescent="0.5">
      <c r="A842" s="1">
        <v>854</v>
      </c>
      <c r="B842" s="1" t="str">
        <f>"07-"&amp;LEFT(RIGHTB(REPT(0,4)&amp;_xlfn.BASE(DB07_baselinesequence[[#This Row],[num]],36),4),2)&amp;"-"&amp;RIGHT(RIGHTB(REPT(0,4)&amp;_xlfn.BASE(DB07_baselinesequence[[#This Row],[num]],36),4),2)</f>
        <v>07-00-NQ</v>
      </c>
      <c r="C842" s="1" t="s">
        <v>3736</v>
      </c>
      <c r="F842" s="1" t="s">
        <v>3039</v>
      </c>
      <c r="G842" s="1" t="str">
        <f>_xlfn.XLOOKUP(DB07_baselinesequence[[#This Row],[basesequence-ID]],DB06_baseline[ID],DB06_baseline[Baseline],"",0)</f>
        <v>GTAGAACTCGCCTGTGGTTTT</v>
      </c>
      <c r="H842" s="1">
        <f>_xlfn.XLOOKUP(DB07_baselinesequence[[#This Row],[basesequence-ID]],DB06_baseline[ID],DB06_baseline[確認済],FALSE,0)</f>
        <v>0</v>
      </c>
      <c r="J842" s="16" t="s">
        <v>3722</v>
      </c>
      <c r="K842" s="4"/>
      <c r="L842" s="3"/>
    </row>
    <row r="843" spans="1:12" x14ac:dyDescent="0.45">
      <c r="A843" s="1">
        <v>855</v>
      </c>
      <c r="B843" s="1" t="str">
        <f>"07-"&amp;LEFT(RIGHTB(REPT(0,4)&amp;_xlfn.BASE(DB07_baselinesequence[[#This Row],[num]],36),4),2)&amp;"-"&amp;RIGHT(RIGHTB(REPT(0,4)&amp;_xlfn.BASE(DB07_baselinesequence[[#This Row],[num]],36),4),2)</f>
        <v>07-00-NR</v>
      </c>
      <c r="C843" s="1" t="s">
        <v>3743</v>
      </c>
      <c r="F843" s="1" t="s">
        <v>3742</v>
      </c>
      <c r="G843" s="1" t="str">
        <f>_xlfn.XLOOKUP(DB07_baselinesequence[[#This Row],[basesequence-ID]],DB06_baseline[ID],DB06_baseline[Baseline],"",0)</f>
        <v>TTTTTTTTTTTTTTTTTTTT</v>
      </c>
      <c r="H843" s="1">
        <f>_xlfn.XLOOKUP(DB07_baselinesequence[[#This Row],[basesequence-ID]],DB06_baseline[ID],DB06_baseline[確認済],FALSE,0)</f>
        <v>0</v>
      </c>
      <c r="J843" s="1" t="s">
        <v>3744</v>
      </c>
      <c r="K843" s="4"/>
      <c r="L843" s="3"/>
    </row>
    <row r="844" spans="1:12" x14ac:dyDescent="0.45">
      <c r="A844" s="1">
        <v>856</v>
      </c>
      <c r="B844" s="1" t="str">
        <f>"07-"&amp;LEFT(RIGHTB(REPT(0,4)&amp;_xlfn.BASE(DB07_baselinesequence[[#This Row],[num]],36),4),2)&amp;"-"&amp;RIGHT(RIGHTB(REPT(0,4)&amp;_xlfn.BASE(DB07_baselinesequence[[#This Row],[num]],36),4),2)</f>
        <v>07-00-NS</v>
      </c>
      <c r="C844" s="1" t="s">
        <v>3745</v>
      </c>
      <c r="F844" s="1" t="s">
        <v>3739</v>
      </c>
      <c r="G844" s="1" t="str">
        <f>_xlfn.XLOOKUP(DB07_baselinesequence[[#This Row],[basesequence-ID]],DB06_baseline[ID],DB06_baseline[Baseline],"",0)</f>
        <v>UUUUUUUUUUUUUUUUUUUU</v>
      </c>
      <c r="H844" s="1">
        <f>_xlfn.XLOOKUP(DB07_baselinesequence[[#This Row],[basesequence-ID]],DB06_baseline[ID],DB06_baseline[確認済],FALSE,0)</f>
        <v>0</v>
      </c>
      <c r="J844" s="1" t="s">
        <v>3746</v>
      </c>
      <c r="K844" s="4"/>
      <c r="L844" s="3"/>
    </row>
    <row r="845" spans="1:12" x14ac:dyDescent="0.45">
      <c r="A845" s="1">
        <v>857</v>
      </c>
      <c r="B845" s="1" t="str">
        <f>"07-"&amp;LEFT(RIGHTB(REPT(0,4)&amp;_xlfn.BASE(DB07_baselinesequence[[#This Row],[num]],36),4),2)&amp;"-"&amp;RIGHT(RIGHTB(REPT(0,4)&amp;_xlfn.BASE(DB07_baselinesequence[[#This Row],[num]],36),4),2)</f>
        <v>07-00-NT</v>
      </c>
      <c r="C845" s="1" t="s">
        <v>3747</v>
      </c>
      <c r="F845" s="1" t="s">
        <v>3739</v>
      </c>
      <c r="G845" s="1" t="str">
        <f>_xlfn.XLOOKUP(DB07_baselinesequence[[#This Row],[basesequence-ID]],DB06_baseline[ID],DB06_baseline[Baseline],"",0)</f>
        <v>UUUUUUUUUUUUUUUUUUUU</v>
      </c>
      <c r="H845" s="1">
        <f>_xlfn.XLOOKUP(DB07_baselinesequence[[#This Row],[basesequence-ID]],DB06_baseline[ID],DB06_baseline[確認済],FALSE,0)</f>
        <v>0</v>
      </c>
      <c r="J845" s="1" t="s">
        <v>3761</v>
      </c>
      <c r="K845" s="4"/>
      <c r="L845" s="3"/>
    </row>
    <row r="846" spans="1:12" x14ac:dyDescent="0.45">
      <c r="A846" s="1">
        <v>858</v>
      </c>
      <c r="B846" s="1" t="str">
        <f>"07-"&amp;LEFT(RIGHTB(REPT(0,4)&amp;_xlfn.BASE(DB07_baselinesequence[[#This Row],[num]],36),4),2)&amp;"-"&amp;RIGHT(RIGHTB(REPT(0,4)&amp;_xlfn.BASE(DB07_baselinesequence[[#This Row],[num]],36),4),2)</f>
        <v>07-00-NU</v>
      </c>
      <c r="C846" s="1" t="s">
        <v>3748</v>
      </c>
      <c r="F846" s="1" t="s">
        <v>3739</v>
      </c>
      <c r="G846" s="1" t="str">
        <f>_xlfn.XLOOKUP(DB07_baselinesequence[[#This Row],[basesequence-ID]],DB06_baseline[ID],DB06_baseline[Baseline],"",0)</f>
        <v>UUUUUUUUUUUUUUUUUUUU</v>
      </c>
      <c r="H846" s="1">
        <f>_xlfn.XLOOKUP(DB07_baselinesequence[[#This Row],[basesequence-ID]],DB06_baseline[ID],DB06_baseline[確認済],FALSE,0)</f>
        <v>0</v>
      </c>
      <c r="J846" s="1" t="s">
        <v>3762</v>
      </c>
      <c r="K846" s="4"/>
      <c r="L846" s="3"/>
    </row>
    <row r="847" spans="1:12" x14ac:dyDescent="0.45">
      <c r="A847" s="1">
        <v>859</v>
      </c>
      <c r="B847" s="1" t="str">
        <f>"07-"&amp;LEFT(RIGHTB(REPT(0,4)&amp;_xlfn.BASE(DB07_baselinesequence[[#This Row],[num]],36),4),2)&amp;"-"&amp;RIGHT(RIGHTB(REPT(0,4)&amp;_xlfn.BASE(DB07_baselinesequence[[#This Row],[num]],36),4),2)</f>
        <v>07-00-NV</v>
      </c>
      <c r="C847" s="1" t="s">
        <v>3749</v>
      </c>
      <c r="F847" s="1" t="s">
        <v>3739</v>
      </c>
      <c r="G847" s="1" t="str">
        <f>_xlfn.XLOOKUP(DB07_baselinesequence[[#This Row],[basesequence-ID]],DB06_baseline[ID],DB06_baseline[Baseline],"",0)</f>
        <v>UUUUUUUUUUUUUUUUUUUU</v>
      </c>
      <c r="H847" s="1">
        <f>_xlfn.XLOOKUP(DB07_baselinesequence[[#This Row],[basesequence-ID]],DB06_baseline[ID],DB06_baseline[確認済],FALSE,0)</f>
        <v>0</v>
      </c>
      <c r="J847" s="1" t="s">
        <v>3772</v>
      </c>
      <c r="K847" s="4"/>
      <c r="L847" s="3"/>
    </row>
    <row r="848" spans="1:12" x14ac:dyDescent="0.45">
      <c r="A848" s="1">
        <v>860</v>
      </c>
      <c r="B848" s="1" t="str">
        <f>"07-"&amp;LEFT(RIGHTB(REPT(0,4)&amp;_xlfn.BASE(DB07_baselinesequence[[#This Row],[num]],36),4),2)&amp;"-"&amp;RIGHT(RIGHTB(REPT(0,4)&amp;_xlfn.BASE(DB07_baselinesequence[[#This Row],[num]],36),4),2)</f>
        <v>07-00-NW</v>
      </c>
      <c r="C848" s="1" t="s">
        <v>3751</v>
      </c>
      <c r="F848" s="1" t="s">
        <v>3750</v>
      </c>
      <c r="G848" s="1" t="str">
        <f>_xlfn.XLOOKUP(DB07_baselinesequence[[#This Row],[basesequence-ID]],DB06_baseline[ID],DB06_baseline[Baseline],"",0)</f>
        <v>TTGGAGAAGAAGCCGACTGG</v>
      </c>
      <c r="H848" s="1">
        <f>_xlfn.XLOOKUP(DB07_baselinesequence[[#This Row],[basesequence-ID]],DB06_baseline[ID],DB06_baseline[確認済],FALSE,0)</f>
        <v>0</v>
      </c>
      <c r="J848" s="1" t="s">
        <v>3756</v>
      </c>
      <c r="K848" s="4"/>
      <c r="L848" s="3"/>
    </row>
    <row r="849" spans="1:12" x14ac:dyDescent="0.45">
      <c r="A849" s="1">
        <v>861</v>
      </c>
      <c r="B849" s="1" t="str">
        <f>"07-"&amp;LEFT(RIGHTB(REPT(0,4)&amp;_xlfn.BASE(DB07_baselinesequence[[#This Row],[num]],36),4),2)&amp;"-"&amp;RIGHT(RIGHTB(REPT(0,4)&amp;_xlfn.BASE(DB07_baselinesequence[[#This Row],[num]],36),4),2)</f>
        <v>07-00-NX</v>
      </c>
      <c r="C849" s="1" t="s">
        <v>3752</v>
      </c>
      <c r="F849" s="1" t="s">
        <v>3750</v>
      </c>
      <c r="G849" s="1" t="str">
        <f>_xlfn.XLOOKUP(DB07_baselinesequence[[#This Row],[basesequence-ID]],DB06_baseline[ID],DB06_baseline[Baseline],"",0)</f>
        <v>TTGGAGAAGAAGCCGACTGG</v>
      </c>
      <c r="H849" s="1">
        <f>_xlfn.XLOOKUP(DB07_baselinesequence[[#This Row],[basesequence-ID]],DB06_baseline[ID],DB06_baseline[確認済],FALSE,0)</f>
        <v>0</v>
      </c>
      <c r="J849" s="1" t="s">
        <v>3757</v>
      </c>
      <c r="K849" s="4"/>
      <c r="L849" s="3"/>
    </row>
    <row r="850" spans="1:12" x14ac:dyDescent="0.45">
      <c r="A850" s="1">
        <v>862</v>
      </c>
      <c r="B850" s="1" t="str">
        <f>"07-"&amp;LEFT(RIGHTB(REPT(0,4)&amp;_xlfn.BASE(DB07_baselinesequence[[#This Row],[num]],36),4),2)&amp;"-"&amp;RIGHT(RIGHTB(REPT(0,4)&amp;_xlfn.BASE(DB07_baselinesequence[[#This Row],[num]],36),4),2)</f>
        <v>07-00-NY</v>
      </c>
      <c r="C850" s="1" t="s">
        <v>3754</v>
      </c>
      <c r="F850" s="1" t="s">
        <v>3753</v>
      </c>
      <c r="G850" s="1" t="str">
        <f>_xlfn.XLOOKUP(DB07_baselinesequence[[#This Row],[basesequence-ID]],DB06_baseline[ID],DB06_baseline[Baseline],"",0)</f>
        <v>CCAGTCGGCTTCTTCTCCAA</v>
      </c>
      <c r="H850" s="1">
        <f>_xlfn.XLOOKUP(DB07_baselinesequence[[#This Row],[basesequence-ID]],DB06_baseline[ID],DB06_baseline[確認済],FALSE,0)</f>
        <v>0</v>
      </c>
      <c r="J850" s="1" t="s">
        <v>3758</v>
      </c>
      <c r="K850" s="4"/>
      <c r="L850" s="3"/>
    </row>
    <row r="851" spans="1:12" x14ac:dyDescent="0.45">
      <c r="A851" s="1">
        <v>863</v>
      </c>
      <c r="B851" s="1" t="str">
        <f>"07-"&amp;LEFT(RIGHTB(REPT(0,4)&amp;_xlfn.BASE(DB07_baselinesequence[[#This Row],[num]],36),4),2)&amp;"-"&amp;RIGHT(RIGHTB(REPT(0,4)&amp;_xlfn.BASE(DB07_baselinesequence[[#This Row],[num]],36),4),2)</f>
        <v>07-00-NZ</v>
      </c>
      <c r="C851" s="1" t="s">
        <v>3755</v>
      </c>
      <c r="F851" s="1" t="s">
        <v>3753</v>
      </c>
      <c r="G851" s="1" t="str">
        <f>_xlfn.XLOOKUP(DB07_baselinesequence[[#This Row],[basesequence-ID]],DB06_baseline[ID],DB06_baseline[Baseline],"",0)</f>
        <v>CCAGTCGGCTTCTTCTCCAA</v>
      </c>
      <c r="H851" s="1">
        <f>_xlfn.XLOOKUP(DB07_baselinesequence[[#This Row],[basesequence-ID]],DB06_baseline[ID],DB06_baseline[確認済],FALSE,0)</f>
        <v>0</v>
      </c>
      <c r="J851" s="9" t="s">
        <v>3759</v>
      </c>
      <c r="K851" s="4"/>
      <c r="L851" s="3"/>
    </row>
    <row r="852" spans="1:12" x14ac:dyDescent="0.45">
      <c r="A852" s="1">
        <v>864</v>
      </c>
      <c r="B852" s="1" t="str">
        <f>"07-"&amp;LEFT(RIGHTB(REPT(0,4)&amp;_xlfn.BASE(DB07_baselinesequence[[#This Row],[num]],36),4),2)&amp;"-"&amp;RIGHT(RIGHTB(REPT(0,4)&amp;_xlfn.BASE(DB07_baselinesequence[[#This Row],[num]],36),4),2)</f>
        <v>07-00-O0</v>
      </c>
      <c r="C852" s="15" t="s">
        <v>3802</v>
      </c>
      <c r="F852" s="1" t="s">
        <v>3764</v>
      </c>
      <c r="G852" s="1" t="str">
        <f>_xlfn.XLOOKUP(DB07_baselinesequence[[#This Row],[basesequence-ID]],DB06_baseline[ID],DB06_baseline[Baseline],"",0)</f>
        <v>TCCAGCATTGGTATTCA</v>
      </c>
      <c r="H852" s="1">
        <f>_xlfn.XLOOKUP(DB07_baselinesequence[[#This Row],[basesequence-ID]],DB06_baseline[ID],DB06_baseline[確認済],FALSE,0)</f>
        <v>0</v>
      </c>
      <c r="J852" s="15" t="s">
        <v>3781</v>
      </c>
      <c r="K852" s="4"/>
      <c r="L852" s="3"/>
    </row>
    <row r="853" spans="1:12" x14ac:dyDescent="0.45">
      <c r="A853" s="1">
        <v>865</v>
      </c>
      <c r="B853" s="1" t="str">
        <f>"07-"&amp;LEFT(RIGHTB(REPT(0,4)&amp;_xlfn.BASE(DB07_baselinesequence[[#This Row],[num]],36),4),2)&amp;"-"&amp;RIGHT(RIGHTB(REPT(0,4)&amp;_xlfn.BASE(DB07_baselinesequence[[#This Row],[num]],36),4),2)</f>
        <v>07-00-O1</v>
      </c>
      <c r="C853" s="15" t="s">
        <v>3801</v>
      </c>
      <c r="F853" s="1" t="s">
        <v>3764</v>
      </c>
      <c r="G853" s="1" t="str">
        <f>_xlfn.XLOOKUP(DB07_baselinesequence[[#This Row],[basesequence-ID]],DB06_baseline[ID],DB06_baseline[Baseline],"",0)</f>
        <v>TCCAGCATTGGTATTCA</v>
      </c>
      <c r="H853" s="1">
        <f>_xlfn.XLOOKUP(DB07_baselinesequence[[#This Row],[basesequence-ID]],DB06_baseline[ID],DB06_baseline[確認済],FALSE,0)</f>
        <v>0</v>
      </c>
      <c r="J853" s="15" t="s">
        <v>3782</v>
      </c>
      <c r="K853" s="4"/>
      <c r="L853" s="3"/>
    </row>
    <row r="854" spans="1:12" x14ac:dyDescent="0.45">
      <c r="A854" s="1">
        <v>866</v>
      </c>
      <c r="B854" s="1" t="str">
        <f>"07-"&amp;LEFT(RIGHTB(REPT(0,4)&amp;_xlfn.BASE(DB07_baselinesequence[[#This Row],[num]],36),4),2)&amp;"-"&amp;RIGHT(RIGHTB(REPT(0,4)&amp;_xlfn.BASE(DB07_baselinesequence[[#This Row],[num]],36),4),2)</f>
        <v>07-00-O2</v>
      </c>
      <c r="C854" s="1" t="s">
        <v>3776</v>
      </c>
      <c r="F854" s="1" t="s">
        <v>3775</v>
      </c>
      <c r="G854" s="1" t="str">
        <f>_xlfn.XLOOKUP(DB07_baselinesequence[[#This Row],[basesequence-ID]],DB06_baseline[ID],DB06_baseline[Baseline],"",0)</f>
        <v/>
      </c>
      <c r="H854" s="1" t="b">
        <f>_xlfn.XLOOKUP(DB07_baselinesequence[[#This Row],[basesequence-ID]],DB06_baseline[ID],DB06_baseline[確認済],FALSE,0)</f>
        <v>0</v>
      </c>
      <c r="J854" s="1" t="s">
        <v>3774</v>
      </c>
      <c r="K854" s="4"/>
      <c r="L854" s="3"/>
    </row>
    <row r="855" spans="1:12" x14ac:dyDescent="0.45">
      <c r="A855" s="1">
        <v>867</v>
      </c>
      <c r="B855" s="1" t="str">
        <f>"07-"&amp;LEFT(RIGHTB(REPT(0,4)&amp;_xlfn.BASE(DB07_baselinesequence[[#This Row],[num]],36),4),2)&amp;"-"&amp;RIGHT(RIGHTB(REPT(0,4)&amp;_xlfn.BASE(DB07_baselinesequence[[#This Row],[num]],36),4),2)</f>
        <v>07-00-O3</v>
      </c>
      <c r="C855" s="15" t="s">
        <v>3729</v>
      </c>
      <c r="F855" s="1" t="s">
        <v>3039</v>
      </c>
      <c r="G855" s="1" t="str">
        <f>_xlfn.XLOOKUP(DB07_baselinesequence[[#This Row],[basesequence-ID]],DB06_baseline[ID],DB06_baseline[Baseline],"",0)</f>
        <v>GTAGAACTCGCCTGTGGTTTT</v>
      </c>
      <c r="H855" s="1">
        <f>_xlfn.XLOOKUP(DB07_baselinesequence[[#This Row],[basesequence-ID]],DB06_baseline[ID],DB06_baseline[確認済],FALSE,0)</f>
        <v>0</v>
      </c>
      <c r="J855" s="15" t="s">
        <v>3779</v>
      </c>
      <c r="K855" s="4"/>
      <c r="L855" s="3"/>
    </row>
    <row r="856" spans="1:12" x14ac:dyDescent="0.45">
      <c r="A856" s="1">
        <v>868</v>
      </c>
      <c r="B856" s="1" t="str">
        <f>"07-"&amp;LEFT(RIGHTB(REPT(0,4)&amp;_xlfn.BASE(DB07_baselinesequence[[#This Row],[num]],36),4),2)&amp;"-"&amp;RIGHT(RIGHTB(REPT(0,4)&amp;_xlfn.BASE(DB07_baselinesequence[[#This Row],[num]],36),4),2)</f>
        <v>07-00-O4</v>
      </c>
      <c r="C856" s="15" t="s">
        <v>3908</v>
      </c>
      <c r="F856" s="1" t="s">
        <v>3039</v>
      </c>
      <c r="G856" s="1" t="str">
        <f>_xlfn.XLOOKUP(DB07_baselinesequence[[#This Row],[basesequence-ID]],DB06_baseline[ID],DB06_baseline[Baseline],"",0)</f>
        <v>GTAGAACTCGCCTGTGGTTTT</v>
      </c>
      <c r="H856" s="1">
        <f>_xlfn.XLOOKUP(DB07_baselinesequence[[#This Row],[basesequence-ID]],DB06_baseline[ID],DB06_baseline[確認済],FALSE,0)</f>
        <v>0</v>
      </c>
      <c r="J856" s="15" t="s">
        <v>3780</v>
      </c>
      <c r="K856" s="4"/>
      <c r="L856" s="3"/>
    </row>
    <row r="857" spans="1:12" x14ac:dyDescent="0.45">
      <c r="A857" s="1">
        <v>872</v>
      </c>
      <c r="B857" s="1" t="str">
        <f>"07-"&amp;LEFT(RIGHTB(REPT(0,4)&amp;_xlfn.BASE(DB07_baselinesequence[[#This Row],[num]],36),4),2)&amp;"-"&amp;RIGHT(RIGHTB(REPT(0,4)&amp;_xlfn.BASE(DB07_baselinesequence[[#This Row],[num]],36),4),2)</f>
        <v>07-00-O8</v>
      </c>
      <c r="C857" s="1" t="s">
        <v>3783</v>
      </c>
      <c r="F857" s="1" t="s">
        <v>3793</v>
      </c>
      <c r="G857" s="1" t="str">
        <f>_xlfn.XLOOKUP(DB07_baselinesequence[[#This Row],[basesequence-ID]],DB06_baseline[ID],DB06_baseline[Baseline],"",0)</f>
        <v>CAATGCCATCCTGGAGTTCCTG</v>
      </c>
      <c r="H857" s="1">
        <f>_xlfn.XLOOKUP(DB07_baselinesequence[[#This Row],[basesequence-ID]],DB06_baseline[ID],DB06_baseline[確認済],FALSE,0)</f>
        <v>0</v>
      </c>
      <c r="J857" s="1" t="s">
        <v>3803</v>
      </c>
      <c r="K857" s="4"/>
      <c r="L857" s="3"/>
    </row>
    <row r="858" spans="1:12" x14ac:dyDescent="0.45">
      <c r="A858" s="1">
        <v>873</v>
      </c>
      <c r="B858" s="1" t="str">
        <f>"07-"&amp;LEFT(RIGHTB(REPT(0,4)&amp;_xlfn.BASE(DB07_baselinesequence[[#This Row],[num]],36),4),2)&amp;"-"&amp;RIGHT(RIGHTB(REPT(0,4)&amp;_xlfn.BASE(DB07_baselinesequence[[#This Row],[num]],36),4),2)</f>
        <v>07-00-O9</v>
      </c>
      <c r="C858" s="1" t="s">
        <v>3784</v>
      </c>
      <c r="F858" s="1" t="s">
        <v>3793</v>
      </c>
      <c r="G858" s="1" t="str">
        <f>_xlfn.XLOOKUP(DB07_baselinesequence[[#This Row],[basesequence-ID]],DB06_baseline[ID],DB06_baseline[Baseline],"",0)</f>
        <v>CAATGCCATCCTGGAGTTCCTG</v>
      </c>
      <c r="H858" s="1">
        <f>_xlfn.XLOOKUP(DB07_baselinesequence[[#This Row],[basesequence-ID]],DB06_baseline[ID],DB06_baseline[確認済],FALSE,0)</f>
        <v>0</v>
      </c>
      <c r="J858" s="1" t="s">
        <v>3804</v>
      </c>
      <c r="K858" s="4"/>
      <c r="L858" s="3"/>
    </row>
    <row r="859" spans="1:12" x14ac:dyDescent="0.45">
      <c r="A859" s="1">
        <v>874</v>
      </c>
      <c r="B859" s="1" t="str">
        <f>"07-"&amp;LEFT(RIGHTB(REPT(0,4)&amp;_xlfn.BASE(DB07_baselinesequence[[#This Row],[num]],36),4),2)&amp;"-"&amp;RIGHT(RIGHTB(REPT(0,4)&amp;_xlfn.BASE(DB07_baselinesequence[[#This Row],[num]],36),4),2)</f>
        <v>07-00-OA</v>
      </c>
      <c r="C859" s="1" t="s">
        <v>3785</v>
      </c>
      <c r="F859" s="1" t="s">
        <v>3794</v>
      </c>
      <c r="G859" s="1" t="str">
        <f>_xlfn.XLOOKUP(DB07_baselinesequence[[#This Row],[basesequence-ID]],DB06_baseline[ID],DB06_baseline[Baseline],"",0)</f>
        <v>GGCCAAACCTCGGCTTACCTGAAAT</v>
      </c>
      <c r="H859" s="1">
        <f>_xlfn.XLOOKUP(DB07_baselinesequence[[#This Row],[basesequence-ID]],DB06_baseline[ID],DB06_baseline[確認済],FALSE,0)</f>
        <v>0</v>
      </c>
      <c r="J859" s="15" t="s">
        <v>3806</v>
      </c>
      <c r="K859" s="4"/>
      <c r="L859" s="3"/>
    </row>
    <row r="860" spans="1:12" x14ac:dyDescent="0.45">
      <c r="A860" s="1">
        <v>875</v>
      </c>
      <c r="B860" s="1" t="str">
        <f>"07-"&amp;LEFT(RIGHTB(REPT(0,4)&amp;_xlfn.BASE(DB07_baselinesequence[[#This Row],[num]],36),4),2)&amp;"-"&amp;RIGHT(RIGHTB(REPT(0,4)&amp;_xlfn.BASE(DB07_baselinesequence[[#This Row],[num]],36),4),2)</f>
        <v>07-00-OB</v>
      </c>
      <c r="C860" s="1" t="s">
        <v>3786</v>
      </c>
      <c r="F860" s="1" t="s">
        <v>3794</v>
      </c>
      <c r="G860" s="1" t="str">
        <f>_xlfn.XLOOKUP(DB07_baselinesequence[[#This Row],[basesequence-ID]],DB06_baseline[ID],DB06_baseline[Baseline],"",0)</f>
        <v>GGCCAAACCTCGGCTTACCTGAAAT</v>
      </c>
      <c r="H860" s="1">
        <f>_xlfn.XLOOKUP(DB07_baselinesequence[[#This Row],[basesequence-ID]],DB06_baseline[ID],DB06_baseline[確認済],FALSE,0)</f>
        <v>0</v>
      </c>
      <c r="J860" s="15" t="s">
        <v>3805</v>
      </c>
      <c r="K860" s="4"/>
      <c r="L860" s="3"/>
    </row>
    <row r="861" spans="1:12" x14ac:dyDescent="0.45">
      <c r="A861" s="1">
        <v>876</v>
      </c>
      <c r="B861" s="1" t="str">
        <f>"07-"&amp;LEFT(RIGHTB(REPT(0,4)&amp;_xlfn.BASE(DB07_baselinesequence[[#This Row],[num]],36),4),2)&amp;"-"&amp;RIGHT(RIGHTB(REPT(0,4)&amp;_xlfn.BASE(DB07_baselinesequence[[#This Row],[num]],36),4),2)</f>
        <v>07-00-OC</v>
      </c>
      <c r="C861" s="1" t="s">
        <v>3796</v>
      </c>
      <c r="F861" s="1" t="s">
        <v>3809</v>
      </c>
      <c r="G861" s="1" t="str">
        <f>_xlfn.XLOOKUP(DB07_baselinesequence[[#This Row],[basesequence-ID]],DB06_baseline[ID],DB06_baseline[Baseline],"",0)</f>
        <v>AGGATGGCAAAGAGAGTCGC</v>
      </c>
      <c r="H861" s="1">
        <f>_xlfn.XLOOKUP(DB07_baselinesequence[[#This Row],[basesequence-ID]],DB06_baseline[ID],DB06_baseline[確認済],FALSE,0)</f>
        <v>0</v>
      </c>
      <c r="J861" s="1" t="s">
        <v>3807</v>
      </c>
      <c r="K861" s="4"/>
      <c r="L861" s="3"/>
    </row>
    <row r="862" spans="1:12" x14ac:dyDescent="0.45">
      <c r="A862" s="1">
        <v>877</v>
      </c>
      <c r="B862" s="1" t="str">
        <f>"07-"&amp;LEFT(RIGHTB(REPT(0,4)&amp;_xlfn.BASE(DB07_baselinesequence[[#This Row],[num]],36),4),2)&amp;"-"&amp;RIGHT(RIGHTB(REPT(0,4)&amp;_xlfn.BASE(DB07_baselinesequence[[#This Row],[num]],36),4),2)</f>
        <v>07-00-OD</v>
      </c>
      <c r="C862" s="1" t="s">
        <v>3799</v>
      </c>
      <c r="F862" s="1" t="s">
        <v>3810</v>
      </c>
      <c r="G862" s="1" t="str">
        <f>_xlfn.XLOOKUP(DB07_baselinesequence[[#This Row],[basesequence-ID]],DB06_baseline[ID],DB06_baseline[Baseline],"",0)</f>
        <v>AAAGAGAGTCGCATCTCAGT</v>
      </c>
      <c r="H862" s="1">
        <f>_xlfn.XLOOKUP(DB07_baselinesequence[[#This Row],[basesequence-ID]],DB06_baseline[ID],DB06_baseline[確認済],FALSE,0)</f>
        <v>0</v>
      </c>
      <c r="J862" s="1" t="s">
        <v>3808</v>
      </c>
      <c r="K862" s="4"/>
      <c r="L862" s="3"/>
    </row>
    <row r="863" spans="1:12" x14ac:dyDescent="0.5">
      <c r="A863" s="1">
        <v>878</v>
      </c>
      <c r="B863" s="1" t="str">
        <f>"07-"&amp;LEFT(RIGHTB(REPT(0,4)&amp;_xlfn.BASE(DB07_baselinesequence[[#This Row],[num]],36),4),2)&amp;"-"&amp;RIGHT(RIGHTB(REPT(0,4)&amp;_xlfn.BASE(DB07_baselinesequence[[#This Row],[num]],36),4),2)</f>
        <v>07-00-OE</v>
      </c>
      <c r="C863" s="15" t="s">
        <v>3814</v>
      </c>
      <c r="F863" s="1" t="s">
        <v>82</v>
      </c>
      <c r="G863" s="1" t="str">
        <f>_xlfn.XLOOKUP(DB07_baselinesequence[[#This Row],[basesequence-ID]],DB06_baseline[ID],DB06_baseline[Baseline],"",0)</f>
        <v>GCATTCTAATAGCAGC</v>
      </c>
      <c r="H863" s="1" t="b">
        <f>_xlfn.XLOOKUP(DB07_baselinesequence[[#This Row],[basesequence-ID]],DB06_baseline[ID],DB06_baseline[確認済],FALSE,0)</f>
        <v>1</v>
      </c>
      <c r="J863" s="16" t="s">
        <v>3813</v>
      </c>
      <c r="K863" s="4"/>
      <c r="L863" s="3"/>
    </row>
    <row r="864" spans="1:12" x14ac:dyDescent="0.45">
      <c r="A864" s="1">
        <v>879</v>
      </c>
      <c r="B864" s="1" t="str">
        <f>"07-"&amp;LEFT(RIGHTB(REPT(0,4)&amp;_xlfn.BASE(DB07_baselinesequence[[#This Row],[num]],36),4),2)&amp;"-"&amp;RIGHT(RIGHTB(REPT(0,4)&amp;_xlfn.BASE(DB07_baselinesequence[[#This Row],[num]],36),4),2)</f>
        <v>07-00-OF</v>
      </c>
      <c r="C864" s="1" t="s">
        <v>3815</v>
      </c>
      <c r="F864" s="1" t="s">
        <v>82</v>
      </c>
      <c r="G864" s="1" t="str">
        <f>_xlfn.XLOOKUP(DB07_baselinesequence[[#This Row],[basesequence-ID]],DB06_baseline[ID],DB06_baseline[Baseline],"",0)</f>
        <v>GCATTCTAATAGCAGC</v>
      </c>
      <c r="H864" s="1" t="b">
        <f>_xlfn.XLOOKUP(DB07_baselinesequence[[#This Row],[basesequence-ID]],DB06_baseline[ID],DB06_baseline[確認済],FALSE,0)</f>
        <v>1</v>
      </c>
      <c r="J864" s="1" t="s">
        <v>3816</v>
      </c>
      <c r="K864" s="4"/>
      <c r="L864" s="3"/>
    </row>
    <row r="865" spans="1:12" x14ac:dyDescent="0.45">
      <c r="A865" s="1">
        <v>880</v>
      </c>
      <c r="B865" s="1" t="str">
        <f>"07-"&amp;LEFT(RIGHTB(REPT(0,4)&amp;_xlfn.BASE(DB07_baselinesequence[[#This Row],[num]],36),4),2)&amp;"-"&amp;RIGHT(RIGHTB(REPT(0,4)&amp;_xlfn.BASE(DB07_baselinesequence[[#This Row],[num]],36),4),2)</f>
        <v>07-00-OG</v>
      </c>
      <c r="C865" s="1" t="s">
        <v>3817</v>
      </c>
      <c r="F865" s="1" t="s">
        <v>82</v>
      </c>
      <c r="G865" s="1" t="str">
        <f>_xlfn.XLOOKUP(DB07_baselinesequence[[#This Row],[basesequence-ID]],DB06_baseline[ID],DB06_baseline[Baseline],"",0)</f>
        <v>GCATTCTAATAGCAGC</v>
      </c>
      <c r="H865" s="1" t="b">
        <f>_xlfn.XLOOKUP(DB07_baselinesequence[[#This Row],[basesequence-ID]],DB06_baseline[ID],DB06_baseline[確認済],FALSE,0)</f>
        <v>1</v>
      </c>
      <c r="J865" s="1" t="s">
        <v>3818</v>
      </c>
      <c r="K865" s="4"/>
      <c r="L865" s="3"/>
    </row>
    <row r="866" spans="1:12" x14ac:dyDescent="0.45">
      <c r="A866" s="1">
        <v>881</v>
      </c>
      <c r="B866" s="1" t="str">
        <f>"07-"&amp;LEFT(RIGHTB(REPT(0,4)&amp;_xlfn.BASE(DB07_baselinesequence[[#This Row],[num]],36),4),2)&amp;"-"&amp;RIGHT(RIGHTB(REPT(0,4)&amp;_xlfn.BASE(DB07_baselinesequence[[#This Row],[num]],36),4),2)</f>
        <v>07-00-OH</v>
      </c>
      <c r="C866" s="1" t="s">
        <v>3819</v>
      </c>
      <c r="F866" s="1" t="s">
        <v>82</v>
      </c>
      <c r="G866" s="1" t="str">
        <f>_xlfn.XLOOKUP(DB07_baselinesequence[[#This Row],[basesequence-ID]],DB06_baseline[ID],DB06_baseline[Baseline],"",0)</f>
        <v>GCATTCTAATAGCAGC</v>
      </c>
      <c r="H866" s="1" t="b">
        <f>_xlfn.XLOOKUP(DB07_baselinesequence[[#This Row],[basesequence-ID]],DB06_baseline[ID],DB06_baseline[確認済],FALSE,0)</f>
        <v>1</v>
      </c>
      <c r="J866" s="1" t="s">
        <v>3820</v>
      </c>
      <c r="K866" s="4"/>
      <c r="L866" s="3"/>
    </row>
    <row r="867" spans="1:12" x14ac:dyDescent="0.45">
      <c r="A867" s="1">
        <v>882</v>
      </c>
      <c r="B867" s="1" t="str">
        <f>"07-"&amp;LEFT(RIGHTB(REPT(0,4)&amp;_xlfn.BASE(DB07_baselinesequence[[#This Row],[num]],36),4),2)&amp;"-"&amp;RIGHT(RIGHTB(REPT(0,4)&amp;_xlfn.BASE(DB07_baselinesequence[[#This Row],[num]],36),4),2)</f>
        <v>07-00-OI</v>
      </c>
      <c r="C867" s="1" t="s">
        <v>3821</v>
      </c>
      <c r="F867" s="1" t="s">
        <v>82</v>
      </c>
      <c r="G867" s="1" t="str">
        <f>_xlfn.XLOOKUP(DB07_baselinesequence[[#This Row],[basesequence-ID]],DB06_baseline[ID],DB06_baseline[Baseline],"",0)</f>
        <v>GCATTCTAATAGCAGC</v>
      </c>
      <c r="H867" s="1" t="b">
        <f>_xlfn.XLOOKUP(DB07_baselinesequence[[#This Row],[basesequence-ID]],DB06_baseline[ID],DB06_baseline[確認済],FALSE,0)</f>
        <v>1</v>
      </c>
      <c r="J867" s="1" t="s">
        <v>3822</v>
      </c>
      <c r="K867" s="4"/>
      <c r="L867" s="3"/>
    </row>
    <row r="868" spans="1:12" x14ac:dyDescent="0.45">
      <c r="A868" s="1">
        <v>883</v>
      </c>
      <c r="B868" s="1" t="str">
        <f>"07-"&amp;LEFT(RIGHTB(REPT(0,4)&amp;_xlfn.BASE(DB07_baselinesequence[[#This Row],[num]],36),4),2)&amp;"-"&amp;RIGHT(RIGHTB(REPT(0,4)&amp;_xlfn.BASE(DB07_baselinesequence[[#This Row],[num]],36),4),2)</f>
        <v>07-00-OJ</v>
      </c>
      <c r="C868" s="1" t="s">
        <v>3823</v>
      </c>
      <c r="F868" s="1" t="s">
        <v>82</v>
      </c>
      <c r="G868" s="1" t="str">
        <f>_xlfn.XLOOKUP(DB07_baselinesequence[[#This Row],[basesequence-ID]],DB06_baseline[ID],DB06_baseline[Baseline],"",0)</f>
        <v>GCATTCTAATAGCAGC</v>
      </c>
      <c r="H868" s="1" t="b">
        <f>_xlfn.XLOOKUP(DB07_baselinesequence[[#This Row],[basesequence-ID]],DB06_baseline[ID],DB06_baseline[確認済],FALSE,0)</f>
        <v>1</v>
      </c>
      <c r="J868" s="1" t="s">
        <v>3824</v>
      </c>
      <c r="K868" s="4"/>
      <c r="L868" s="3"/>
    </row>
    <row r="869" spans="1:12" x14ac:dyDescent="0.45">
      <c r="A869" s="1">
        <v>884</v>
      </c>
      <c r="B869" s="1" t="str">
        <f>"07-"&amp;LEFT(RIGHTB(REPT(0,4)&amp;_xlfn.BASE(DB07_baselinesequence[[#This Row],[num]],36),4),2)&amp;"-"&amp;RIGHT(RIGHTB(REPT(0,4)&amp;_xlfn.BASE(DB07_baselinesequence[[#This Row],[num]],36),4),2)</f>
        <v>07-00-OK</v>
      </c>
      <c r="C869" s="1" t="s">
        <v>3825</v>
      </c>
      <c r="F869" s="1" t="s">
        <v>82</v>
      </c>
      <c r="G869" s="1" t="str">
        <f>_xlfn.XLOOKUP(DB07_baselinesequence[[#This Row],[basesequence-ID]],DB06_baseline[ID],DB06_baseline[Baseline],"",0)</f>
        <v>GCATTCTAATAGCAGC</v>
      </c>
      <c r="H869" s="1" t="b">
        <f>_xlfn.XLOOKUP(DB07_baselinesequence[[#This Row],[basesequence-ID]],DB06_baseline[ID],DB06_baseline[確認済],FALSE,0)</f>
        <v>1</v>
      </c>
      <c r="J869" s="1" t="s">
        <v>3834</v>
      </c>
      <c r="K869" s="4"/>
      <c r="L869" s="3"/>
    </row>
    <row r="870" spans="1:12" x14ac:dyDescent="0.45">
      <c r="A870" s="1">
        <v>885</v>
      </c>
      <c r="B870" s="1" t="str">
        <f>"07-"&amp;LEFT(RIGHTB(REPT(0,4)&amp;_xlfn.BASE(DB07_baselinesequence[[#This Row],[num]],36),4),2)&amp;"-"&amp;RIGHT(RIGHTB(REPT(0,4)&amp;_xlfn.BASE(DB07_baselinesequence[[#This Row],[num]],36),4),2)</f>
        <v>07-00-OL</v>
      </c>
      <c r="C870" s="1" t="s">
        <v>3826</v>
      </c>
      <c r="F870" s="1" t="s">
        <v>423</v>
      </c>
      <c r="G870" s="1" t="str">
        <f>_xlfn.XLOOKUP(DB07_baselinesequence[[#This Row],[basesequence-ID]],DB06_baseline[ID],DB06_baseline[Baseline],"",0)</f>
        <v>GCTGCTATTAGAATGC</v>
      </c>
      <c r="H870" s="1">
        <f>_xlfn.XLOOKUP(DB07_baselinesequence[[#This Row],[basesequence-ID]],DB06_baseline[ID],DB06_baseline[確認済],FALSE,0)</f>
        <v>0</v>
      </c>
      <c r="J870" s="1" t="s">
        <v>3827</v>
      </c>
      <c r="K870" s="4"/>
      <c r="L870" s="3"/>
    </row>
    <row r="871" spans="1:12" x14ac:dyDescent="0.45">
      <c r="A871" s="1">
        <v>886</v>
      </c>
      <c r="B871" s="1" t="str">
        <f>"07-"&amp;LEFT(RIGHTB(REPT(0,4)&amp;_xlfn.BASE(DB07_baselinesequence[[#This Row],[num]],36),4),2)&amp;"-"&amp;RIGHT(RIGHTB(REPT(0,4)&amp;_xlfn.BASE(DB07_baselinesequence[[#This Row],[num]],36),4),2)</f>
        <v>07-00-OM</v>
      </c>
      <c r="C871" s="1" t="s">
        <v>3828</v>
      </c>
      <c r="F871" s="1" t="s">
        <v>423</v>
      </c>
      <c r="G871" s="1" t="str">
        <f>_xlfn.XLOOKUP(DB07_baselinesequence[[#This Row],[basesequence-ID]],DB06_baseline[ID],DB06_baseline[Baseline],"",0)</f>
        <v>GCTGCTATTAGAATGC</v>
      </c>
      <c r="H871" s="1">
        <f>_xlfn.XLOOKUP(DB07_baselinesequence[[#This Row],[basesequence-ID]],DB06_baseline[ID],DB06_baseline[確認済],FALSE,0)</f>
        <v>0</v>
      </c>
      <c r="J871" s="1" t="s">
        <v>3829</v>
      </c>
      <c r="K871" s="4"/>
      <c r="L871" s="3"/>
    </row>
    <row r="872" spans="1:12" x14ac:dyDescent="0.45">
      <c r="A872" s="1">
        <v>887</v>
      </c>
      <c r="B872" s="1" t="str">
        <f>"07-"&amp;LEFT(RIGHTB(REPT(0,4)&amp;_xlfn.BASE(DB07_baselinesequence[[#This Row],[num]],36),4),2)&amp;"-"&amp;RIGHT(RIGHTB(REPT(0,4)&amp;_xlfn.BASE(DB07_baselinesequence[[#This Row],[num]],36),4),2)</f>
        <v>07-00-ON</v>
      </c>
      <c r="C872" s="1" t="s">
        <v>3830</v>
      </c>
      <c r="F872" s="1" t="s">
        <v>423</v>
      </c>
      <c r="G872" s="1" t="str">
        <f>_xlfn.XLOOKUP(DB07_baselinesequence[[#This Row],[basesequence-ID]],DB06_baseline[ID],DB06_baseline[Baseline],"",0)</f>
        <v>GCTGCTATTAGAATGC</v>
      </c>
      <c r="H872" s="1">
        <f>_xlfn.XLOOKUP(DB07_baselinesequence[[#This Row],[basesequence-ID]],DB06_baseline[ID],DB06_baseline[確認済],FALSE,0)</f>
        <v>0</v>
      </c>
      <c r="J872" s="1" t="s">
        <v>3831</v>
      </c>
      <c r="K872" s="4"/>
      <c r="L872" s="3"/>
    </row>
    <row r="873" spans="1:12" x14ac:dyDescent="0.45">
      <c r="A873" s="1">
        <v>888</v>
      </c>
      <c r="B873" s="1" t="str">
        <f>"07-"&amp;LEFT(RIGHTB(REPT(0,4)&amp;_xlfn.BASE(DB07_baselinesequence[[#This Row],[num]],36),4),2)&amp;"-"&amp;RIGHT(RIGHTB(REPT(0,4)&amp;_xlfn.BASE(DB07_baselinesequence[[#This Row],[num]],36),4),2)</f>
        <v>07-00-OO</v>
      </c>
      <c r="C873" s="1" t="s">
        <v>3832</v>
      </c>
      <c r="F873" s="1" t="s">
        <v>423</v>
      </c>
      <c r="G873" s="1" t="str">
        <f>_xlfn.XLOOKUP(DB07_baselinesequence[[#This Row],[basesequence-ID]],DB06_baseline[ID],DB06_baseline[Baseline],"",0)</f>
        <v>GCTGCTATTAGAATGC</v>
      </c>
      <c r="H873" s="1">
        <f>_xlfn.XLOOKUP(DB07_baselinesequence[[#This Row],[basesequence-ID]],DB06_baseline[ID],DB06_baseline[確認済],FALSE,0)</f>
        <v>0</v>
      </c>
      <c r="J873" s="1" t="s">
        <v>3833</v>
      </c>
      <c r="K873" s="4"/>
      <c r="L873" s="3"/>
    </row>
    <row r="874" spans="1:12" ht="18" x14ac:dyDescent="0.45">
      <c r="A874" s="1">
        <v>889</v>
      </c>
      <c r="B874" s="1" t="str">
        <f>"07-"&amp;LEFT(RIGHTB(REPT(0,4)&amp;_xlfn.BASE(DB07_baselinesequence[[#This Row],[num]],36),4),2)&amp;"-"&amp;RIGHT(RIGHTB(REPT(0,4)&amp;_xlfn.BASE(DB07_baselinesequence[[#This Row],[num]],36),4),2)</f>
        <v>07-00-OP</v>
      </c>
      <c r="C874" s="12" t="s">
        <v>3836</v>
      </c>
      <c r="F874" s="1" t="s">
        <v>3835</v>
      </c>
      <c r="G874" s="1" t="str">
        <f>_xlfn.XLOOKUP(DB07_baselinesequence[[#This Row],[basesequence-ID]],DB06_baseline[ID],DB06_baseline[Baseline],"",0)</f>
        <v>GATGGCAAAGAGAGTCGCAT</v>
      </c>
      <c r="H874" s="1">
        <f>_xlfn.XLOOKUP(DB07_baselinesequence[[#This Row],[basesequence-ID]],DB06_baseline[ID],DB06_baseline[確認済],FALSE,0)</f>
        <v>0</v>
      </c>
      <c r="J874" s="17" t="s">
        <v>3853</v>
      </c>
      <c r="K874" s="4"/>
      <c r="L874" s="3"/>
    </row>
    <row r="875" spans="1:12" ht="18" x14ac:dyDescent="0.45">
      <c r="A875" s="1">
        <v>890</v>
      </c>
      <c r="B875" s="1" t="str">
        <f>"07-"&amp;LEFT(RIGHTB(REPT(0,4)&amp;_xlfn.BASE(DB07_baselinesequence[[#This Row],[num]],36),4),2)&amp;"-"&amp;RIGHT(RIGHTB(REPT(0,4)&amp;_xlfn.BASE(DB07_baselinesequence[[#This Row],[num]],36),4),2)</f>
        <v>07-00-OQ</v>
      </c>
      <c r="C875" s="12" t="s">
        <v>3839</v>
      </c>
      <c r="F875" s="1" t="s">
        <v>3838</v>
      </c>
      <c r="G875" s="1" t="str">
        <f>_xlfn.XLOOKUP(DB07_baselinesequence[[#This Row],[basesequence-ID]],DB06_baseline[ID],DB06_baseline[Baseline],"",0)</f>
        <v>GGCAAAGAGAGTCGCATCTC</v>
      </c>
      <c r="H875" s="1">
        <f>_xlfn.XLOOKUP(DB07_baselinesequence[[#This Row],[basesequence-ID]],DB06_baseline[ID],DB06_baseline[確認済],FALSE,0)</f>
        <v>0</v>
      </c>
      <c r="J875" s="17" t="s">
        <v>3854</v>
      </c>
      <c r="K875" s="4"/>
      <c r="L875" s="3"/>
    </row>
    <row r="876" spans="1:12" ht="18" x14ac:dyDescent="0.45">
      <c r="A876" s="1">
        <v>891</v>
      </c>
      <c r="B876" s="1" t="str">
        <f>"07-"&amp;LEFT(RIGHTB(REPT(0,4)&amp;_xlfn.BASE(DB07_baselinesequence[[#This Row],[num]],36),4),2)&amp;"-"&amp;RIGHT(RIGHTB(REPT(0,4)&amp;_xlfn.BASE(DB07_baselinesequence[[#This Row],[num]],36),4),2)</f>
        <v>07-00-OR</v>
      </c>
      <c r="C876" s="12" t="s">
        <v>3842</v>
      </c>
      <c r="F876" s="1" t="s">
        <v>3841</v>
      </c>
      <c r="G876" s="1" t="str">
        <f>_xlfn.XLOOKUP(DB07_baselinesequence[[#This Row],[basesequence-ID]],DB06_baseline[ID],DB06_baseline[Baseline],"",0)</f>
        <v>GCAAAGAGAGTCGCATCTCA</v>
      </c>
      <c r="H876" s="1">
        <f>_xlfn.XLOOKUP(DB07_baselinesequence[[#This Row],[basesequence-ID]],DB06_baseline[ID],DB06_baseline[確認済],FALSE,0)</f>
        <v>0</v>
      </c>
      <c r="J876" s="17" t="s">
        <v>3855</v>
      </c>
      <c r="K876" s="4"/>
      <c r="L876" s="3"/>
    </row>
    <row r="877" spans="1:12" ht="18" x14ac:dyDescent="0.45">
      <c r="A877" s="1">
        <v>892</v>
      </c>
      <c r="B877" s="1" t="str">
        <f>"07-"&amp;LEFT(RIGHTB(REPT(0,4)&amp;_xlfn.BASE(DB07_baselinesequence[[#This Row],[num]],36),4),2)&amp;"-"&amp;RIGHT(RIGHTB(REPT(0,4)&amp;_xlfn.BASE(DB07_baselinesequence[[#This Row],[num]],36),4),2)</f>
        <v>07-00-OS</v>
      </c>
      <c r="C877" s="12" t="s">
        <v>3845</v>
      </c>
      <c r="F877" s="1" t="s">
        <v>3844</v>
      </c>
      <c r="G877" s="1" t="str">
        <f>_xlfn.XLOOKUP(DB07_baselinesequence[[#This Row],[basesequence-ID]],DB06_baseline[ID],DB06_baseline[Baseline],"",0)</f>
        <v>AGAGAGTCGCATCTCAGTGC</v>
      </c>
      <c r="H877" s="1">
        <f>_xlfn.XLOOKUP(DB07_baselinesequence[[#This Row],[basesequence-ID]],DB06_baseline[ID],DB06_baseline[確認済],FALSE,0)</f>
        <v>0</v>
      </c>
      <c r="J877" s="17" t="s">
        <v>3856</v>
      </c>
      <c r="K877" s="4"/>
      <c r="L877" s="3"/>
    </row>
    <row r="878" spans="1:12" ht="18" x14ac:dyDescent="0.45">
      <c r="A878" s="1">
        <v>893</v>
      </c>
      <c r="B878" s="1" t="str">
        <f>"07-"&amp;LEFT(RIGHTB(REPT(0,4)&amp;_xlfn.BASE(DB07_baselinesequence[[#This Row],[num]],36),4),2)&amp;"-"&amp;RIGHT(RIGHTB(REPT(0,4)&amp;_xlfn.BASE(DB07_baselinesequence[[#This Row],[num]],36),4),2)</f>
        <v>07-00-OT</v>
      </c>
      <c r="C878" s="12" t="s">
        <v>3848</v>
      </c>
      <c r="F878" s="1" t="s">
        <v>3847</v>
      </c>
      <c r="G878" s="1" t="str">
        <f>_xlfn.XLOOKUP(DB07_baselinesequence[[#This Row],[basesequence-ID]],DB06_baseline[ID],DB06_baseline[Baseline],"",0)</f>
        <v>GAGAGTCGCATCTCAGTGCA</v>
      </c>
      <c r="H878" s="1">
        <f>_xlfn.XLOOKUP(DB07_baselinesequence[[#This Row],[basesequence-ID]],DB06_baseline[ID],DB06_baseline[確認済],FALSE,0)</f>
        <v>0</v>
      </c>
      <c r="J878" s="17" t="s">
        <v>3857</v>
      </c>
      <c r="K878" s="4"/>
      <c r="L878" s="3"/>
    </row>
    <row r="879" spans="1:12" ht="18" x14ac:dyDescent="0.45">
      <c r="A879" s="1">
        <v>894</v>
      </c>
      <c r="B879" s="1" t="str">
        <f>"07-"&amp;LEFT(RIGHTB(REPT(0,4)&amp;_xlfn.BASE(DB07_baselinesequence[[#This Row],[num]],36),4),2)&amp;"-"&amp;RIGHT(RIGHTB(REPT(0,4)&amp;_xlfn.BASE(DB07_baselinesequence[[#This Row],[num]],36),4),2)</f>
        <v>07-00-OU</v>
      </c>
      <c r="C879" s="12" t="s">
        <v>3851</v>
      </c>
      <c r="F879" s="1" t="s">
        <v>3850</v>
      </c>
      <c r="G879" s="1" t="str">
        <f>_xlfn.XLOOKUP(DB07_baselinesequence[[#This Row],[basesequence-ID]],DB06_baseline[ID],DB06_baseline[Baseline],"",0)</f>
        <v>AGAGTCGCATCTCAGTGCAG</v>
      </c>
      <c r="H879" s="1">
        <f>_xlfn.XLOOKUP(DB07_baselinesequence[[#This Row],[basesequence-ID]],DB06_baseline[ID],DB06_baseline[確認済],FALSE,0)</f>
        <v>0</v>
      </c>
      <c r="J879" s="17" t="s">
        <v>3858</v>
      </c>
      <c r="K879" s="4"/>
      <c r="L879" s="3"/>
    </row>
    <row r="880" spans="1:12" x14ac:dyDescent="0.45">
      <c r="A880" s="1">
        <v>895</v>
      </c>
      <c r="B880" s="1" t="str">
        <f>"07-"&amp;LEFT(RIGHTB(REPT(0,4)&amp;_xlfn.BASE(DB07_baselinesequence[[#This Row],[num]],36),4),2)&amp;"-"&amp;RIGHT(RIGHTB(REPT(0,4)&amp;_xlfn.BASE(DB07_baselinesequence[[#This Row],[num]],36),4),2)</f>
        <v>07-00-OV</v>
      </c>
      <c r="C880" s="1" t="s">
        <v>3859</v>
      </c>
      <c r="F880" s="1" t="s">
        <v>3041</v>
      </c>
      <c r="G880" s="1" t="str">
        <f>_xlfn.XLOOKUP(DB07_baselinesequence[[#This Row],[basesequence-ID]],DB06_baseline[ID],DB06_baseline[Baseline],"",0)</f>
        <v>GCACACTTCCAATACTTACC</v>
      </c>
      <c r="H880" s="1">
        <f>_xlfn.XLOOKUP(DB07_baselinesequence[[#This Row],[basesequence-ID]],DB06_baseline[ID],DB06_baseline[確認済],FALSE,0)</f>
        <v>0</v>
      </c>
      <c r="J880" s="1" t="s">
        <v>3860</v>
      </c>
      <c r="K880" s="4"/>
      <c r="L880" s="3"/>
    </row>
    <row r="881" spans="1:12" x14ac:dyDescent="0.45">
      <c r="A881" s="1">
        <v>896</v>
      </c>
      <c r="B881" s="1" t="str">
        <f>"07-"&amp;LEFT(RIGHTB(REPT(0,4)&amp;_xlfn.BASE(DB07_baselinesequence[[#This Row],[num]],36),4),2)&amp;"-"&amp;RIGHT(RIGHTB(REPT(0,4)&amp;_xlfn.BASE(DB07_baselinesequence[[#This Row],[num]],36),4),2)</f>
        <v>07-00-OW</v>
      </c>
      <c r="C881" s="15" t="s">
        <v>3861</v>
      </c>
      <c r="F881" s="1" t="s">
        <v>3862</v>
      </c>
      <c r="G881" s="1" t="str">
        <f>_xlfn.XLOOKUP(DB07_baselinesequence[[#This Row],[basesequence-ID]],DB06_baseline[ID],DB06_baseline[Baseline],"",0)</f>
        <v>GGTAAGTATTGGAAGTGTGC</v>
      </c>
      <c r="H881" s="1">
        <f>_xlfn.XLOOKUP(DB07_baselinesequence[[#This Row],[basesequence-ID]],DB06_baseline[ID],DB06_baseline[確認済],FALSE,0)</f>
        <v>0</v>
      </c>
      <c r="J881" s="15" t="s">
        <v>3863</v>
      </c>
      <c r="K881" s="4"/>
      <c r="L881" s="3"/>
    </row>
    <row r="882" spans="1:12" x14ac:dyDescent="0.45">
      <c r="A882" s="1">
        <v>897</v>
      </c>
      <c r="B882" s="1" t="str">
        <f>"07-"&amp;LEFT(RIGHTB(REPT(0,4)&amp;_xlfn.BASE(DB07_baselinesequence[[#This Row],[num]],36),4),2)&amp;"-"&amp;RIGHT(RIGHTB(REPT(0,4)&amp;_xlfn.BASE(DB07_baselinesequence[[#This Row],[num]],36),4),2)</f>
        <v>07-00-OX</v>
      </c>
      <c r="C882" s="15" t="s">
        <v>3869</v>
      </c>
      <c r="F882" s="1" t="s">
        <v>3043</v>
      </c>
      <c r="G882" s="1" t="str">
        <f>_xlfn.XLOOKUP(DB07_baselinesequence[[#This Row],[basesequence-ID]],DB06_baseline[ID],DB06_baseline[Baseline],"",0)</f>
        <v>GGTAAGTATTGGAAGTGTGC</v>
      </c>
      <c r="H882" s="1">
        <f>_xlfn.XLOOKUP(DB07_baselinesequence[[#This Row],[basesequence-ID]],DB06_baseline[ID],DB06_baseline[確認済],FALSE,0)</f>
        <v>0</v>
      </c>
      <c r="J882" s="1" t="s">
        <v>3873</v>
      </c>
      <c r="K882" s="4"/>
      <c r="L882" s="3"/>
    </row>
    <row r="883" spans="1:12" x14ac:dyDescent="0.45">
      <c r="A883" s="1">
        <v>898</v>
      </c>
      <c r="B883" s="1" t="str">
        <f>"07-"&amp;LEFT(RIGHTB(REPT(0,4)&amp;_xlfn.BASE(DB07_baselinesequence[[#This Row],[num]],36),4),2)&amp;"-"&amp;RIGHT(RIGHTB(REPT(0,4)&amp;_xlfn.BASE(DB07_baselinesequence[[#This Row],[num]],36),4),2)</f>
        <v>07-00-OY</v>
      </c>
      <c r="C883" s="15" t="s">
        <v>3870</v>
      </c>
      <c r="F883" s="1" t="s">
        <v>3043</v>
      </c>
      <c r="G883" s="1" t="str">
        <f>_xlfn.XLOOKUP(DB07_baselinesequence[[#This Row],[basesequence-ID]],DB06_baseline[ID],DB06_baseline[Baseline],"",0)</f>
        <v>GGTAAGTATTGGAAGTGTGC</v>
      </c>
      <c r="H883" s="1">
        <f>_xlfn.XLOOKUP(DB07_baselinesequence[[#This Row],[basesequence-ID]],DB06_baseline[ID],DB06_baseline[確認済],FALSE,0)</f>
        <v>0</v>
      </c>
      <c r="J883" s="1" t="s">
        <v>3874</v>
      </c>
      <c r="K883" s="4"/>
      <c r="L883" s="3"/>
    </row>
    <row r="884" spans="1:12" x14ac:dyDescent="0.45">
      <c r="A884" s="1">
        <v>899</v>
      </c>
      <c r="B884" s="1" t="str">
        <f>"07-"&amp;LEFT(RIGHTB(REPT(0,4)&amp;_xlfn.BASE(DB07_baselinesequence[[#This Row],[num]],36),4),2)&amp;"-"&amp;RIGHT(RIGHTB(REPT(0,4)&amp;_xlfn.BASE(DB07_baselinesequence[[#This Row],[num]],36),4),2)</f>
        <v>07-00-OZ</v>
      </c>
      <c r="C884" s="15" t="s">
        <v>3871</v>
      </c>
      <c r="F884" s="1" t="s">
        <v>3864</v>
      </c>
      <c r="G884" s="1" t="str">
        <f>_xlfn.XLOOKUP(DB07_baselinesequence[[#This Row],[basesequence-ID]],DB06_baseline[ID],DB06_baseline[Baseline],"",0)</f>
        <v>GGTAAGTATT</v>
      </c>
      <c r="H884" s="1">
        <f>_xlfn.XLOOKUP(DB07_baselinesequence[[#This Row],[basesequence-ID]],DB06_baseline[ID],DB06_baseline[確認済],FALSE,0)</f>
        <v>0</v>
      </c>
      <c r="J884" s="1" t="s">
        <v>3876</v>
      </c>
      <c r="K884" s="4"/>
      <c r="L884" s="3"/>
    </row>
    <row r="885" spans="1:12" x14ac:dyDescent="0.45">
      <c r="A885" s="1">
        <v>900</v>
      </c>
      <c r="B885" s="1" t="str">
        <f>"07-"&amp;LEFT(RIGHTB(REPT(0,4)&amp;_xlfn.BASE(DB07_baselinesequence[[#This Row],[num]],36),4),2)&amp;"-"&amp;RIGHT(RIGHTB(REPT(0,4)&amp;_xlfn.BASE(DB07_baselinesequence[[#This Row],[num]],36),4),2)</f>
        <v>07-00-P0</v>
      </c>
      <c r="C885" s="15" t="s">
        <v>3872</v>
      </c>
      <c r="F885" s="1" t="s">
        <v>3866</v>
      </c>
      <c r="G885" s="1" t="str">
        <f>_xlfn.XLOOKUP(DB07_baselinesequence[[#This Row],[basesequence-ID]],DB06_baseline[ID],DB06_baseline[Baseline],"",0)</f>
        <v>GGTAAGTATTGGAAGTGTGCCTAGGTCATG</v>
      </c>
      <c r="H885" s="1">
        <f>_xlfn.XLOOKUP(DB07_baselinesequence[[#This Row],[basesequence-ID]],DB06_baseline[ID],DB06_baseline[確認済],FALSE,0)</f>
        <v>0</v>
      </c>
      <c r="J885" s="1" t="s">
        <v>3875</v>
      </c>
      <c r="K885" s="4"/>
      <c r="L885" s="3"/>
    </row>
    <row r="886" spans="1:12" x14ac:dyDescent="0.45">
      <c r="A886" s="1">
        <v>901</v>
      </c>
      <c r="B886" s="1" t="str">
        <f>"07-"&amp;LEFT(RIGHTB(REPT(0,4)&amp;_xlfn.BASE(DB07_baselinesequence[[#This Row],[num]],36),4),2)&amp;"-"&amp;RIGHT(RIGHTB(REPT(0,4)&amp;_xlfn.BASE(DB07_baselinesequence[[#This Row],[num]],36),4),2)</f>
        <v>07-00-P1</v>
      </c>
      <c r="C886" s="1" t="s">
        <v>3948</v>
      </c>
      <c r="D886" s="1">
        <v>395251</v>
      </c>
      <c r="F886" s="1" t="s">
        <v>3893</v>
      </c>
      <c r="G886" s="1" t="str">
        <f>_xlfn.XLOOKUP(DB07_baselinesequence[[#This Row],[basesequence-ID]],DB06_baseline[ID],DB06_baseline[Baseline],"",0)</f>
        <v>CTGAGTCATAACCAGCCTGG</v>
      </c>
      <c r="H886" s="1">
        <f>_xlfn.XLOOKUP(DB07_baselinesequence[[#This Row],[basesequence-ID]],DB06_baseline[ID],DB06_baseline[確認済],FALSE,0)</f>
        <v>0</v>
      </c>
      <c r="J886" s="1" t="s">
        <v>3878</v>
      </c>
      <c r="K886" s="4"/>
      <c r="L886" s="3"/>
    </row>
    <row r="887" spans="1:12" x14ac:dyDescent="0.45">
      <c r="A887" s="1">
        <v>902</v>
      </c>
      <c r="B887" s="1" t="str">
        <f>"07-"&amp;LEFT(RIGHTB(REPT(0,4)&amp;_xlfn.BASE(DB07_baselinesequence[[#This Row],[num]],36),4),2)&amp;"-"&amp;RIGHT(RIGHTB(REPT(0,4)&amp;_xlfn.BASE(DB07_baselinesequence[[#This Row],[num]],36),4),2)</f>
        <v>07-00-P2</v>
      </c>
      <c r="C887" s="1" t="s">
        <v>3949</v>
      </c>
      <c r="D887" s="1">
        <v>395251</v>
      </c>
      <c r="F887" s="1" t="s">
        <v>3879</v>
      </c>
      <c r="G887" s="1" t="str">
        <f>_xlfn.XLOOKUP(DB07_baselinesequence[[#This Row],[basesequence-ID]],DB06_baseline[ID],DB06_baseline[Baseline],"",0)</f>
        <v>ACCAGCCTGG</v>
      </c>
      <c r="H887" s="1">
        <f>_xlfn.XLOOKUP(DB07_baselinesequence[[#This Row],[basesequence-ID]],DB06_baseline[ID],DB06_baseline[確認済],FALSE,0)</f>
        <v>0</v>
      </c>
      <c r="J887" s="1" t="s">
        <v>3881</v>
      </c>
      <c r="K887" s="4"/>
      <c r="L887" s="3"/>
    </row>
    <row r="888" spans="1:12" x14ac:dyDescent="0.45">
      <c r="A888" s="1">
        <v>903</v>
      </c>
      <c r="B888" s="1" t="str">
        <f>"07-"&amp;LEFT(RIGHTB(REPT(0,4)&amp;_xlfn.BASE(DB07_baselinesequence[[#This Row],[num]],36),4),2)&amp;"-"&amp;RIGHT(RIGHTB(REPT(0,4)&amp;_xlfn.BASE(DB07_baselinesequence[[#This Row],[num]],36),4),2)</f>
        <v>07-00-P3</v>
      </c>
      <c r="C888" s="1" t="s">
        <v>3950</v>
      </c>
      <c r="D888" s="1">
        <v>395251</v>
      </c>
      <c r="F888" s="1" t="s">
        <v>3882</v>
      </c>
      <c r="G888" s="1" t="str">
        <f>_xlfn.XLOOKUP(DB07_baselinesequence[[#This Row],[basesequence-ID]],DB06_baseline[ID],DB06_baseline[Baseline],"",0)</f>
        <v>CTAGGTCATGCTGAGTCATAACCAGCCTGG</v>
      </c>
      <c r="H888" s="1">
        <f>_xlfn.XLOOKUP(DB07_baselinesequence[[#This Row],[basesequence-ID]],DB06_baseline[ID],DB06_baseline[確認済],FALSE,0)</f>
        <v>0</v>
      </c>
      <c r="J888" s="1" t="s">
        <v>3884</v>
      </c>
      <c r="K888" s="4"/>
      <c r="L888" s="3"/>
    </row>
    <row r="889" spans="1:12" x14ac:dyDescent="0.45">
      <c r="A889" s="1">
        <v>904</v>
      </c>
      <c r="B889" s="1" t="str">
        <f>"07-"&amp;LEFT(RIGHTB(REPT(0,4)&amp;_xlfn.BASE(DB07_baselinesequence[[#This Row],[num]],36),4),2)&amp;"-"&amp;RIGHT(RIGHTB(REPT(0,4)&amp;_xlfn.BASE(DB07_baselinesequence[[#This Row],[num]],36),4),2)</f>
        <v>07-00-P4</v>
      </c>
      <c r="C889" s="1" t="s">
        <v>3885</v>
      </c>
      <c r="F889" s="1" t="s">
        <v>3892</v>
      </c>
      <c r="G889" s="1" t="str">
        <f>_xlfn.XLOOKUP(DB07_baselinesequence[[#This Row],[basesequence-ID]],DB06_baseline[ID],DB06_baseline[Baseline],"",0)</f>
        <v>AAAACCACAGGCGAGTTCTAC</v>
      </c>
      <c r="H889" s="1">
        <f>_xlfn.XLOOKUP(DB07_baselinesequence[[#This Row],[basesequence-ID]],DB06_baseline[ID],DB06_baseline[確認済],FALSE,0)</f>
        <v>0</v>
      </c>
      <c r="J889" s="1" t="s">
        <v>3886</v>
      </c>
      <c r="K889" s="4"/>
      <c r="L889" s="3"/>
    </row>
    <row r="890" spans="1:12" x14ac:dyDescent="0.45">
      <c r="A890" s="1">
        <v>905</v>
      </c>
      <c r="B890" s="1" t="str">
        <f>"07-"&amp;LEFT(RIGHTB(REPT(0,4)&amp;_xlfn.BASE(DB07_baselinesequence[[#This Row],[num]],36),4),2)&amp;"-"&amp;RIGHT(RIGHTB(REPT(0,4)&amp;_xlfn.BASE(DB07_baselinesequence[[#This Row],[num]],36),4),2)</f>
        <v>07-00-P5</v>
      </c>
      <c r="C890" s="1" t="s">
        <v>3888</v>
      </c>
      <c r="F890" s="1" t="s">
        <v>3041</v>
      </c>
      <c r="G890" s="1" t="str">
        <f>_xlfn.XLOOKUP(DB07_baselinesequence[[#This Row],[basesequence-ID]],DB06_baseline[ID],DB06_baseline[Baseline],"",0)</f>
        <v>GCACACTTCCAATACTTACC</v>
      </c>
      <c r="H890" s="1">
        <f>_xlfn.XLOOKUP(DB07_baselinesequence[[#This Row],[basesequence-ID]],DB06_baseline[ID],DB06_baseline[確認済],FALSE,0)</f>
        <v>0</v>
      </c>
      <c r="J890" s="1" t="s">
        <v>3887</v>
      </c>
      <c r="K890" s="4"/>
      <c r="L890" s="3"/>
    </row>
    <row r="891" spans="1:12" x14ac:dyDescent="0.45">
      <c r="A891" s="1">
        <v>906</v>
      </c>
      <c r="B891" s="1" t="str">
        <f>"07-"&amp;LEFT(RIGHTB(REPT(0,4)&amp;_xlfn.BASE(DB07_baselinesequence[[#This Row],[num]],36),4),2)&amp;"-"&amp;RIGHT(RIGHTB(REPT(0,4)&amp;_xlfn.BASE(DB07_baselinesequence[[#This Row],[num]],36),4),2)</f>
        <v>07-00-P6</v>
      </c>
      <c r="C891" s="1" t="s">
        <v>3894</v>
      </c>
      <c r="F891" s="1" t="s">
        <v>3793</v>
      </c>
      <c r="G891" s="1" t="str">
        <f>_xlfn.XLOOKUP(DB07_baselinesequence[[#This Row],[basesequence-ID]],DB06_baseline[ID],DB06_baseline[Baseline],"",0)</f>
        <v>CAATGCCATCCTGGAGTTCCTG</v>
      </c>
      <c r="H891" s="1">
        <f>_xlfn.XLOOKUP(DB07_baselinesequence[[#This Row],[basesequence-ID]],DB06_baseline[ID],DB06_baseline[確認済],FALSE,0)</f>
        <v>0</v>
      </c>
      <c r="J891" s="1" t="s">
        <v>3898</v>
      </c>
      <c r="K891" s="4"/>
      <c r="L891" s="3"/>
    </row>
    <row r="892" spans="1:12" x14ac:dyDescent="0.45">
      <c r="A892" s="1">
        <v>907</v>
      </c>
      <c r="B892" s="1" t="str">
        <f>"07-"&amp;LEFT(RIGHTB(REPT(0,4)&amp;_xlfn.BASE(DB07_baselinesequence[[#This Row],[num]],36),4),2)&amp;"-"&amp;RIGHT(RIGHTB(REPT(0,4)&amp;_xlfn.BASE(DB07_baselinesequence[[#This Row],[num]],36),4),2)</f>
        <v>07-00-P7</v>
      </c>
      <c r="C892" s="1" t="s">
        <v>3895</v>
      </c>
      <c r="F892" s="1" t="s">
        <v>3793</v>
      </c>
      <c r="G892" s="1" t="str">
        <f>_xlfn.XLOOKUP(DB07_baselinesequence[[#This Row],[basesequence-ID]],DB06_baseline[ID],DB06_baseline[Baseline],"",0)</f>
        <v>CAATGCCATCCTGGAGTTCCTG</v>
      </c>
      <c r="H892" s="1">
        <f>_xlfn.XLOOKUP(DB07_baselinesequence[[#This Row],[basesequence-ID]],DB06_baseline[ID],DB06_baseline[確認済],FALSE,0)</f>
        <v>0</v>
      </c>
      <c r="J892" s="1" t="s">
        <v>3899</v>
      </c>
      <c r="K892" s="4"/>
      <c r="L892" s="3"/>
    </row>
    <row r="893" spans="1:12" x14ac:dyDescent="0.45">
      <c r="A893" s="1">
        <v>908</v>
      </c>
      <c r="B893" s="1" t="str">
        <f>"07-"&amp;LEFT(RIGHTB(REPT(0,4)&amp;_xlfn.BASE(DB07_baselinesequence[[#This Row],[num]],36),4),2)&amp;"-"&amp;RIGHT(RIGHTB(REPT(0,4)&amp;_xlfn.BASE(DB07_baselinesequence[[#This Row],[num]],36),4),2)</f>
        <v>07-00-P8</v>
      </c>
      <c r="C893" s="1" t="s">
        <v>3896</v>
      </c>
      <c r="F893" s="1" t="s">
        <v>3794</v>
      </c>
      <c r="G893" s="1" t="str">
        <f>_xlfn.XLOOKUP(DB07_baselinesequence[[#This Row],[basesequence-ID]],DB06_baseline[ID],DB06_baseline[Baseline],"",0)</f>
        <v>GGCCAAACCTCGGCTTACCTGAAAT</v>
      </c>
      <c r="H893" s="1">
        <f>_xlfn.XLOOKUP(DB07_baselinesequence[[#This Row],[basesequence-ID]],DB06_baseline[ID],DB06_baseline[確認済],FALSE,0)</f>
        <v>0</v>
      </c>
      <c r="J893" s="15" t="s">
        <v>3900</v>
      </c>
      <c r="K893" s="4"/>
      <c r="L893" s="3"/>
    </row>
    <row r="894" spans="1:12" x14ac:dyDescent="0.45">
      <c r="A894" s="1">
        <v>909</v>
      </c>
      <c r="B894" s="1" t="str">
        <f>"07-"&amp;LEFT(RIGHTB(REPT(0,4)&amp;_xlfn.BASE(DB07_baselinesequence[[#This Row],[num]],36),4),2)&amp;"-"&amp;RIGHT(RIGHTB(REPT(0,4)&amp;_xlfn.BASE(DB07_baselinesequence[[#This Row],[num]],36),4),2)</f>
        <v>07-00-P9</v>
      </c>
      <c r="C894" s="1" t="s">
        <v>3897</v>
      </c>
      <c r="F894" s="1" t="s">
        <v>3794</v>
      </c>
      <c r="G894" s="1" t="str">
        <f>_xlfn.XLOOKUP(DB07_baselinesequence[[#This Row],[basesequence-ID]],DB06_baseline[ID],DB06_baseline[Baseline],"",0)</f>
        <v>GGCCAAACCTCGGCTTACCTGAAAT</v>
      </c>
      <c r="H894" s="1">
        <f>_xlfn.XLOOKUP(DB07_baselinesequence[[#This Row],[basesequence-ID]],DB06_baseline[ID],DB06_baseline[確認済],FALSE,0)</f>
        <v>0</v>
      </c>
      <c r="J894" s="15" t="s">
        <v>3901</v>
      </c>
      <c r="K894" s="4"/>
      <c r="L894" s="3"/>
    </row>
    <row r="895" spans="1:12" x14ac:dyDescent="0.45">
      <c r="A895" s="1">
        <v>910</v>
      </c>
      <c r="B895" s="1" t="str">
        <f>"07-"&amp;LEFT(RIGHTB(REPT(0,4)&amp;_xlfn.BASE(DB07_baselinesequence[[#This Row],[num]],36),4),2)&amp;"-"&amp;RIGHT(RIGHTB(REPT(0,4)&amp;_xlfn.BASE(DB07_baselinesequence[[#This Row],[num]],36),4),2)</f>
        <v>07-00-PA</v>
      </c>
      <c r="C895" s="15" t="s">
        <v>3906</v>
      </c>
      <c r="F895" s="1" t="s">
        <v>3862</v>
      </c>
      <c r="G895" s="1" t="str">
        <f>_xlfn.XLOOKUP(DB07_baselinesequence[[#This Row],[basesequence-ID]],DB06_baseline[ID],DB06_baseline[Baseline],"",0)</f>
        <v>GGTAAGTATTGGAAGTGTGC</v>
      </c>
      <c r="H895" s="1">
        <f>_xlfn.XLOOKUP(DB07_baselinesequence[[#This Row],[basesequence-ID]],DB06_baseline[ID],DB06_baseline[確認済],FALSE,0)</f>
        <v>0</v>
      </c>
      <c r="J895" s="1" t="s">
        <v>3907</v>
      </c>
      <c r="K895" s="4"/>
      <c r="L895" s="3"/>
    </row>
    <row r="896" spans="1:12" x14ac:dyDescent="0.45">
      <c r="A896" s="1">
        <v>911</v>
      </c>
      <c r="B896" s="1" t="str">
        <f>"07-"&amp;LEFT(RIGHTB(REPT(0,4)&amp;_xlfn.BASE(DB07_baselinesequence[[#This Row],[num]],36),4),2)&amp;"-"&amp;RIGHT(RIGHTB(REPT(0,4)&amp;_xlfn.BASE(DB07_baselinesequence[[#This Row],[num]],36),4),2)</f>
        <v>07-00-PB</v>
      </c>
      <c r="C896" s="1" t="s">
        <v>3916</v>
      </c>
      <c r="F896" s="1" t="s">
        <v>3917</v>
      </c>
      <c r="G896" s="1" t="str">
        <f>_xlfn.XLOOKUP(DB07_baselinesequence[[#This Row],[basesequence-ID]],DB06_baseline[ID],DB06_baseline[Baseline],"",0)</f>
        <v>GTAGAACTCGCCTGTGGTTTT</v>
      </c>
      <c r="H896" s="1">
        <f>_xlfn.XLOOKUP(DB07_baselinesequence[[#This Row],[basesequence-ID]],DB06_baseline[ID],DB06_baseline[確認済],FALSE,0)</f>
        <v>0</v>
      </c>
      <c r="J896" s="1" t="s">
        <v>3918</v>
      </c>
      <c r="K896" s="4"/>
      <c r="L896" s="3"/>
    </row>
    <row r="897" spans="1:12" x14ac:dyDescent="0.45">
      <c r="A897" s="1">
        <v>912</v>
      </c>
      <c r="B897" s="1" t="str">
        <f>"07-"&amp;LEFT(RIGHTB(REPT(0,4)&amp;_xlfn.BASE(DB07_baselinesequence[[#This Row],[num]],36),4),2)&amp;"-"&amp;RIGHT(RIGHTB(REPT(0,4)&amp;_xlfn.BASE(DB07_baselinesequence[[#This Row],[num]],36),4),2)</f>
        <v>07-00-PC</v>
      </c>
      <c r="C897" s="12" t="s">
        <v>3919</v>
      </c>
      <c r="F897" s="1" t="s">
        <v>3928</v>
      </c>
      <c r="G897" s="1" t="str">
        <f>_xlfn.XLOOKUP(DB07_baselinesequence[[#This Row],[basesequence-ID]],DB06_baseline[ID],DB06_baseline[Baseline],"",0)</f>
        <v>ATCGTACAGGGTCAT</v>
      </c>
      <c r="H897" s="1">
        <f>_xlfn.XLOOKUP(DB07_baselinesequence[[#This Row],[basesequence-ID]],DB06_baseline[ID],DB06_baseline[確認済],FALSE,0)</f>
        <v>0</v>
      </c>
      <c r="J897" s="15" t="s">
        <v>3929</v>
      </c>
      <c r="K897" s="4"/>
      <c r="L897" s="3"/>
    </row>
    <row r="898" spans="1:12" x14ac:dyDescent="0.45">
      <c r="A898" s="1">
        <v>913</v>
      </c>
      <c r="B898" s="1" t="str">
        <f>"07-"&amp;LEFT(RIGHTB(REPT(0,4)&amp;_xlfn.BASE(DB07_baselinesequence[[#This Row],[num]],36),4),2)&amp;"-"&amp;RIGHT(RIGHTB(REPT(0,4)&amp;_xlfn.BASE(DB07_baselinesequence[[#This Row],[num]],36),4),2)</f>
        <v>07-00-PD</v>
      </c>
      <c r="C898" s="1" t="s">
        <v>3933</v>
      </c>
      <c r="F898" s="1" t="s">
        <v>3921</v>
      </c>
      <c r="G898" s="1" t="str">
        <f>_xlfn.XLOOKUP(DB07_baselinesequence[[#This Row],[basesequence-ID]],DB06_baseline[ID],DB06_baseline[Baseline],"",0)</f>
        <v>ATGACCCTGTACGAT</v>
      </c>
      <c r="H898" s="1">
        <f>_xlfn.XLOOKUP(DB07_baselinesequence[[#This Row],[basesequence-ID]],DB06_baseline[ID],DB06_baseline[確認済],FALSE,0)</f>
        <v>0</v>
      </c>
      <c r="J898" s="15" t="s">
        <v>3930</v>
      </c>
      <c r="K898" s="4"/>
      <c r="L898" s="3"/>
    </row>
    <row r="899" spans="1:12" x14ac:dyDescent="0.45">
      <c r="A899" s="1">
        <v>914</v>
      </c>
      <c r="B899" s="1" t="str">
        <f>"07-"&amp;LEFT(RIGHTB(REPT(0,4)&amp;_xlfn.BASE(DB07_baselinesequence[[#This Row],[num]],36),4),2)&amp;"-"&amp;RIGHT(RIGHTB(REPT(0,4)&amp;_xlfn.BASE(DB07_baselinesequence[[#This Row],[num]],36),4),2)</f>
        <v>07-00-PE</v>
      </c>
      <c r="C899" s="1" t="s">
        <v>3934</v>
      </c>
      <c r="F899" s="1" t="s">
        <v>3923</v>
      </c>
      <c r="G899" s="1" t="str">
        <f>_xlfn.XLOOKUP(DB07_baselinesequence[[#This Row],[basesequence-ID]],DB06_baseline[ID],DB06_baseline[Baseline],"",0)</f>
        <v>CGGATCCGTCTGAGC</v>
      </c>
      <c r="H899" s="1">
        <f>_xlfn.XLOOKUP(DB07_baselinesequence[[#This Row],[basesequence-ID]],DB06_baseline[ID],DB06_baseline[確認済],FALSE,0)</f>
        <v>0</v>
      </c>
      <c r="J899" s="15" t="s">
        <v>3931</v>
      </c>
      <c r="K899" s="4"/>
      <c r="L899" s="3"/>
    </row>
    <row r="900" spans="1:12" x14ac:dyDescent="0.45">
      <c r="A900" s="1">
        <v>915</v>
      </c>
      <c r="B900" s="1" t="str">
        <f>"07-"&amp;LEFT(RIGHTB(REPT(0,4)&amp;_xlfn.BASE(DB07_baselinesequence[[#This Row],[num]],36),4),2)&amp;"-"&amp;RIGHT(RIGHTB(REPT(0,4)&amp;_xlfn.BASE(DB07_baselinesequence[[#This Row],[num]],36),4),2)</f>
        <v>07-00-PF</v>
      </c>
      <c r="C900" s="1" t="s">
        <v>3935</v>
      </c>
      <c r="F900" s="1" t="s">
        <v>3925</v>
      </c>
      <c r="G900" s="1" t="str">
        <f>_xlfn.XLOOKUP(DB07_baselinesequence[[#This Row],[basesequence-ID]],DB06_baseline[ID],DB06_baseline[Baseline],"",0)</f>
        <v>GCTCAGACGGATCCG</v>
      </c>
      <c r="H900" s="1">
        <f>_xlfn.XLOOKUP(DB07_baselinesequence[[#This Row],[basesequence-ID]],DB06_baseline[ID],DB06_baseline[確認済],FALSE,0)</f>
        <v>0</v>
      </c>
      <c r="J900" s="15" t="s">
        <v>3932</v>
      </c>
      <c r="K900" s="4"/>
      <c r="L900" s="3"/>
    </row>
    <row r="901" spans="1:12" x14ac:dyDescent="0.45">
      <c r="A901" s="1">
        <v>916</v>
      </c>
      <c r="B901" s="1" t="str">
        <f>"07-"&amp;LEFT(RIGHTB(REPT(0,4)&amp;_xlfn.BASE(DB07_baselinesequence[[#This Row],[num]],36),4),2)&amp;"-"&amp;RIGHT(RIGHTB(REPT(0,4)&amp;_xlfn.BASE(DB07_baselinesequence[[#This Row],[num]],36),4),2)</f>
        <v>07-00-PG</v>
      </c>
      <c r="C901" s="1" t="s">
        <v>3943</v>
      </c>
      <c r="F901" s="1" t="s">
        <v>3942</v>
      </c>
      <c r="G901" s="1" t="str">
        <f>_xlfn.XLOOKUP(DB07_baselinesequence[[#This Row],[basesequence-ID]],DB06_baseline[ID],DB06_baseline[Baseline],"",0)</f>
        <v>CAGGAACTCCAGGATGGCATTG</v>
      </c>
      <c r="H901" s="1">
        <f>_xlfn.XLOOKUP(DB07_baselinesequence[[#This Row],[basesequence-ID]],DB06_baseline[ID],DB06_baseline[確認済],FALSE,0)</f>
        <v>0</v>
      </c>
      <c r="J901" s="1" t="s">
        <v>3944</v>
      </c>
      <c r="K901" s="4"/>
      <c r="L901" s="3"/>
    </row>
    <row r="902" spans="1:12" x14ac:dyDescent="0.45">
      <c r="A902" s="1">
        <v>917</v>
      </c>
      <c r="B902" s="1" t="str">
        <f>"07-"&amp;LEFT(RIGHTB(REPT(0,4)&amp;_xlfn.BASE(DB07_baselinesequence[[#This Row],[num]],36),4),2)&amp;"-"&amp;RIGHT(RIGHTB(REPT(0,4)&amp;_xlfn.BASE(DB07_baselinesequence[[#This Row],[num]],36),4),2)</f>
        <v>07-00-PH</v>
      </c>
      <c r="C902" s="1" t="s">
        <v>3954</v>
      </c>
      <c r="F902" s="1" t="s">
        <v>3951</v>
      </c>
      <c r="G902" s="1" t="str">
        <f>_xlfn.XLOOKUP(DB07_baselinesequence[[#This Row],[basesequence-ID]],DB06_baseline[ID],DB06_baseline[Baseline],"",0)</f>
        <v>GCCCAGTCGGCTTCTTCTCC</v>
      </c>
      <c r="H902" s="1">
        <f>_xlfn.XLOOKUP(DB07_baselinesequence[[#This Row],[basesequence-ID]],DB06_baseline[ID],DB06_baseline[確認済],FALSE,0)</f>
        <v>0</v>
      </c>
      <c r="J902" s="1" t="s">
        <v>3955</v>
      </c>
      <c r="K902" s="4"/>
      <c r="L902" s="3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03"/>
  <sheetViews>
    <sheetView topLeftCell="A790" workbookViewId="0">
      <selection activeCell="C793" sqref="C793:C798"/>
    </sheetView>
  </sheetViews>
  <sheetFormatPr defaultColWidth="9" defaultRowHeight="17.399999999999999" x14ac:dyDescent="0.5"/>
  <cols>
    <col min="1" max="1" width="13.5" style="2" bestFit="1" customWidth="1"/>
    <col min="2" max="7" width="9" style="1"/>
    <col min="8" max="8" width="24.09765625" style="1" bestFit="1" customWidth="1"/>
    <col min="9" max="9" width="37" style="1" bestFit="1" customWidth="1"/>
    <col min="10" max="10" width="9.5" style="1" bestFit="1" customWidth="1"/>
    <col min="11" max="16384" width="9" style="1"/>
  </cols>
  <sheetData>
    <row r="1" spans="1:10" x14ac:dyDescent="0.45">
      <c r="A1" s="1" t="s">
        <v>1</v>
      </c>
      <c r="C1" s="1" t="str" cm="1">
        <f t="array" ref="C1:C808">DB06_baseline[ID]&amp;" "&amp;DB06_baseline[配列名]</f>
        <v>06-00-01 GAP(1)</v>
      </c>
      <c r="F1" s="1" t="str" cm="1">
        <f t="array" aca="1" ref="F1" ca="1">LEFT(CELL("filename",$A$1),FIND("[",CELL("filename",$A$1),1)-1)</f>
        <v>G:\共有ドライブ\研究所\04 各チーム\合成Ｔ\01_オリゴ管理\データベース\</v>
      </c>
    </row>
    <row r="2" spans="1:10" x14ac:dyDescent="0.45">
      <c r="A2" s="1" t="s">
        <v>6</v>
      </c>
      <c r="C2" s="1" t="str">
        <v>06-00-02 GAP(2)</v>
      </c>
    </row>
    <row r="3" spans="1:10" x14ac:dyDescent="0.45">
      <c r="A3" s="1" t="s">
        <v>10</v>
      </c>
      <c r="C3" s="1" t="str">
        <v>06-00-03 GFP5L</v>
      </c>
      <c r="F3" s="1" t="str" cm="1">
        <f t="array" ref="F3:F903">DB07_baselinesequence[name]</f>
        <v>GAP-ASO(1)</v>
      </c>
      <c r="H3" s="1" t="str" cm="1">
        <f t="array" ref="H3:H521">_xlfn._xlws.FILTER(DB07_baselinesequence[name], IFERROR(FIND("ASO",DB07_baselinesequence[name]), 0) + IFERROR(FIND("aso",DB07_baselinesequence[name]), 0) &gt; 0)</f>
        <v>GAP-ASO(1)</v>
      </c>
      <c r="I3" s="1" t="str" cm="1">
        <f t="array" ref="I3:I73">_xlfn._xlws.FILTER(DB07_baselinesequence[name], IFERROR(FIND("-SO",DB07_baselinesequence[name]), 0) + IFERROR(FIND("-so",DB07_baselinesequence[name]), 0) &gt; 0)</f>
        <v>GFP5L-SO</v>
      </c>
      <c r="J3" s="1" t="str" cm="1">
        <f t="array" ref="J3:J313">_xlfn._xlws.FILTER(DB07_baselinesequence[name], (IFERROR(FIND("ASO",DB07_baselinesequence[name]), 0) = 0) * (IFERROR(FIND("aso",DB07_baselinesequence[name]), 0) = 0) * (IFERROR(FIND("-so",DB07_baselinesequence[name]), 0) = 0) * (IFERROR(FIND("-SO",DB07_baselinesequence[name]), 0) = 0))</f>
        <v>T16(PS)</v>
      </c>
    </row>
    <row r="4" spans="1:10" x14ac:dyDescent="0.45">
      <c r="A4" s="1" t="s">
        <v>5</v>
      </c>
      <c r="C4" s="1" t="str">
        <v>06-00-04 malat1-hm</v>
      </c>
      <c r="F4" s="1" t="str">
        <v>GAP-ASO(2)</v>
      </c>
      <c r="H4" s="1" t="str">
        <v>GAP-ASO(2)</v>
      </c>
      <c r="I4" s="1" t="str">
        <v>malat1-hm-SO</v>
      </c>
      <c r="J4" s="1" t="str">
        <v>T16(PB)</v>
      </c>
    </row>
    <row r="5" spans="1:10" x14ac:dyDescent="0.45">
      <c r="A5" s="1" t="s">
        <v>68</v>
      </c>
      <c r="C5" s="1" t="str">
        <v>06-00-05 malat1</v>
      </c>
      <c r="F5" s="1" t="str">
        <v>GFP5L-ASO</v>
      </c>
      <c r="H5" s="1" t="str">
        <v>GFP5L-ASO</v>
      </c>
      <c r="I5" s="1" t="str">
        <v>malat1-SO</v>
      </c>
      <c r="J5" s="1" t="str">
        <v>Ifngr1_NM_010511 SO</v>
      </c>
    </row>
    <row r="6" spans="1:10" x14ac:dyDescent="0.45">
      <c r="A6" s="1" t="s">
        <v>69</v>
      </c>
      <c r="C6" s="1" t="str">
        <v>06-00-06 Ren1</v>
      </c>
      <c r="F6" s="1" t="str">
        <v>GFP5L-SO</v>
      </c>
      <c r="H6" s="1" t="str">
        <v>malat1-hm-ASO</v>
      </c>
      <c r="I6" s="1" t="str">
        <v>Ren1-SO</v>
      </c>
      <c r="J6" s="1" t="str">
        <v>PO-Mecp2-33</v>
      </c>
    </row>
    <row r="7" spans="1:10" x14ac:dyDescent="0.45">
      <c r="A7" s="1" t="s">
        <v>70</v>
      </c>
      <c r="C7" s="1" t="str">
        <v>06-00-07 Ren5</v>
      </c>
      <c r="F7" s="1" t="str">
        <v>malat1-hm-ASO</v>
      </c>
      <c r="H7" s="1" t="str">
        <v>malat1-ASO</v>
      </c>
      <c r="I7" s="1" t="str">
        <v>Ren5-SO</v>
      </c>
      <c r="J7" s="1" t="str">
        <v>malat1-hmSO-AP05</v>
      </c>
    </row>
    <row r="8" spans="1:10" x14ac:dyDescent="0.45">
      <c r="A8" s="1" t="s">
        <v>71</v>
      </c>
      <c r="C8" s="1" t="str">
        <v>06-00-08 YB1</v>
      </c>
      <c r="F8" s="1" t="str">
        <v>malat1-hm-SO</v>
      </c>
      <c r="H8" s="1" t="str">
        <v>Ren1-ASO</v>
      </c>
      <c r="I8" s="1" t="str">
        <v>YB1-SO</v>
      </c>
      <c r="J8" s="1" t="str">
        <v>malat1-hmSO-AP09</v>
      </c>
    </row>
    <row r="9" spans="1:10" x14ac:dyDescent="0.45">
      <c r="A9" s="1" t="s">
        <v>9</v>
      </c>
      <c r="C9" s="1" t="str">
        <v>06-00-09 Myd88</v>
      </c>
      <c r="F9" s="1" t="str">
        <v>malat1-ASO</v>
      </c>
      <c r="H9" s="1" t="str">
        <v>Ren5-ASO</v>
      </c>
      <c r="I9" s="1" t="str">
        <v>Myd88-SO</v>
      </c>
      <c r="J9" s="1" t="str">
        <v>malat1-hmSO-AP13</v>
      </c>
    </row>
    <row r="10" spans="1:10" x14ac:dyDescent="0.45">
      <c r="A10" s="1" t="s">
        <v>13</v>
      </c>
      <c r="C10" s="1" t="str">
        <v>06-00-0A Zic42</v>
      </c>
      <c r="F10" s="1" t="str">
        <v>malat1-SO</v>
      </c>
      <c r="H10" s="1" t="str">
        <v>YB1-ASO(ENA)</v>
      </c>
      <c r="I10" s="1" t="str">
        <v>Zic42-SO</v>
      </c>
      <c r="J10" s="1" t="str">
        <v>malat1-hmSO-AP05-DBCO</v>
      </c>
    </row>
    <row r="11" spans="1:10" x14ac:dyDescent="0.45">
      <c r="A11" s="1" t="s">
        <v>72</v>
      </c>
      <c r="C11" s="1" t="str">
        <v>06-00-0B Bace1</v>
      </c>
      <c r="F11" s="1" t="str">
        <v>Ren1-ASO</v>
      </c>
      <c r="H11" s="1" t="str">
        <v>YB1-ASO</v>
      </c>
      <c r="I11" s="1" t="str">
        <v>si_01-SO</v>
      </c>
      <c r="J11" s="1" t="str">
        <v>malat1-hmSO-AP09-DBCO</v>
      </c>
    </row>
    <row r="12" spans="1:10" x14ac:dyDescent="0.45">
      <c r="A12" s="1" t="s">
        <v>73</v>
      </c>
      <c r="C12" s="1" t="str">
        <v>06-00-0C SYNGAP1-24</v>
      </c>
      <c r="F12" s="1" t="str">
        <v>Ren1-SO</v>
      </c>
      <c r="H12" s="1" t="str">
        <v>Myd88-ASO(LNA)</v>
      </c>
      <c r="I12" s="1" t="str">
        <v>si_02-SO</v>
      </c>
      <c r="J12" s="1" t="str">
        <v>malat1-hmSO-AP13-DBCO</v>
      </c>
    </row>
    <row r="13" spans="1:10" x14ac:dyDescent="0.45">
      <c r="A13" s="1" t="s">
        <v>74</v>
      </c>
      <c r="C13" s="1" t="str">
        <v>06-00-0D SYNGAP1-5</v>
      </c>
      <c r="F13" s="1" t="str">
        <v>Ren5-ASO</v>
      </c>
      <c r="H13" s="1" t="str">
        <v>Myd88-ASO(ENA)</v>
      </c>
      <c r="I13" s="1" t="str">
        <v>Apob-SO</v>
      </c>
      <c r="J13" s="1" t="str">
        <v>malat1-hmSO[05R-FPP]</v>
      </c>
    </row>
    <row r="14" spans="1:10" x14ac:dyDescent="0.45">
      <c r="A14" s="1" t="s">
        <v>14</v>
      </c>
      <c r="C14" s="1" t="str">
        <v>06-00-0E si_01_si_aso</v>
      </c>
      <c r="F14" s="1" t="str">
        <v>Ren5-SO</v>
      </c>
      <c r="H14" s="1" t="str">
        <v>Zic42-ASO</v>
      </c>
      <c r="I14" s="1" t="str">
        <v>Apob-SO(OMe-DNA-OMe,PS5)</v>
      </c>
      <c r="J14" s="1" t="str">
        <v>malat1-hmSO[09R-FPP]</v>
      </c>
    </row>
    <row r="15" spans="1:10" x14ac:dyDescent="0.5">
      <c r="C15" s="1" t="str">
        <v>06-00-0F si_01_si_so</v>
      </c>
      <c r="F15" s="1" t="str">
        <v>YB1-ASO(ENA)</v>
      </c>
      <c r="H15" s="1" t="str">
        <v>Bace1-ASO</v>
      </c>
      <c r="I15" s="1" t="str">
        <v>Apob-SO(LNA-DNA-LNA,PS0)</v>
      </c>
      <c r="J15" s="1" t="str">
        <v>malat1-hmSO[13R-FPP]</v>
      </c>
    </row>
    <row r="16" spans="1:10" x14ac:dyDescent="0.45">
      <c r="A16" s="1" t="s">
        <v>1</v>
      </c>
      <c r="C16" s="1" t="str">
        <v>06-00-0G si_02_si_aso</v>
      </c>
      <c r="F16" s="1" t="str">
        <v>YB1-ASO</v>
      </c>
      <c r="H16" s="1" t="str">
        <v>Bace1-ASO(PB)</v>
      </c>
      <c r="I16" s="1" t="str">
        <v>Apob-SOOMe-DNA-OMe,PS0)</v>
      </c>
      <c r="J16" s="1" t="str">
        <v>malat1-hmSO[09B]</v>
      </c>
    </row>
    <row r="17" spans="1:10" x14ac:dyDescent="0.45">
      <c r="A17" s="1" t="s">
        <v>11</v>
      </c>
      <c r="C17" s="1" t="str">
        <v>06-00-0H si_02_si_so</v>
      </c>
      <c r="F17" s="1" t="str">
        <v>YB1-SO</v>
      </c>
      <c r="H17" s="1" t="str">
        <v>si_01-ASO</v>
      </c>
      <c r="I17" s="1" t="str">
        <v>malat1-SO(OMe-DNA-OMe,(3,3),PS6)</v>
      </c>
      <c r="J17" s="1" t="str">
        <v>malat1-hmSO[09B-DBCO]</v>
      </c>
    </row>
    <row r="18" spans="1:10" x14ac:dyDescent="0.45">
      <c r="A18" s="1" t="s">
        <v>7</v>
      </c>
      <c r="C18" s="1" t="str">
        <v>06-00-0I Apob</v>
      </c>
      <c r="F18" s="1" t="str">
        <v>Myd88-ASO(LNA)</v>
      </c>
      <c r="H18" s="1" t="str">
        <v>si_02-ASO</v>
      </c>
      <c r="I18" s="1" t="str">
        <v>malat1-SO(OMe-DNA-OMe,(3,3),PS0)</v>
      </c>
      <c r="J18" s="1" t="str">
        <v>malat1-hmSO[09B-FPP]</v>
      </c>
    </row>
    <row r="19" spans="1:10" x14ac:dyDescent="0.45">
      <c r="A19" s="1" t="s">
        <v>75</v>
      </c>
      <c r="C19" s="1" t="str">
        <v>06-00-0J malat1(626112)</v>
      </c>
      <c r="F19" s="1" t="str">
        <v>Myd88-ASO(ENA)</v>
      </c>
      <c r="H19" s="1" t="str">
        <v>Apob-ASO</v>
      </c>
      <c r="I19" s="1" t="str">
        <v>malat1-SO(LNA-DNA-LNA,(3,3),PS0)</v>
      </c>
      <c r="J19" s="1" t="str">
        <v>5'-UTR_19</v>
      </c>
    </row>
    <row r="20" spans="1:10" x14ac:dyDescent="0.5">
      <c r="C20" s="1" t="str">
        <v>06-00-0K TAKC02</v>
      </c>
      <c r="F20" s="1" t="str">
        <v>Myd88-SO</v>
      </c>
      <c r="H20" s="1" t="str">
        <v>TAKC02-ASO</v>
      </c>
      <c r="I20" s="1" t="str">
        <v>malat1-SO(LNA-DNA-LNA,(2,2),PS0)</v>
      </c>
      <c r="J20" s="1" t="str">
        <v>5'-UTR_22</v>
      </c>
    </row>
    <row r="21" spans="1:10" x14ac:dyDescent="0.45">
      <c r="A21" s="1" t="s">
        <v>1</v>
      </c>
      <c r="C21" s="1" t="str">
        <v>06-00-0L gapdh-si-so</v>
      </c>
      <c r="F21" s="1" t="str">
        <v>Zic42-ASO</v>
      </c>
      <c r="H21" s="1" t="str">
        <v>gapdh-si-ASO</v>
      </c>
      <c r="I21" s="1" t="str">
        <v>malat1-SO(LNA-DNA-LNA,(1,1),PS0)</v>
      </c>
      <c r="J21" s="1" t="str">
        <v>5'-UTR_25</v>
      </c>
    </row>
    <row r="22" spans="1:10" x14ac:dyDescent="0.45">
      <c r="A22" s="1" t="s">
        <v>4</v>
      </c>
      <c r="C22" s="1" t="str">
        <v>06-00-0M gapdh-si-as</v>
      </c>
      <c r="F22" s="1" t="str">
        <v>Zic42-SO</v>
      </c>
      <c r="H22" s="1" t="str">
        <v>TS1-ASO(LNA)</v>
      </c>
      <c r="I22" s="1" t="str">
        <v>malat1-SO(All-DNA,PS0)</v>
      </c>
      <c r="J22" s="1" t="str">
        <v>5'-UTR_28</v>
      </c>
    </row>
    <row r="23" spans="1:10" x14ac:dyDescent="0.45">
      <c r="A23" s="1" t="s">
        <v>20</v>
      </c>
      <c r="C23" s="1" t="str">
        <v>06-00-0N TS1</v>
      </c>
      <c r="F23" s="1" t="str">
        <v>Bace1-ASO</v>
      </c>
      <c r="H23" s="1" t="str">
        <v>TS1-ASO(MOE)</v>
      </c>
      <c r="I23" s="1" t="str">
        <v>malat1-SO(MOE-DNA-MOE,(3,3),PS0)</v>
      </c>
      <c r="J23" s="1" t="str">
        <v>5'-UTR_31</v>
      </c>
    </row>
    <row r="24" spans="1:10" x14ac:dyDescent="0.45">
      <c r="A24" s="1" t="s">
        <v>108</v>
      </c>
      <c r="C24" s="1" t="str">
        <v>06-00-0O PTEN</v>
      </c>
      <c r="F24" s="1" t="str">
        <v>Bace1-ASO(PB)</v>
      </c>
      <c r="H24" s="1" t="str">
        <v>TS1-ASO(BNA-NC-Me)</v>
      </c>
      <c r="I24" s="1" t="str">
        <v>malat1-SO(LNA-RNA-LNA,(3,3),PS0)</v>
      </c>
      <c r="J24" s="1" t="str">
        <v>5'-UTR_34</v>
      </c>
    </row>
    <row r="25" spans="1:10" x14ac:dyDescent="0.45">
      <c r="A25" s="1" t="s">
        <v>76</v>
      </c>
      <c r="C25" s="1" t="str">
        <v>06-00-0P malat1(399462)</v>
      </c>
      <c r="F25" s="1" t="str">
        <v>si_01-ASO</v>
      </c>
      <c r="H25" s="1" t="str">
        <v>PTEN-ASO</v>
      </c>
      <c r="I25" s="1" t="str">
        <v>TAKC02-SO</v>
      </c>
      <c r="J25" s="1" t="str">
        <v>5'-UTR_37</v>
      </c>
    </row>
    <row r="26" spans="1:10" x14ac:dyDescent="0.45">
      <c r="A26" s="1" t="s">
        <v>77</v>
      </c>
      <c r="C26" s="1" t="str">
        <v>06-00-0Q AR</v>
      </c>
      <c r="F26" s="1" t="str">
        <v>si_01-SO</v>
      </c>
      <c r="H26" s="1" t="str">
        <v>MECP2-33-ASO</v>
      </c>
      <c r="I26" s="1" t="str">
        <v>gapdh-si-SO</v>
      </c>
      <c r="J26" s="1" t="str">
        <v>5'-UTR_40</v>
      </c>
    </row>
    <row r="27" spans="1:10" x14ac:dyDescent="0.5">
      <c r="C27" s="1" t="str">
        <v>06-00-0R mecp2-33</v>
      </c>
      <c r="F27" s="1" t="str">
        <v>si_02-ASO</v>
      </c>
      <c r="H27" s="1" t="str">
        <v>MECP2-52-ASO</v>
      </c>
      <c r="I27" s="1" t="str">
        <v>TS1-SO</v>
      </c>
      <c r="J27" s="1" t="str">
        <v>5'-UTR_43</v>
      </c>
    </row>
    <row r="28" spans="1:10" x14ac:dyDescent="0.5">
      <c r="C28" s="1" t="str">
        <v>06-00-0S mecp2-52</v>
      </c>
      <c r="F28" s="1" t="str">
        <v>si_02-SO</v>
      </c>
      <c r="H28" s="1" t="str">
        <v>AR-ASO(3-9-3-1)</v>
      </c>
      <c r="I28" s="1" t="str">
        <v>PTEN-SO</v>
      </c>
      <c r="J28" s="1" t="str">
        <v>5'-UTR_64</v>
      </c>
    </row>
    <row r="29" spans="1:10" x14ac:dyDescent="0.5">
      <c r="C29" s="1" t="str">
        <v>06-00-0T T16</v>
      </c>
      <c r="F29" s="1" t="str">
        <v>Apob-ASO</v>
      </c>
      <c r="H29" s="1" t="str">
        <v>BCL2-ASO</v>
      </c>
      <c r="I29" s="1" t="str">
        <v>AR-SO(3-10-3)</v>
      </c>
      <c r="J29" s="1" t="str">
        <v>5'-UTR_97</v>
      </c>
    </row>
    <row r="30" spans="1:10" x14ac:dyDescent="0.5">
      <c r="C30" s="1" t="str">
        <v>06-00-0U BCL2</v>
      </c>
      <c r="F30" s="1" t="str">
        <v>Apob-SO</v>
      </c>
      <c r="H30" s="1" t="str">
        <v>PTEN-ASO(MOE20mer)</v>
      </c>
      <c r="I30" s="1" t="str">
        <v>AR-SO(4-9-3)</v>
      </c>
      <c r="J30" s="1" t="str">
        <v>5'-UTR_100</v>
      </c>
    </row>
    <row r="31" spans="1:10" x14ac:dyDescent="0.5">
      <c r="C31" s="1" t="str">
        <v>06-00-0V PTEN(20mer)</v>
      </c>
      <c r="F31" s="1" t="str">
        <v>Apob-SO(OMe-DNA-OMe,PS5)</v>
      </c>
      <c r="H31" s="1" t="str">
        <v>MECP2-33-ASO(PS)</v>
      </c>
      <c r="I31" s="1" t="str">
        <v>BCL2-SO</v>
      </c>
      <c r="J31" s="1" t="str">
        <v>5'-UTR_103</v>
      </c>
    </row>
    <row r="32" spans="1:10" x14ac:dyDescent="0.5">
      <c r="C32" s="1" t="str">
        <v>06-00-0W GFP_original</v>
      </c>
      <c r="F32" s="1" t="str">
        <v>Apob-SO(LNA-DNA-LNA,PS0)</v>
      </c>
      <c r="H32" s="1" t="str">
        <v>MECP2-52-ASO(PS)</v>
      </c>
      <c r="I32" s="1" t="str">
        <v>PTEN-SO(20mer)</v>
      </c>
      <c r="J32" s="1" t="str">
        <v>5'-UTR_106</v>
      </c>
    </row>
    <row r="33" spans="3:10" x14ac:dyDescent="0.5">
      <c r="C33" s="1" t="str">
        <v>06-00-0X GFP_L3</v>
      </c>
      <c r="F33" s="1" t="str">
        <v>Apob-SOOMe-DNA-OMe,PS0)</v>
      </c>
      <c r="H33" s="1" t="str">
        <v>GFP-ASO(OMe20mer)</v>
      </c>
      <c r="I33" s="1" t="str">
        <v>PTEN-SO(All-RNA20mer)</v>
      </c>
      <c r="J33" s="1" t="str">
        <v>5'-UTR_109</v>
      </c>
    </row>
    <row r="34" spans="3:10" x14ac:dyDescent="0.5">
      <c r="C34" s="1" t="str">
        <v>06-00-0Y GFP_L4</v>
      </c>
      <c r="F34" s="1" t="str">
        <v>malat1-SO(OMe-DNA-OMe,(3,3),PS6)</v>
      </c>
      <c r="H34" s="1" t="str">
        <v>GFP-ASO((MOE20mer)</v>
      </c>
      <c r="I34" s="1" t="str">
        <v>MECP2-33-SO</v>
      </c>
      <c r="J34" s="1" t="str">
        <v>5'-UTR_112</v>
      </c>
    </row>
    <row r="35" spans="3:10" x14ac:dyDescent="0.5">
      <c r="C35" s="1" t="str">
        <v>06-00-0Z GFP_L5</v>
      </c>
      <c r="F35" s="1" t="str">
        <v>malat1-SO(OMe-DNA-OMe,(3,3),PS0)</v>
      </c>
      <c r="H35" s="1" t="str">
        <v>GFPL3-ASO((LNA16mer)</v>
      </c>
      <c r="I35" s="1" t="str">
        <v>MECP2-52-SO</v>
      </c>
      <c r="J35" s="1" t="str">
        <v>5'-UTR_115</v>
      </c>
    </row>
    <row r="36" spans="3:10" x14ac:dyDescent="0.5">
      <c r="C36" s="1" t="str">
        <v>06-00-10 malat1(395251)</v>
      </c>
      <c r="F36" s="1" t="str">
        <v>malat1-SO(LNA-DNA-LNA,(3,3),PS0)</v>
      </c>
      <c r="H36" s="1" t="str">
        <v>GFPL4-ASO((LNA16mer)</v>
      </c>
      <c r="I36" s="1" t="str">
        <v>Malat1-hm-SO(395251)</v>
      </c>
      <c r="J36" s="1" t="str">
        <v>5'-UTR_118</v>
      </c>
    </row>
    <row r="37" spans="3:10" x14ac:dyDescent="0.5">
      <c r="C37" s="1" t="str">
        <v>06-00-11 malat1(18mer)</v>
      </c>
      <c r="F37" s="1" t="str">
        <v>malat1-SO(LNA-DNA-LNA,(2,2),PS0)</v>
      </c>
      <c r="H37" s="1" t="str">
        <v>GFPL5-ASO((LNA16mer)</v>
      </c>
      <c r="I37" s="1" t="str">
        <v>malat1-SO-AP05</v>
      </c>
      <c r="J37" s="1" t="str">
        <v>5'-UTR_121</v>
      </c>
    </row>
    <row r="38" spans="3:10" x14ac:dyDescent="0.5">
      <c r="C38" s="1" t="str">
        <v>06-00-12 Ifngr1_NM_010511 so</v>
      </c>
      <c r="F38" s="1" t="str">
        <v>malat1-SO(LNA-DNA-LNA,(1,1),PS0)</v>
      </c>
      <c r="H38" s="1" t="str">
        <v>Malat1-hm-ASO(395251)</v>
      </c>
      <c r="I38" s="1" t="str">
        <v>malat1-SO-AP09</v>
      </c>
      <c r="J38" s="1" t="str">
        <v>5'-UTR_124</v>
      </c>
    </row>
    <row r="39" spans="3:10" x14ac:dyDescent="0.5">
      <c r="C39" s="1" t="str">
        <v>06-00-13 Ifngr1_NM_010511 ASO</v>
      </c>
      <c r="F39" s="1" t="str">
        <v>malat1-SO(All-DNA,PS0)</v>
      </c>
      <c r="H39" s="1" t="str">
        <v>Ifngr1_NM_010511 ASO</v>
      </c>
      <c r="I39" s="1" t="str">
        <v>malat1-SO-AP13</v>
      </c>
      <c r="J39" s="1" t="str">
        <v>5'-UTR_127</v>
      </c>
    </row>
    <row r="40" spans="3:10" x14ac:dyDescent="0.5">
      <c r="C40" s="1" t="str">
        <v>06-00-14 Bcl2(G3139)-ASO</v>
      </c>
      <c r="F40" s="1" t="str">
        <v>malat1-SO(MOE-DNA-MOE,(3,3),PS0)</v>
      </c>
      <c r="H40" s="1" t="str">
        <v>Bcl2(G3139)-ASO(LNA)</v>
      </c>
      <c r="I40" s="1" t="str">
        <v>Apob(intron)-SO</v>
      </c>
      <c r="J40" s="1" t="str">
        <v>5'-UTR_130</v>
      </c>
    </row>
    <row r="41" spans="3:10" x14ac:dyDescent="0.5">
      <c r="C41" s="1" t="str">
        <v>06-00-15 GFP5L-SO</v>
      </c>
      <c r="F41" s="1" t="str">
        <v>malat1-SO(LNA-RNA-LNA,(3,3),PS0)</v>
      </c>
      <c r="H41" s="1" t="str">
        <v>Bcl2(G3139)-ASO(MOE)</v>
      </c>
      <c r="I41" s="1" t="str">
        <v>malat1-SO-AP05-DBCO</v>
      </c>
      <c r="J41" s="1" t="str">
        <v>5'-UTR_181</v>
      </c>
    </row>
    <row r="42" spans="3:10" x14ac:dyDescent="0.5">
      <c r="C42" s="1" t="str">
        <v>06-00-16 malat1-hm-SO</v>
      </c>
      <c r="F42" s="1" t="str">
        <v>TAKC02-ASO</v>
      </c>
      <c r="H42" s="1" t="str">
        <v>Apob(intron)-ASO</v>
      </c>
      <c r="I42" s="1" t="str">
        <v>malat1-SO-AP09-DBCO</v>
      </c>
      <c r="J42" s="1" t="str">
        <v>5'-UTR_184</v>
      </c>
    </row>
    <row r="43" spans="3:10" x14ac:dyDescent="0.5">
      <c r="C43" s="1" t="str">
        <v>06-00-17 malat1-SO</v>
      </c>
      <c r="F43" s="1" t="str">
        <v>TAKC02-SO</v>
      </c>
      <c r="H43" s="1" t="str">
        <v>MOE-T18mer-ASO-PO</v>
      </c>
      <c r="I43" s="1" t="str">
        <v>malat1-SO-AP13-DBCO</v>
      </c>
      <c r="J43" s="1" t="str">
        <v>5'-UTR_277</v>
      </c>
    </row>
    <row r="44" spans="3:10" x14ac:dyDescent="0.5">
      <c r="C44" s="1" t="str">
        <v>06-00-18 Ren1-SO</v>
      </c>
      <c r="F44" s="1" t="str">
        <v>gapdh-si-SO</v>
      </c>
      <c r="H44" s="1" t="str">
        <v>MOE-T18mer-ASO-PS</v>
      </c>
      <c r="I44" s="1" t="str">
        <v>A18mer-SO</v>
      </c>
      <c r="J44" s="1" t="str">
        <v>5'-UTR_427</v>
      </c>
    </row>
    <row r="45" spans="3:10" x14ac:dyDescent="0.5">
      <c r="C45" s="1" t="str">
        <v>06-00-19 Ren5-SO</v>
      </c>
      <c r="F45" s="1" t="str">
        <v>gapdh-si-ASO</v>
      </c>
      <c r="H45" s="1" t="str">
        <v>Cd40-ASO</v>
      </c>
      <c r="I45" s="1" t="str">
        <v>Mecp2-33-SO(All-RNA)</v>
      </c>
      <c r="J45" s="1" t="str">
        <v>5'-UTR_430</v>
      </c>
    </row>
    <row r="46" spans="3:10" x14ac:dyDescent="0.5">
      <c r="C46" s="1" t="str">
        <v>06-00-1A YB1-SO</v>
      </c>
      <c r="F46" s="1" t="str">
        <v>TS1-ASO(LNA)</v>
      </c>
      <c r="H46" s="1" t="str">
        <v>Cd40-hm-ASO</v>
      </c>
      <c r="I46" s="1" t="str">
        <v>Mecp2-33-SO(3-12-3)</v>
      </c>
      <c r="J46" s="1" t="str">
        <v>5'-UTR_433</v>
      </c>
    </row>
    <row r="47" spans="3:10" x14ac:dyDescent="0.5">
      <c r="C47" s="1" t="str">
        <v>06-00-1B Myd88-SO</v>
      </c>
      <c r="F47" s="1" t="str">
        <v>TS1-ASO(MOE)</v>
      </c>
      <c r="H47" s="1" t="str">
        <v>Cd40-ASO 31 LNA</v>
      </c>
      <c r="I47" s="1" t="str">
        <v>Bcl2(G3139)-SO</v>
      </c>
      <c r="J47" s="1" t="str">
        <v>3-'UTR_1402</v>
      </c>
    </row>
    <row r="48" spans="3:10" x14ac:dyDescent="0.5">
      <c r="C48" s="1" t="str">
        <v>06-00-1C Zic42-SO</v>
      </c>
      <c r="F48" s="1" t="str">
        <v>TS1-ASO(BNA-NC-Me)</v>
      </c>
      <c r="H48" s="1" t="str">
        <v>Cd40-ASO 36 LNA</v>
      </c>
      <c r="I48" s="1" t="str">
        <v>Cd40-SO</v>
      </c>
      <c r="J48" s="1" t="str">
        <v>3-'UTR_1426</v>
      </c>
    </row>
    <row r="49" spans="3:10" x14ac:dyDescent="0.5">
      <c r="C49" s="1" t="str">
        <v>06-00-1D Apob-SO</v>
      </c>
      <c r="F49" s="1" t="str">
        <v>TS1-SO</v>
      </c>
      <c r="H49" s="1" t="str">
        <v>Cd40-ASO 41 LNA</v>
      </c>
      <c r="I49" s="1" t="str">
        <v>Cd40-hm-SO</v>
      </c>
      <c r="J49" s="1" t="str">
        <v>3-'UTR_1429</v>
      </c>
    </row>
    <row r="50" spans="3:10" x14ac:dyDescent="0.5">
      <c r="C50" s="1" t="str">
        <v>06-00-1E TAKC02-SO</v>
      </c>
      <c r="F50" s="1" t="str">
        <v>PTEN-ASO</v>
      </c>
      <c r="H50" s="1" t="str">
        <v>Cd40-ASO 46 LNA</v>
      </c>
      <c r="I50" s="1" t="str">
        <v>malat1-SO[05B-FPP]</v>
      </c>
      <c r="J50" s="1" t="str">
        <v>3-'UTR_1432</v>
      </c>
    </row>
    <row r="51" spans="3:10" x14ac:dyDescent="0.5">
      <c r="C51" s="1" t="str">
        <v>06-00-1F TS1-SO</v>
      </c>
      <c r="F51" s="1" t="str">
        <v>PTEN-SO</v>
      </c>
      <c r="H51" s="1" t="str">
        <v>Cd40-ASO 51 LNA</v>
      </c>
      <c r="I51" s="1" t="str">
        <v>malat1-SO[09B-FPP]</v>
      </c>
      <c r="J51" s="1" t="str">
        <v>3-'UTR_1441</v>
      </c>
    </row>
    <row r="52" spans="3:10" x14ac:dyDescent="0.5">
      <c r="C52" s="1" t="str">
        <v>06-00-1G PTEN-SO</v>
      </c>
      <c r="F52" s="1" t="str">
        <v>MECP2-33-ASO</v>
      </c>
      <c r="H52" s="1" t="str">
        <v>Cd40-ASO 56 LNA</v>
      </c>
      <c r="I52" s="1" t="str">
        <v>malat1-SO[13B-FPP]</v>
      </c>
      <c r="J52" s="1" t="str">
        <v>3-'UTR_1444</v>
      </c>
    </row>
    <row r="53" spans="3:10" x14ac:dyDescent="0.5">
      <c r="C53" s="1" t="str">
        <v>06-00-1H AR-SO</v>
      </c>
      <c r="F53" s="1" t="str">
        <v>MECP2-52-ASO</v>
      </c>
      <c r="H53" s="1" t="str">
        <v>Cd40-ASO 61 LNA</v>
      </c>
      <c r="I53" s="1" t="str">
        <v>malat1-SO[05S-FPP]</v>
      </c>
      <c r="J53" s="1" t="str">
        <v>3-'UTR_1447</v>
      </c>
    </row>
    <row r="54" spans="3:10" x14ac:dyDescent="0.5">
      <c r="C54" s="1" t="str">
        <v>06-00-1I BCL2-SO</v>
      </c>
      <c r="F54" s="1" t="str">
        <v>AR-ASO(3-9-3-1)</v>
      </c>
      <c r="H54" s="1" t="str">
        <v>Cd40-ASO 66 LNA</v>
      </c>
      <c r="I54" s="1" t="str">
        <v>malat1-SO[09S-FPP]</v>
      </c>
      <c r="J54" s="1" t="str">
        <v>3-'UTR_1450</v>
      </c>
    </row>
    <row r="55" spans="3:10" x14ac:dyDescent="0.5">
      <c r="C55" s="1" t="str">
        <v>06-00-1J PTEN(20mer)-SO</v>
      </c>
      <c r="F55" s="1" t="str">
        <v>AR-SO(3-10-3)</v>
      </c>
      <c r="H55" s="1" t="str">
        <v>Cd40-ASO 71 LNA</v>
      </c>
      <c r="I55" s="1" t="str">
        <v>malat1-SO[13S-FPP]</v>
      </c>
      <c r="J55" s="1" t="str">
        <v>3-'UTR_1453</v>
      </c>
    </row>
    <row r="56" spans="3:10" x14ac:dyDescent="0.5">
      <c r="C56" s="1" t="str">
        <v>06-00-1K MECP2-33-SO</v>
      </c>
      <c r="F56" s="1" t="str">
        <v>AR-SO(4-9-3)</v>
      </c>
      <c r="H56" s="1" t="str">
        <v>Cd40-ASO 76 LNA</v>
      </c>
      <c r="I56" s="1" t="str">
        <v>Mecp2-33-SO(All-DNA)</v>
      </c>
      <c r="J56" s="1" t="str">
        <v>3-'UTR_1456</v>
      </c>
    </row>
    <row r="57" spans="3:10" x14ac:dyDescent="0.5">
      <c r="C57" s="1" t="str">
        <v>06-00-1L MECP2-52-SO</v>
      </c>
      <c r="F57" s="1" t="str">
        <v>T16(PS)</v>
      </c>
      <c r="H57" s="1" t="str">
        <v>Cd40-ASO 81 LNA</v>
      </c>
      <c r="I57" s="1" t="str">
        <v>b2a2 BCR::ABL-SO</v>
      </c>
      <c r="J57" s="1" t="str">
        <v>3-'UTR_1459</v>
      </c>
    </row>
    <row r="58" spans="3:10" x14ac:dyDescent="0.5">
      <c r="C58" s="1" t="str">
        <v>06-00-1M Malat1-hmSO(395251)</v>
      </c>
      <c r="F58" s="1" t="str">
        <v>T16(PB)</v>
      </c>
      <c r="H58" s="1" t="str">
        <v>Cd40-ASO 86 LNA</v>
      </c>
      <c r="I58" s="1" t="str">
        <v>b3a2 BCR::ABL-SO</v>
      </c>
      <c r="J58" s="1" t="str">
        <v>3-'UTR_1465</v>
      </c>
    </row>
    <row r="59" spans="3:10" x14ac:dyDescent="0.5">
      <c r="C59" s="1" t="str">
        <v>06-00-1N Apob(intron)-ASO</v>
      </c>
      <c r="F59" s="1" t="str">
        <v>BCL2-ASO</v>
      </c>
      <c r="H59" s="1" t="str">
        <v>Cd40-ASO 91 LNA</v>
      </c>
      <c r="I59" s="1" t="str">
        <v>Cd40-hm-SO (5'-2mer PS)</v>
      </c>
      <c r="J59" s="1" t="str">
        <v>3-'UTR_1468</v>
      </c>
    </row>
    <row r="60" spans="3:10" x14ac:dyDescent="0.5">
      <c r="C60" s="1" t="str">
        <v>06-00-1O Apob(intron)-SO</v>
      </c>
      <c r="F60" s="1" t="str">
        <v>BCL2-SO</v>
      </c>
      <c r="H60" s="1" t="str">
        <v>Cd40-ASO 96 LNA</v>
      </c>
      <c r="I60" s="1" t="str">
        <v>Cd40-hm-SO (3'-2mer PS)</v>
      </c>
      <c r="J60" s="1" t="str">
        <v>3-'UTR_1471</v>
      </c>
    </row>
    <row r="61" spans="3:10" x14ac:dyDescent="0.5">
      <c r="C61" s="1" t="str">
        <v>06-00-1P T18mer</v>
      </c>
      <c r="F61" s="1" t="str">
        <v>PTEN-ASO(MOE20mer)</v>
      </c>
      <c r="H61" s="1" t="str">
        <v>Cd40-ASO 101 LNA</v>
      </c>
      <c r="I61" s="1" t="str">
        <v>Cd40-SO 821 MOE</v>
      </c>
      <c r="J61" s="1" t="str">
        <v>3-'UTR_1474</v>
      </c>
    </row>
    <row r="62" spans="3:10" x14ac:dyDescent="0.5">
      <c r="C62" s="1" t="str">
        <v>06-00-1Q A18mer</v>
      </c>
      <c r="F62" s="1" t="str">
        <v>PTEN-SO(20mer)</v>
      </c>
      <c r="H62" s="1" t="str">
        <v>Cd40-ASO 106 LNA</v>
      </c>
      <c r="I62" s="1" t="str">
        <v>Cd40-SO 829 MOE</v>
      </c>
      <c r="J62" s="1" t="str">
        <v>3-'UTR_1477</v>
      </c>
    </row>
    <row r="63" spans="3:10" x14ac:dyDescent="0.5">
      <c r="C63" s="1" t="str">
        <v>06-00-1R Bcl2(G3139)-SO</v>
      </c>
      <c r="F63" s="1" t="str">
        <v>PTEN-SO(All-RNA20mer)</v>
      </c>
      <c r="H63" s="1" t="str">
        <v>Cd40-ASO 111 LNA</v>
      </c>
      <c r="I63" s="1" t="str">
        <v>malat1-hm-SO_Wsso</v>
      </c>
      <c r="J63" s="1" t="str">
        <v>3-'UTR_1480</v>
      </c>
    </row>
    <row r="64" spans="3:10" x14ac:dyDescent="0.5">
      <c r="C64" s="1" t="str">
        <v>06-00-1S Cd40-ASO</v>
      </c>
      <c r="F64" s="1" t="str">
        <v>MECP2-33-ASO(PS)</v>
      </c>
      <c r="H64" s="1" t="str">
        <v>Cd40-ASO 116 LNA</v>
      </c>
      <c r="I64" s="1" t="str">
        <v>malat1-hm-SO_Wsoo</v>
      </c>
      <c r="J64" s="1" t="str">
        <v>3-'UTR_1483</v>
      </c>
    </row>
    <row r="65" spans="3:10" x14ac:dyDescent="0.5">
      <c r="C65" s="1" t="str">
        <v>06-00-1T Cd40-SO</v>
      </c>
      <c r="F65" s="1" t="str">
        <v>MECP2-52-ASO(PS)</v>
      </c>
      <c r="H65" s="1" t="str">
        <v>Cd40-ASO 121 LNA</v>
      </c>
      <c r="I65" s="1" t="str">
        <v>malat1-hm-SO_FullPO</v>
      </c>
      <c r="J65" s="1" t="str">
        <v>3-'UTR_1486</v>
      </c>
    </row>
    <row r="66" spans="3:10" x14ac:dyDescent="0.5">
      <c r="C66" s="1" t="str">
        <v>06-00-1U Cd40-hm-ASO</v>
      </c>
      <c r="F66" s="1" t="str">
        <v>MECP2-33-SO</v>
      </c>
      <c r="H66" s="1" t="str">
        <v>Cd40-ASO 126 LNA</v>
      </c>
      <c r="I66" s="1" t="str">
        <v>malat1-hm-SO_GDNA</v>
      </c>
      <c r="J66" s="1" t="str">
        <v>3-'UTR_1489</v>
      </c>
    </row>
    <row r="67" spans="3:10" x14ac:dyDescent="0.5">
      <c r="C67" s="1" t="str">
        <v>06-00-1V Cd40-hm-SO</v>
      </c>
      <c r="F67" s="1" t="str">
        <v>MECP2-52-SO</v>
      </c>
      <c r="H67" s="1" t="str">
        <v>Cd40-ASO 131 LNA</v>
      </c>
      <c r="I67" s="1" t="str">
        <v>Cd40-SO 823 MOE</v>
      </c>
      <c r="J67" s="1" t="str">
        <v>3-'UTR_1492</v>
      </c>
    </row>
    <row r="68" spans="3:10" x14ac:dyDescent="0.5">
      <c r="C68" s="1" t="str">
        <v>06-00-1W Cd40-ASO 31</v>
      </c>
      <c r="F68" s="1" t="str">
        <v>GFP-ASO(OMe20mer)</v>
      </c>
      <c r="H68" s="1" t="str">
        <v>Cd40-ASO 136 LNA</v>
      </c>
      <c r="I68" s="1" t="str">
        <v>Cd40-SO 826 MOE</v>
      </c>
      <c r="J68" s="1" t="str">
        <v>3-'UTR_1495</v>
      </c>
    </row>
    <row r="69" spans="3:10" x14ac:dyDescent="0.5">
      <c r="C69" s="1" t="str">
        <v>06-00-1X Cd40-ASO 36</v>
      </c>
      <c r="F69" s="1" t="str">
        <v>GFP-ASO((MOE20mer)</v>
      </c>
      <c r="H69" s="1" t="str">
        <v>Cd40-ASO 141 LNA</v>
      </c>
      <c r="I69" s="1" t="str">
        <v>Cd40-SO 827 MOE</v>
      </c>
      <c r="J69" s="1" t="str">
        <v>3-'UTR_1498</v>
      </c>
    </row>
    <row r="70" spans="3:10" x14ac:dyDescent="0.5">
      <c r="C70" s="1" t="str">
        <v>06-00-1Y Cd40-ASO 41</v>
      </c>
      <c r="F70" s="1" t="str">
        <v>GFPL3-ASO((LNA16mer)</v>
      </c>
      <c r="H70" s="1" t="str">
        <v>Cd40-ASO 146 LNA</v>
      </c>
      <c r="I70" s="1" t="str">
        <v>Cd40-SO 831 MOE</v>
      </c>
      <c r="J70" s="1" t="str">
        <v>3-'UTR_1513</v>
      </c>
    </row>
    <row r="71" spans="3:10" x14ac:dyDescent="0.5">
      <c r="C71" s="1" t="str">
        <v>06-00-1Z Cd40-ASO 46</v>
      </c>
      <c r="F71" s="1" t="str">
        <v>GFPL4-ASO((LNA16mer)</v>
      </c>
      <c r="H71" s="1" t="str">
        <v>Cd40-ASO 151 LNA</v>
      </c>
      <c r="I71" s="1" t="str">
        <v>Cd40-SO 832 MOE</v>
      </c>
      <c r="J71" s="1" t="str">
        <v>3-'UTR_1516</v>
      </c>
    </row>
    <row r="72" spans="3:10" x14ac:dyDescent="0.5">
      <c r="C72" s="1" t="str">
        <v>06-00-20 Cd40-ASO 51</v>
      </c>
      <c r="F72" s="1" t="str">
        <v>GFPL5-ASO((LNA16mer)</v>
      </c>
      <c r="H72" s="1" t="str">
        <v>Cd40-ASO 156 LNA</v>
      </c>
      <c r="I72" s="1" t="str">
        <v>Cd40-SO 833 MOE</v>
      </c>
      <c r="J72" s="1" t="str">
        <v>3-'UTR_1519</v>
      </c>
    </row>
    <row r="73" spans="3:10" x14ac:dyDescent="0.5">
      <c r="C73" s="1" t="str">
        <v>06-00-21 Cd40-ASO 56</v>
      </c>
      <c r="F73" s="1" t="str">
        <v>Malat1-hm-ASO(395251)</v>
      </c>
      <c r="H73" s="1" t="str">
        <v>Cd40-ASO 161 LNA</v>
      </c>
      <c r="I73" s="1" t="str">
        <v>Cd40-SO 467 MOE</v>
      </c>
      <c r="J73" s="1" t="str">
        <v>3-'UTR_1522</v>
      </c>
    </row>
    <row r="74" spans="3:10" x14ac:dyDescent="0.5">
      <c r="C74" s="1" t="str">
        <v>06-00-22 Cd40-ASO 61</v>
      </c>
      <c r="F74" s="1" t="str">
        <v>Malat1-hm-SO(395251)</v>
      </c>
      <c r="H74" s="1" t="str">
        <v>Cd40-ASO 166 LNA</v>
      </c>
      <c r="J74" s="1" t="str">
        <v>3-'UTR_1525</v>
      </c>
    </row>
    <row r="75" spans="3:10" x14ac:dyDescent="0.5">
      <c r="C75" s="1" t="str">
        <v>06-00-23 Cd40-ASO 66</v>
      </c>
      <c r="F75" s="1" t="str">
        <v>Ifngr1_NM_010511 SO</v>
      </c>
      <c r="H75" s="1" t="str">
        <v>Cd40-ASO 171 LNA</v>
      </c>
      <c r="J75" s="1" t="str">
        <v>3-'UTR_1528</v>
      </c>
    </row>
    <row r="76" spans="3:10" x14ac:dyDescent="0.5">
      <c r="C76" s="1" t="str">
        <v>06-00-24 Cd40-ASO 71</v>
      </c>
      <c r="F76" s="1" t="str">
        <v>Ifngr1_NM_010511 ASO</v>
      </c>
      <c r="H76" s="1" t="str">
        <v>Cd40-ASO 176 LNA</v>
      </c>
      <c r="J76" s="1" t="str">
        <v>3-'UTR_1531</v>
      </c>
    </row>
    <row r="77" spans="3:10" x14ac:dyDescent="0.5">
      <c r="C77" s="1" t="str">
        <v>06-00-25 Cd40-ASO 76</v>
      </c>
      <c r="F77" s="1" t="str">
        <v>Bcl2(G3139)-ASO(LNA)</v>
      </c>
      <c r="H77" s="1" t="str">
        <v>Cd40-ASO 181 LNA</v>
      </c>
      <c r="J77" s="1" t="str">
        <v>3-'UTR_1540</v>
      </c>
    </row>
    <row r="78" spans="3:10" x14ac:dyDescent="0.5">
      <c r="C78" s="1" t="str">
        <v>06-00-26 Cd40-ASO 81</v>
      </c>
      <c r="F78" s="1" t="str">
        <v>Bcl2(G3139)-ASO(MOE)</v>
      </c>
      <c r="H78" s="1" t="str">
        <v>Cd40-ASO 186 LNA</v>
      </c>
      <c r="J78" s="1" t="str">
        <v>3-'UTR_1543</v>
      </c>
    </row>
    <row r="79" spans="3:10" x14ac:dyDescent="0.5">
      <c r="C79" s="1" t="str">
        <v>06-00-27 Cd40-ASO 86</v>
      </c>
      <c r="F79" s="1" t="str">
        <v>malat1-SO-AP05</v>
      </c>
      <c r="H79" s="1" t="str">
        <v>Cd40-ASO 191 LNA</v>
      </c>
      <c r="J79" s="1" t="str">
        <v>3-'UTR_1546</v>
      </c>
    </row>
    <row r="80" spans="3:10" x14ac:dyDescent="0.5">
      <c r="C80" s="1" t="str">
        <v>06-00-28 Cd40-ASO 91</v>
      </c>
      <c r="F80" s="1" t="str">
        <v>malat1-SO-AP09</v>
      </c>
      <c r="H80" s="1" t="str">
        <v>Cd40-ASO 196 LNA</v>
      </c>
      <c r="J80" s="1" t="str">
        <v>3-'UTR_1555</v>
      </c>
    </row>
    <row r="81" spans="3:10" x14ac:dyDescent="0.5">
      <c r="C81" s="1" t="str">
        <v>06-00-29 Cd40-ASO 96</v>
      </c>
      <c r="F81" s="1" t="str">
        <v>malat1-SO-AP13</v>
      </c>
      <c r="H81" s="1" t="str">
        <v>Cd40-ASO 201 LNA</v>
      </c>
      <c r="J81" s="1" t="str">
        <v>3-'UTR_1558</v>
      </c>
    </row>
    <row r="82" spans="3:10" x14ac:dyDescent="0.5">
      <c r="C82" s="1" t="str">
        <v>06-00-2A Cd40-ASO 101</v>
      </c>
      <c r="F82" s="1" t="str">
        <v>Apob(intron)-ASO</v>
      </c>
      <c r="H82" s="1" t="str">
        <v>Cd40-ASO 206 LNA</v>
      </c>
      <c r="J82" s="1" t="str">
        <v>3-'UTR_1561</v>
      </c>
    </row>
    <row r="83" spans="3:10" x14ac:dyDescent="0.5">
      <c r="C83" s="1" t="str">
        <v>06-00-2B Cd40-ASO 106</v>
      </c>
      <c r="F83" s="1" t="str">
        <v>Apob(intron)-SO</v>
      </c>
      <c r="H83" s="1" t="str">
        <v>Cd40-ASO 211 LNA</v>
      </c>
      <c r="J83" s="1" t="str">
        <v>3-'UTR_1564</v>
      </c>
    </row>
    <row r="84" spans="3:10" x14ac:dyDescent="0.5">
      <c r="C84" s="1" t="str">
        <v>06-00-2C Cd40-ASO 111</v>
      </c>
      <c r="F84" s="1" t="str">
        <v>malat1-SO-AP05-DBCO</v>
      </c>
      <c r="H84" s="1" t="str">
        <v>Cd40-ASO 216 LNA</v>
      </c>
      <c r="J84" s="1" t="str">
        <v>3-'UTR_1567</v>
      </c>
    </row>
    <row r="85" spans="3:10" x14ac:dyDescent="0.5">
      <c r="C85" s="1" t="str">
        <v>06-00-2D Cd40-ASO 116</v>
      </c>
      <c r="F85" s="1" t="str">
        <v>malat1-SO-AP09-DBCO</v>
      </c>
      <c r="H85" s="1" t="str">
        <v>Cd40-ASO 221 LNA</v>
      </c>
      <c r="J85" s="1" t="str">
        <v>3-'UTR_1570</v>
      </c>
    </row>
    <row r="86" spans="3:10" x14ac:dyDescent="0.5">
      <c r="C86" s="1" t="str">
        <v>06-00-2E Cd40-ASO 121</v>
      </c>
      <c r="F86" s="1" t="str">
        <v>malat1-SO-AP13-DBCO</v>
      </c>
      <c r="H86" s="1" t="str">
        <v>Cd40-ASO 226 LNA</v>
      </c>
      <c r="J86" s="1" t="str">
        <v>3-'UTR_1573</v>
      </c>
    </row>
    <row r="87" spans="3:10" x14ac:dyDescent="0.5">
      <c r="C87" s="1" t="str">
        <v>06-00-2F Cd40-ASO 126</v>
      </c>
      <c r="F87" s="1" t="str">
        <v>MOE-T18mer-ASO-PO</v>
      </c>
      <c r="H87" s="1" t="str">
        <v>Cd40-ASO 231 LNA</v>
      </c>
      <c r="J87" s="1" t="str">
        <v>3-'UTR_1576</v>
      </c>
    </row>
    <row r="88" spans="3:10" x14ac:dyDescent="0.5">
      <c r="C88" s="1" t="str">
        <v>06-00-2G Cd40-ASO 131</v>
      </c>
      <c r="F88" s="1" t="str">
        <v>MOE-T18mer-ASO-PS</v>
      </c>
      <c r="H88" s="1" t="str">
        <v>Cd40-ASO 236 LNA</v>
      </c>
      <c r="J88" s="1" t="str">
        <v>3-'UTR_1579</v>
      </c>
    </row>
    <row r="89" spans="3:10" x14ac:dyDescent="0.5">
      <c r="C89" s="1" t="str">
        <v>06-00-2H Cd40-ASO 136</v>
      </c>
      <c r="F89" s="1" t="str">
        <v>A18mer-SO</v>
      </c>
      <c r="H89" s="1" t="str">
        <v>Cd40-ASO 241 LNA</v>
      </c>
      <c r="J89" s="1" t="str">
        <v>3-'UTR_1582</v>
      </c>
    </row>
    <row r="90" spans="3:10" x14ac:dyDescent="0.5">
      <c r="C90" s="1" t="str">
        <v>06-00-2I Cd40-ASO 141</v>
      </c>
      <c r="F90" s="1" t="str">
        <v>Mecp2-33-SO(All-RNA)</v>
      </c>
      <c r="H90" s="1" t="str">
        <v>Cd40-ASO 246 LNA</v>
      </c>
      <c r="J90" s="1" t="str">
        <v>3-'UTR_1585</v>
      </c>
    </row>
    <row r="91" spans="3:10" x14ac:dyDescent="0.5">
      <c r="C91" s="1" t="str">
        <v>06-00-2J Cd40-ASO 146</v>
      </c>
      <c r="F91" s="1" t="str">
        <v>Mecp2-33-SO(3-12-3)</v>
      </c>
      <c r="H91" s="1" t="str">
        <v>Cd40-ASO 251 LNA</v>
      </c>
      <c r="J91" s="1" t="str">
        <v>3-'UTR_1588</v>
      </c>
    </row>
    <row r="92" spans="3:10" x14ac:dyDescent="0.5">
      <c r="C92" s="1" t="str">
        <v>06-00-2K Cd40-ASO 151</v>
      </c>
      <c r="F92" s="1" t="str">
        <v>Bcl2(G3139)-SO</v>
      </c>
      <c r="H92" s="1" t="str">
        <v>Cd40-ASO 256 LNA</v>
      </c>
      <c r="J92" s="1" t="str">
        <v>3-'UTR_1591</v>
      </c>
    </row>
    <row r="93" spans="3:10" x14ac:dyDescent="0.5">
      <c r="C93" s="1" t="str">
        <v>06-00-2L Cd40-ASO 156</v>
      </c>
      <c r="F93" s="1" t="str">
        <v>Cd40-ASO</v>
      </c>
      <c r="H93" s="1" t="str">
        <v>Cd40-ASO 261 LNA</v>
      </c>
      <c r="J93" s="1" t="str">
        <v>3-'UTR_1618</v>
      </c>
    </row>
    <row r="94" spans="3:10" x14ac:dyDescent="0.5">
      <c r="C94" s="1" t="str">
        <v>06-00-2M Cd40-ASO 161</v>
      </c>
      <c r="F94" s="1" t="str">
        <v>Cd40-SO</v>
      </c>
      <c r="H94" s="1" t="str">
        <v>Cd40-ASO 266 LNA</v>
      </c>
      <c r="J94" s="1" t="str">
        <v>3-'UTR_1621</v>
      </c>
    </row>
    <row r="95" spans="3:10" x14ac:dyDescent="0.5">
      <c r="C95" s="1" t="str">
        <v>06-00-2N Cd40-ASO 166</v>
      </c>
      <c r="F95" s="1" t="str">
        <v>Cd40-hm-ASO</v>
      </c>
      <c r="H95" s="1" t="str">
        <v>Cd40-ASO 271 LNA</v>
      </c>
      <c r="J95" s="1" t="str">
        <v>3-'UTR_1657</v>
      </c>
    </row>
    <row r="96" spans="3:10" x14ac:dyDescent="0.5">
      <c r="C96" s="1" t="str">
        <v>06-00-2O Cd40-ASO 171</v>
      </c>
      <c r="F96" s="1" t="str">
        <v>Cd40-hm-SO</v>
      </c>
      <c r="H96" s="1" t="str">
        <v>Cd40-ASO 276 LNA</v>
      </c>
      <c r="J96" s="1" t="str">
        <v>3-'UTR_1660</v>
      </c>
    </row>
    <row r="97" spans="3:10" x14ac:dyDescent="0.5">
      <c r="C97" s="1" t="str">
        <v>06-00-2P Cd40-ASO 176</v>
      </c>
      <c r="F97" s="1" t="str">
        <v>malat1-SO[05B-FPP]</v>
      </c>
      <c r="H97" s="1" t="str">
        <v>Cd40-ASO 281 LNA</v>
      </c>
      <c r="J97" s="1" t="str">
        <v>3-'UTR_1663</v>
      </c>
    </row>
    <row r="98" spans="3:10" x14ac:dyDescent="0.5">
      <c r="C98" s="1" t="str">
        <v>06-00-2Q Cd40-ASO 181</v>
      </c>
      <c r="F98" s="1" t="str">
        <v>malat1-SO[09B-FPP]</v>
      </c>
      <c r="H98" s="1" t="str">
        <v>Cd40-ASO 286 LNA</v>
      </c>
      <c r="J98" s="1" t="str">
        <v>3-'UTR_1690</v>
      </c>
    </row>
    <row r="99" spans="3:10" x14ac:dyDescent="0.5">
      <c r="C99" s="1" t="str">
        <v>06-00-2R Cd40-ASO 186</v>
      </c>
      <c r="F99" s="1" t="str">
        <v>malat1-SO[13B-FPP]</v>
      </c>
      <c r="H99" s="1" t="str">
        <v>Cd40-ASO 291 LNA</v>
      </c>
      <c r="J99" s="1" t="str">
        <v>3-'UTR_1693</v>
      </c>
    </row>
    <row r="100" spans="3:10" x14ac:dyDescent="0.5">
      <c r="C100" s="1" t="str">
        <v>06-00-2S Cd40-ASO 191</v>
      </c>
      <c r="F100" s="1" t="str">
        <v>malat1-SO[05S-FPP]</v>
      </c>
      <c r="H100" s="1" t="str">
        <v>Cd40-ASO 296 LNA</v>
      </c>
      <c r="J100" s="1" t="str">
        <v>3-'UTR_1696</v>
      </c>
    </row>
    <row r="101" spans="3:10" x14ac:dyDescent="0.5">
      <c r="C101" s="1" t="str">
        <v>06-00-2T Cd40-ASO 196</v>
      </c>
      <c r="F101" s="1" t="str">
        <v>malat1-SO[09S-FPP]</v>
      </c>
      <c r="H101" s="1" t="str">
        <v>Cd40-ASO 301 LNA</v>
      </c>
      <c r="J101" s="1" t="str">
        <v>3-'UTR_1699</v>
      </c>
    </row>
    <row r="102" spans="3:10" x14ac:dyDescent="0.5">
      <c r="C102" s="1" t="str">
        <v>06-00-2U Cd40-ASO 201</v>
      </c>
      <c r="F102" s="1" t="str">
        <v>malat1-SO[13S-FPP]</v>
      </c>
      <c r="H102" s="1" t="str">
        <v>Cd40-ASO 306 LNA</v>
      </c>
      <c r="J102" s="1" t="str">
        <v>3-'UTR_1702</v>
      </c>
    </row>
    <row r="103" spans="3:10" x14ac:dyDescent="0.5">
      <c r="C103" s="1" t="str">
        <v>06-00-2V Cd40-ASO 206</v>
      </c>
      <c r="F103" s="1" t="str">
        <v>Cd40-ASO 31 LNA</v>
      </c>
      <c r="H103" s="1" t="str">
        <v>Cd40-ASO 311 LNA</v>
      </c>
      <c r="J103" s="1" t="str">
        <v>3-'UTR_1705</v>
      </c>
    </row>
    <row r="104" spans="3:10" x14ac:dyDescent="0.5">
      <c r="C104" s="1" t="str">
        <v>06-00-2W Cd40-ASO 211</v>
      </c>
      <c r="F104" s="1" t="str">
        <v>Cd40-ASO 36 LNA</v>
      </c>
      <c r="H104" s="1" t="str">
        <v>Cd40-ASO 316 LNA</v>
      </c>
      <c r="J104" s="1" t="str">
        <v>3-'UTR_1708</v>
      </c>
    </row>
    <row r="105" spans="3:10" x14ac:dyDescent="0.5">
      <c r="C105" s="1" t="str">
        <v>06-00-2X Cd40-ASO 216</v>
      </c>
      <c r="F105" s="1" t="str">
        <v>Cd40-ASO 41 LNA</v>
      </c>
      <c r="H105" s="1" t="str">
        <v>Cd40-ASO 321 LNA</v>
      </c>
      <c r="J105" s="1" t="str">
        <v>3-'UTR_1714</v>
      </c>
    </row>
    <row r="106" spans="3:10" x14ac:dyDescent="0.5">
      <c r="C106" s="1" t="str">
        <v>06-00-2Y Cd40-ASO 221</v>
      </c>
      <c r="F106" s="1" t="str">
        <v>Cd40-ASO 46 LNA</v>
      </c>
      <c r="H106" s="1" t="str">
        <v>Cd40-ASO 326 LNA</v>
      </c>
      <c r="J106" s="1" t="str">
        <v>3-'UTR_1717</v>
      </c>
    </row>
    <row r="107" spans="3:10" x14ac:dyDescent="0.5">
      <c r="C107" s="1" t="str">
        <v>06-00-2Z Cd40-ASO 226</v>
      </c>
      <c r="F107" s="1" t="str">
        <v>Cd40-ASO 51 LNA</v>
      </c>
      <c r="H107" s="1" t="str">
        <v>Cd40-ASO 331 LNA</v>
      </c>
      <c r="J107" s="1" t="str">
        <v>3-'UTR_1720</v>
      </c>
    </row>
    <row r="108" spans="3:10" x14ac:dyDescent="0.5">
      <c r="C108" s="1" t="str">
        <v>06-00-30 Cd40-ASO 231</v>
      </c>
      <c r="F108" s="1" t="str">
        <v>Cd40-ASO 56 LNA</v>
      </c>
      <c r="H108" s="1" t="str">
        <v>Cd40-ASO 336 LNA</v>
      </c>
      <c r="J108" s="1" t="str">
        <v>3-'UTR_1744</v>
      </c>
    </row>
    <row r="109" spans="3:10" x14ac:dyDescent="0.5">
      <c r="C109" s="1" t="str">
        <v>06-00-31 Cd40-ASO 236</v>
      </c>
      <c r="F109" s="1" t="str">
        <v>Cd40-ASO 61 LNA</v>
      </c>
      <c r="H109" s="1" t="str">
        <v>Cd40-ASO 341 LNA</v>
      </c>
      <c r="J109" s="1" t="str">
        <v>3-'UTR_1747</v>
      </c>
    </row>
    <row r="110" spans="3:10" x14ac:dyDescent="0.5">
      <c r="C110" s="1" t="str">
        <v>06-00-32 Cd40-ASO 241</v>
      </c>
      <c r="F110" s="1" t="str">
        <v>Cd40-ASO 66 LNA</v>
      </c>
      <c r="H110" s="1" t="str">
        <v>Cd40-ASO 346 LNA</v>
      </c>
      <c r="J110" s="1" t="str">
        <v>3-'UTR_1750</v>
      </c>
    </row>
    <row r="111" spans="3:10" x14ac:dyDescent="0.5">
      <c r="C111" s="1" t="str">
        <v>06-00-33 Cd40-ASO 246</v>
      </c>
      <c r="F111" s="1" t="str">
        <v>Cd40-ASO 71 LNA</v>
      </c>
      <c r="H111" s="1" t="str">
        <v>Cd40-ASO 351 LNA</v>
      </c>
      <c r="J111" s="1" t="str">
        <v>3-'UTR_1810</v>
      </c>
    </row>
    <row r="112" spans="3:10" x14ac:dyDescent="0.5">
      <c r="C112" s="1" t="str">
        <v>06-00-34 Cd40-ASO 251</v>
      </c>
      <c r="F112" s="1" t="str">
        <v>Cd40-ASO 76 LNA</v>
      </c>
      <c r="H112" s="1" t="str">
        <v>Cd40-ASO 356 LNA</v>
      </c>
      <c r="J112" s="1" t="str">
        <v>3-'UTR_1813</v>
      </c>
    </row>
    <row r="113" spans="3:10" x14ac:dyDescent="0.5">
      <c r="C113" s="1" t="str">
        <v>06-00-35 Cd40-ASO 256</v>
      </c>
      <c r="F113" s="1" t="str">
        <v>Cd40-ASO 81 LNA</v>
      </c>
      <c r="H113" s="1" t="str">
        <v>Cd40-ASO 361 LNA</v>
      </c>
      <c r="J113" s="1" t="str">
        <v>3-'UTR_1816</v>
      </c>
    </row>
    <row r="114" spans="3:10" x14ac:dyDescent="0.5">
      <c r="C114" s="1" t="str">
        <v>06-00-36 Cd40-ASO 261</v>
      </c>
      <c r="F114" s="1" t="str">
        <v>Cd40-ASO 86 LNA</v>
      </c>
      <c r="H114" s="1" t="str">
        <v>Cd40-ASO 366 LNA</v>
      </c>
      <c r="J114" s="1" t="str">
        <v>3-'UTR_1819</v>
      </c>
    </row>
    <row r="115" spans="3:10" x14ac:dyDescent="0.5">
      <c r="C115" s="1" t="str">
        <v>06-00-37 Cd40-ASO 266</v>
      </c>
      <c r="F115" s="1" t="str">
        <v>Cd40-ASO 91 LNA</v>
      </c>
      <c r="H115" s="1" t="str">
        <v>Cd40-ASO 371 LNA</v>
      </c>
      <c r="J115" s="1" t="str">
        <v>3-'UTR_1822</v>
      </c>
    </row>
    <row r="116" spans="3:10" x14ac:dyDescent="0.5">
      <c r="C116" s="1" t="str">
        <v>06-00-38 Cd40-ASO 271</v>
      </c>
      <c r="F116" s="1" t="str">
        <v>Cd40-ASO 96 LNA</v>
      </c>
      <c r="H116" s="1" t="str">
        <v>Cd40-ASO 376 LNA</v>
      </c>
      <c r="J116" s="1" t="str">
        <v>3-'UTR_1873</v>
      </c>
    </row>
    <row r="117" spans="3:10" x14ac:dyDescent="0.5">
      <c r="C117" s="1" t="str">
        <v>06-00-39 Cd40-ASO 276</v>
      </c>
      <c r="F117" s="1" t="str">
        <v>Cd40-ASO 101 LNA</v>
      </c>
      <c r="H117" s="1" t="str">
        <v>Cd40-ASO 381 LNA</v>
      </c>
      <c r="J117" s="1" t="str">
        <v>3-'UTR_1879</v>
      </c>
    </row>
    <row r="118" spans="3:10" x14ac:dyDescent="0.5">
      <c r="C118" s="1" t="str">
        <v>06-00-3A Cd40-ASO 281</v>
      </c>
      <c r="F118" s="1" t="str">
        <v>Cd40-ASO 106 LNA</v>
      </c>
      <c r="H118" s="1" t="str">
        <v>Cd40-ASO 386 LNA</v>
      </c>
      <c r="J118" s="1" t="str">
        <v>3-'UTR_1882</v>
      </c>
    </row>
    <row r="119" spans="3:10" x14ac:dyDescent="0.5">
      <c r="C119" s="1" t="str">
        <v>06-00-3B Cd40-ASO 286</v>
      </c>
      <c r="F119" s="1" t="str">
        <v>Cd40-ASO 111 LNA</v>
      </c>
      <c r="H119" s="1" t="str">
        <v>Cd40-ASO 391 LNA</v>
      </c>
      <c r="J119" s="1" t="str">
        <v>3-'UTR_1885</v>
      </c>
    </row>
    <row r="120" spans="3:10" x14ac:dyDescent="0.5">
      <c r="C120" s="1" t="str">
        <v>06-00-3C Cd40-ASO 291</v>
      </c>
      <c r="F120" s="1" t="str">
        <v>Cd40-ASO 116 LNA</v>
      </c>
      <c r="H120" s="1" t="str">
        <v>Cd40-ASO 396 LNA</v>
      </c>
      <c r="J120" s="1" t="str">
        <v>3-'UTR_1888</v>
      </c>
    </row>
    <row r="121" spans="3:10" x14ac:dyDescent="0.5">
      <c r="C121" s="1" t="str">
        <v>06-00-3D Cd40-ASO 296</v>
      </c>
      <c r="F121" s="1" t="str">
        <v>Cd40-ASO 121 LNA</v>
      </c>
      <c r="H121" s="1" t="str">
        <v>Cd40-ASO 401 LNA</v>
      </c>
      <c r="J121" s="1" t="str">
        <v>3-'UTR_1891</v>
      </c>
    </row>
    <row r="122" spans="3:10" x14ac:dyDescent="0.5">
      <c r="C122" s="1" t="str">
        <v>06-00-3E Cd40-ASO 301</v>
      </c>
      <c r="F122" s="1" t="str">
        <v>Cd40-ASO 126 LNA</v>
      </c>
      <c r="H122" s="1" t="str">
        <v>Cd40-ASO 406 LNA</v>
      </c>
      <c r="J122" s="1" t="str">
        <v>3-'UTR_1939</v>
      </c>
    </row>
    <row r="123" spans="3:10" x14ac:dyDescent="0.5">
      <c r="C123" s="1" t="str">
        <v>06-00-3F Cd40-ASO 306</v>
      </c>
      <c r="F123" s="1" t="str">
        <v>Cd40-ASO 131 LNA</v>
      </c>
      <c r="H123" s="1" t="str">
        <v>Cd40-ASO 411 LNA</v>
      </c>
      <c r="J123" s="1" t="str">
        <v>3-'UTR_1942</v>
      </c>
    </row>
    <row r="124" spans="3:10" x14ac:dyDescent="0.5">
      <c r="C124" s="1" t="str">
        <v>06-00-3G Cd40-ASO 311</v>
      </c>
      <c r="F124" s="1" t="str">
        <v>Cd40-ASO 136 LNA</v>
      </c>
      <c r="H124" s="1" t="str">
        <v>Cd40-ASO 416 LNA</v>
      </c>
      <c r="J124" s="1" t="str">
        <v>3-'UTR_1963</v>
      </c>
    </row>
    <row r="125" spans="3:10" x14ac:dyDescent="0.5">
      <c r="C125" s="1" t="str">
        <v>06-00-3H Cd40-ASO 316</v>
      </c>
      <c r="F125" s="1" t="str">
        <v>Cd40-ASO 141 LNA</v>
      </c>
      <c r="H125" s="1" t="str">
        <v>Cd40-ASO 421 LNA</v>
      </c>
      <c r="J125" s="1" t="str">
        <v>3-'UTR_1984</v>
      </c>
    </row>
    <row r="126" spans="3:10" x14ac:dyDescent="0.5">
      <c r="C126" s="1" t="str">
        <v>06-00-3I Cd40-ASO 321</v>
      </c>
      <c r="F126" s="1" t="str">
        <v>Cd40-ASO 146 LNA</v>
      </c>
      <c r="H126" s="1" t="str">
        <v>Cd40-ASO 426 LNA</v>
      </c>
      <c r="J126" s="1" t="str">
        <v>3-'UTR_1987</v>
      </c>
    </row>
    <row r="127" spans="3:10" x14ac:dyDescent="0.5">
      <c r="C127" s="1" t="str">
        <v>06-00-3J Cd40-ASO 326</v>
      </c>
      <c r="F127" s="1" t="str">
        <v>Cd40-ASO 151 LNA</v>
      </c>
      <c r="H127" s="1" t="str">
        <v>Cd40-ASO 431 LNA</v>
      </c>
      <c r="J127" s="1" t="str">
        <v>3-'UTR_1990</v>
      </c>
    </row>
    <row r="128" spans="3:10" x14ac:dyDescent="0.5">
      <c r="C128" s="1" t="str">
        <v>06-00-3K Cd40-ASO 331</v>
      </c>
      <c r="F128" s="1" t="str">
        <v>Cd40-ASO 156 LNA</v>
      </c>
      <c r="H128" s="1" t="str">
        <v>Cd40-ASO 436 LNA</v>
      </c>
      <c r="J128" s="1" t="str">
        <v>3-'UTR_1993</v>
      </c>
    </row>
    <row r="129" spans="3:10" x14ac:dyDescent="0.5">
      <c r="C129" s="1" t="str">
        <v>06-00-3L Cd40-ASO 336</v>
      </c>
      <c r="F129" s="1" t="str">
        <v>Cd40-ASO 161 LNA</v>
      </c>
      <c r="H129" s="1" t="str">
        <v>Cd40-ASO 441 LNA</v>
      </c>
      <c r="J129" s="1" t="str">
        <v>3-'UTR_2065</v>
      </c>
    </row>
    <row r="130" spans="3:10" x14ac:dyDescent="0.5">
      <c r="C130" s="1" t="str">
        <v>06-00-3M Cd40-ASO 341</v>
      </c>
      <c r="F130" s="1" t="str">
        <v>Cd40-ASO 166 LNA</v>
      </c>
      <c r="H130" s="1" t="str">
        <v>Cd40-ASO 446 LNA</v>
      </c>
      <c r="J130" s="1" t="str">
        <v>3-'UTR_2068</v>
      </c>
    </row>
    <row r="131" spans="3:10" x14ac:dyDescent="0.5">
      <c r="C131" s="1" t="str">
        <v>06-00-3N Cd40-ASO 346</v>
      </c>
      <c r="F131" s="1" t="str">
        <v>Cd40-ASO 171 LNA</v>
      </c>
      <c r="H131" s="1" t="str">
        <v>Cd40-ASO 451 LNA</v>
      </c>
      <c r="J131" s="1" t="str">
        <v>3-'UTR_2071</v>
      </c>
    </row>
    <row r="132" spans="3:10" x14ac:dyDescent="0.5">
      <c r="C132" s="1" t="str">
        <v>06-00-3O Cd40-ASO 351</v>
      </c>
      <c r="F132" s="1" t="str">
        <v>Cd40-ASO 176 LNA</v>
      </c>
      <c r="H132" s="1" t="str">
        <v>Cd40-ASO 456 LNA</v>
      </c>
      <c r="J132" s="1" t="str">
        <v>3-'UTR_2074</v>
      </c>
    </row>
    <row r="133" spans="3:10" x14ac:dyDescent="0.5">
      <c r="C133" s="1" t="str">
        <v>06-00-3P Cd40-ASO 356</v>
      </c>
      <c r="F133" s="1" t="str">
        <v>Cd40-ASO 181 LNA</v>
      </c>
      <c r="H133" s="1" t="str">
        <v>Cd40-ASO 461 LNA</v>
      </c>
      <c r="J133" s="1" t="str">
        <v>3-'UTR_2077</v>
      </c>
    </row>
    <row r="134" spans="3:10" x14ac:dyDescent="0.5">
      <c r="C134" s="1" t="str">
        <v>06-00-3Q Cd40-ASO 361</v>
      </c>
      <c r="F134" s="1" t="str">
        <v>Cd40-ASO 186 LNA</v>
      </c>
      <c r="H134" s="1" t="str">
        <v>Cd40-ASO 466 LNA</v>
      </c>
      <c r="J134" s="1" t="str">
        <v>3-'UTR_2080</v>
      </c>
    </row>
    <row r="135" spans="3:10" x14ac:dyDescent="0.5">
      <c r="C135" s="1" t="str">
        <v>06-00-3R Cd40-ASO 366</v>
      </c>
      <c r="F135" s="1" t="str">
        <v>Cd40-ASO 191 LNA</v>
      </c>
      <c r="H135" s="1" t="str">
        <v>Cd40-ASO 471 LNA</v>
      </c>
      <c r="J135" s="1" t="str">
        <v>3-'UTR_2083</v>
      </c>
    </row>
    <row r="136" spans="3:10" x14ac:dyDescent="0.5">
      <c r="C136" s="1" t="str">
        <v>06-00-3S Cd40-ASO 371</v>
      </c>
      <c r="F136" s="1" t="str">
        <v>Cd40-ASO 196 LNA</v>
      </c>
      <c r="H136" s="1" t="str">
        <v>Cd40-ASO 476 LNA</v>
      </c>
      <c r="J136" s="1" t="str">
        <v>3-'UTR_2149</v>
      </c>
    </row>
    <row r="137" spans="3:10" x14ac:dyDescent="0.5">
      <c r="C137" s="1" t="str">
        <v>06-00-3T Cd40-ASO 376</v>
      </c>
      <c r="F137" s="1" t="str">
        <v>Cd40-ASO 201 LNA</v>
      </c>
      <c r="H137" s="1" t="str">
        <v>Cd40-ASO 481 LNA</v>
      </c>
      <c r="J137" s="1" t="str">
        <v>3-'UTR_2155</v>
      </c>
    </row>
    <row r="138" spans="3:10" x14ac:dyDescent="0.5">
      <c r="C138" s="1" t="str">
        <v>06-00-3U Cd40-ASO 381</v>
      </c>
      <c r="F138" s="1" t="str">
        <v>Cd40-ASO 206 LNA</v>
      </c>
      <c r="H138" s="1" t="str">
        <v>Cd40-ASO 486 LNA</v>
      </c>
      <c r="J138" s="1" t="str">
        <v>3-'UTR_2158</v>
      </c>
    </row>
    <row r="139" spans="3:10" x14ac:dyDescent="0.5">
      <c r="C139" s="1" t="str">
        <v>06-00-3V Cd40-ASO 386</v>
      </c>
      <c r="F139" s="1" t="str">
        <v>Cd40-ASO 211 LNA</v>
      </c>
      <c r="H139" s="1" t="str">
        <v>Cd40-ASO 491 LNA</v>
      </c>
      <c r="J139" s="1" t="str">
        <v>3-'UTR_2161</v>
      </c>
    </row>
    <row r="140" spans="3:10" x14ac:dyDescent="0.5">
      <c r="C140" s="1" t="str">
        <v>06-00-3W Cd40-ASO 391</v>
      </c>
      <c r="F140" s="1" t="str">
        <v>Cd40-ASO 216 LNA</v>
      </c>
      <c r="H140" s="1" t="str">
        <v>Cd40-ASO 496 LNA</v>
      </c>
      <c r="J140" s="1" t="str">
        <v>3-'UTR_2164</v>
      </c>
    </row>
    <row r="141" spans="3:10" x14ac:dyDescent="0.5">
      <c r="C141" s="1" t="str">
        <v>06-00-3X Cd40-ASO 396</v>
      </c>
      <c r="F141" s="1" t="str">
        <v>Cd40-ASO 221 LNA</v>
      </c>
      <c r="H141" s="1" t="str">
        <v>Cd40-ASO 501 LNA</v>
      </c>
      <c r="J141" s="1" t="str">
        <v>3-'UTR_2167</v>
      </c>
    </row>
    <row r="142" spans="3:10" x14ac:dyDescent="0.5">
      <c r="C142" s="1" t="str">
        <v>06-00-3Y Cd40-ASO 401</v>
      </c>
      <c r="F142" s="1" t="str">
        <v>Cd40-ASO 226 LNA</v>
      </c>
      <c r="H142" s="1" t="str">
        <v>Cd40-ASO 506 LNA</v>
      </c>
      <c r="J142" s="1" t="str">
        <v>3-'UTR_2170</v>
      </c>
    </row>
    <row r="143" spans="3:10" x14ac:dyDescent="0.5">
      <c r="C143" s="1" t="str">
        <v>06-00-3Z Cd40-ASO 406</v>
      </c>
      <c r="F143" s="1" t="str">
        <v>Cd40-ASO 231 LNA</v>
      </c>
      <c r="H143" s="1" t="str">
        <v>Cd40-ASO 511 LNA</v>
      </c>
      <c r="J143" s="1" t="str">
        <v>3-'UTR_2173</v>
      </c>
    </row>
    <row r="144" spans="3:10" x14ac:dyDescent="0.5">
      <c r="C144" s="1" t="str">
        <v>06-00-40 Cd40-ASO 411</v>
      </c>
      <c r="F144" s="1" t="str">
        <v>Cd40-ASO 236 LNA</v>
      </c>
      <c r="H144" s="1" t="str">
        <v>Cd40-ASO 516 LNA</v>
      </c>
      <c r="J144" s="1" t="str">
        <v>3-'UTR_2245</v>
      </c>
    </row>
    <row r="145" spans="3:10" x14ac:dyDescent="0.5">
      <c r="C145" s="1" t="str">
        <v>06-00-41 Cd40-ASO 416</v>
      </c>
      <c r="F145" s="1" t="str">
        <v>Cd40-ASO 241 LNA</v>
      </c>
      <c r="H145" s="1" t="str">
        <v>Cd40-ASO 521 LNA</v>
      </c>
      <c r="J145" s="1" t="str">
        <v>3-'UTR_2356</v>
      </c>
    </row>
    <row r="146" spans="3:10" x14ac:dyDescent="0.5">
      <c r="C146" s="1" t="str">
        <v>06-00-42 Cd40-ASO 421</v>
      </c>
      <c r="F146" s="1" t="str">
        <v>Cd40-ASO 246 LNA</v>
      </c>
      <c r="H146" s="1" t="str">
        <v>Cd40-ASO 526 LNA</v>
      </c>
      <c r="J146" s="1" t="str">
        <v>3-'UTR_2377</v>
      </c>
    </row>
    <row r="147" spans="3:10" x14ac:dyDescent="0.5">
      <c r="C147" s="1" t="str">
        <v>06-00-43 Cd40-ASO 426</v>
      </c>
      <c r="F147" s="1" t="str">
        <v>Cd40-ASO 251 LNA</v>
      </c>
      <c r="H147" s="1" t="str">
        <v>Cd40-ASO 531 LNA</v>
      </c>
      <c r="J147" s="1" t="str">
        <v>3-'UTR_2380</v>
      </c>
    </row>
    <row r="148" spans="3:10" x14ac:dyDescent="0.5">
      <c r="C148" s="1" t="str">
        <v>06-00-44 Cd40-ASO 431</v>
      </c>
      <c r="F148" s="1" t="str">
        <v>Cd40-ASO 256 LNA</v>
      </c>
      <c r="H148" s="1" t="str">
        <v>Cd40-ASO 536 LNA</v>
      </c>
      <c r="J148" s="1" t="str">
        <v>3-'UTR_2383</v>
      </c>
    </row>
    <row r="149" spans="3:10" x14ac:dyDescent="0.5">
      <c r="C149" s="1" t="str">
        <v>06-00-45 Cd40-ASO 436</v>
      </c>
      <c r="F149" s="1" t="str">
        <v>Cd40-ASO 261 LNA</v>
      </c>
      <c r="H149" s="1" t="str">
        <v>Cd40-ASO 541 LNA</v>
      </c>
      <c r="J149" s="1" t="str">
        <v>3-'UTR_2386</v>
      </c>
    </row>
    <row r="150" spans="3:10" x14ac:dyDescent="0.5">
      <c r="C150" s="1" t="str">
        <v>06-00-46 Cd40-ASO 441</v>
      </c>
      <c r="F150" s="1" t="str">
        <v>Cd40-ASO 266 LNA</v>
      </c>
      <c r="H150" s="1" t="str">
        <v>Cd40-ASO 546 LNA</v>
      </c>
      <c r="J150" s="1" t="str">
        <v>3-'UTR_2389</v>
      </c>
    </row>
    <row r="151" spans="3:10" x14ac:dyDescent="0.5">
      <c r="C151" s="1" t="str">
        <v>06-00-47 Cd40-ASO 446</v>
      </c>
      <c r="F151" s="1" t="str">
        <v>Cd40-ASO 271 LNA</v>
      </c>
      <c r="H151" s="1" t="str">
        <v>Cd40-ASO 551 LNA</v>
      </c>
      <c r="J151" s="1" t="str">
        <v>3-'UTR_2419</v>
      </c>
    </row>
    <row r="152" spans="3:10" x14ac:dyDescent="0.5">
      <c r="C152" s="1" t="str">
        <v>06-00-48 Cd40-ASO 451</v>
      </c>
      <c r="F152" s="1" t="str">
        <v>Cd40-ASO 276 LNA</v>
      </c>
      <c r="H152" s="1" t="str">
        <v>Cd40-ASO 556 LNA</v>
      </c>
      <c r="J152" s="1" t="str">
        <v>3-'UTR_2422</v>
      </c>
    </row>
    <row r="153" spans="3:10" x14ac:dyDescent="0.5">
      <c r="C153" s="1" t="str">
        <v>06-00-49 Cd40-ASO 456</v>
      </c>
      <c r="F153" s="1" t="str">
        <v>Cd40-ASO 281 LNA</v>
      </c>
      <c r="H153" s="1" t="str">
        <v>Cd40-ASO 561 LNA</v>
      </c>
      <c r="J153" s="1" t="str">
        <v>CDS_437</v>
      </c>
    </row>
    <row r="154" spans="3:10" x14ac:dyDescent="0.5">
      <c r="C154" s="1" t="str">
        <v>06-00-4A Cd40-ASO 461</v>
      </c>
      <c r="F154" s="1" t="str">
        <v>Cd40-ASO 286 LNA</v>
      </c>
      <c r="H154" s="1" t="str">
        <v>Cd40-ASO 566 LNA</v>
      </c>
      <c r="J154" s="1" t="str">
        <v>CDS_440</v>
      </c>
    </row>
    <row r="155" spans="3:10" x14ac:dyDescent="0.5">
      <c r="C155" s="1" t="str">
        <v>06-00-4B Cd40-ASO 466</v>
      </c>
      <c r="F155" s="1" t="str">
        <v>Cd40-ASO 291 LNA</v>
      </c>
      <c r="H155" s="1" t="str">
        <v>Cd40-ASO 571 LNA</v>
      </c>
      <c r="J155" s="1" t="str">
        <v>CDS_443</v>
      </c>
    </row>
    <row r="156" spans="3:10" x14ac:dyDescent="0.5">
      <c r="C156" s="1" t="str">
        <v>06-00-4C Cd40-ASO 471</v>
      </c>
      <c r="F156" s="1" t="str">
        <v>Cd40-ASO 296 LNA</v>
      </c>
      <c r="H156" s="1" t="str">
        <v>Cd40-ASO 576 LNA</v>
      </c>
      <c r="J156" s="1" t="str">
        <v>CDS_446</v>
      </c>
    </row>
    <row r="157" spans="3:10" x14ac:dyDescent="0.5">
      <c r="C157" s="1" t="str">
        <v>06-00-4D Cd40-ASO 476</v>
      </c>
      <c r="F157" s="1" t="str">
        <v>Cd40-ASO 301 LNA</v>
      </c>
      <c r="H157" s="1" t="str">
        <v>Cd40-ASO 581 LNA</v>
      </c>
      <c r="J157" s="1" t="str">
        <v>CDS_449</v>
      </c>
    </row>
    <row r="158" spans="3:10" x14ac:dyDescent="0.5">
      <c r="C158" s="1" t="str">
        <v>06-00-4E Cd40-ASO 481</v>
      </c>
      <c r="F158" s="1" t="str">
        <v>Cd40-ASO 306 LNA</v>
      </c>
      <c r="H158" s="1" t="str">
        <v>Cd40-ASO 586 LNA</v>
      </c>
      <c r="J158" s="1" t="str">
        <v>CDS_524</v>
      </c>
    </row>
    <row r="159" spans="3:10" x14ac:dyDescent="0.5">
      <c r="C159" s="1" t="str">
        <v>06-00-4F Cd40-ASO 486</v>
      </c>
      <c r="F159" s="1" t="str">
        <v>Cd40-ASO 311 LNA</v>
      </c>
      <c r="H159" s="1" t="str">
        <v>Cd40-ASO 591 LNA</v>
      </c>
      <c r="J159" s="1" t="str">
        <v>CDS_527</v>
      </c>
    </row>
    <row r="160" spans="3:10" x14ac:dyDescent="0.5">
      <c r="C160" s="1" t="str">
        <v>06-00-4G Cd40-ASO 491</v>
      </c>
      <c r="F160" s="1" t="str">
        <v>Cd40-ASO 316 LNA</v>
      </c>
      <c r="H160" s="1" t="str">
        <v>Cd40-ASO 596 LNA</v>
      </c>
      <c r="J160" s="1" t="str">
        <v>CDS_530</v>
      </c>
    </row>
    <row r="161" spans="3:10" x14ac:dyDescent="0.5">
      <c r="C161" s="1" t="str">
        <v>06-00-4H Cd40-ASO 496</v>
      </c>
      <c r="F161" s="1" t="str">
        <v>Cd40-ASO 321 LNA</v>
      </c>
      <c r="H161" s="1" t="str">
        <v>Cd40-ASO 601 LNA</v>
      </c>
      <c r="J161" s="1" t="str">
        <v>CDS_533</v>
      </c>
    </row>
    <row r="162" spans="3:10" x14ac:dyDescent="0.5">
      <c r="C162" s="1" t="str">
        <v>06-00-4I Cd40-ASO 501</v>
      </c>
      <c r="F162" s="1" t="str">
        <v>Cd40-ASO 326 LNA</v>
      </c>
      <c r="H162" s="1" t="str">
        <v>Cd40-ASO 606 LNA</v>
      </c>
      <c r="J162" s="1" t="str">
        <v>CDS_536</v>
      </c>
    </row>
    <row r="163" spans="3:10" x14ac:dyDescent="0.5">
      <c r="C163" s="1" t="str">
        <v>06-00-4J Cd40-ASO 506</v>
      </c>
      <c r="F163" s="1" t="str">
        <v>Cd40-ASO 331 LNA</v>
      </c>
      <c r="H163" s="1" t="str">
        <v>Cd40-ASO 611 LNA</v>
      </c>
      <c r="J163" s="1" t="str">
        <v>CDS_539</v>
      </c>
    </row>
    <row r="164" spans="3:10" x14ac:dyDescent="0.5">
      <c r="C164" s="1" t="str">
        <v>06-00-4K Cd40-ASO 511</v>
      </c>
      <c r="F164" s="1" t="str">
        <v>Cd40-ASO 336 LNA</v>
      </c>
      <c r="H164" s="1" t="str">
        <v>Cd40-ASO 616 LNA</v>
      </c>
      <c r="J164" s="1" t="str">
        <v>CDS_557</v>
      </c>
    </row>
    <row r="165" spans="3:10" x14ac:dyDescent="0.5">
      <c r="C165" s="1" t="str">
        <v>06-00-4L Cd40-ASO 516</v>
      </c>
      <c r="F165" s="1" t="str">
        <v>Cd40-ASO 341 LNA</v>
      </c>
      <c r="H165" s="1" t="str">
        <v>Cd40-ASO 621 LNA</v>
      </c>
      <c r="J165" s="1" t="str">
        <v>CDS_560</v>
      </c>
    </row>
    <row r="166" spans="3:10" x14ac:dyDescent="0.5">
      <c r="C166" s="1" t="str">
        <v>06-00-4M Cd40-ASO 521</v>
      </c>
      <c r="F166" s="1" t="str">
        <v>Cd40-ASO 346 LNA</v>
      </c>
      <c r="H166" s="1" t="str">
        <v>Cd40-ASO 626 LNA</v>
      </c>
      <c r="J166" s="1" t="str">
        <v>CDS_563</v>
      </c>
    </row>
    <row r="167" spans="3:10" x14ac:dyDescent="0.5">
      <c r="C167" s="1" t="str">
        <v>06-00-4N Cd40-ASO 526</v>
      </c>
      <c r="F167" s="1" t="str">
        <v>Cd40-ASO 351 LNA</v>
      </c>
      <c r="H167" s="1" t="str">
        <v>Cd40-ASO 631 LNA</v>
      </c>
      <c r="J167" s="1" t="str">
        <v>CDS_566</v>
      </c>
    </row>
    <row r="168" spans="3:10" x14ac:dyDescent="0.5">
      <c r="C168" s="1" t="str">
        <v>06-00-4O Cd40-ASO 531</v>
      </c>
      <c r="F168" s="1" t="str">
        <v>Cd40-ASO 356 LNA</v>
      </c>
      <c r="H168" s="1" t="str">
        <v>Cd40-ASO 636 LNA</v>
      </c>
      <c r="J168" s="1" t="str">
        <v>CDS_569</v>
      </c>
    </row>
    <row r="169" spans="3:10" x14ac:dyDescent="0.5">
      <c r="C169" s="1" t="str">
        <v>06-00-4P Cd40-ASO 536</v>
      </c>
      <c r="F169" s="1" t="str">
        <v>Cd40-ASO 361 LNA</v>
      </c>
      <c r="H169" s="1" t="str">
        <v>Cd40-ASO 641 LNA</v>
      </c>
      <c r="J169" s="1" t="str">
        <v>CDS_572</v>
      </c>
    </row>
    <row r="170" spans="3:10" x14ac:dyDescent="0.5">
      <c r="C170" s="1" t="str">
        <v>06-00-4Q Cd40-ASO 541</v>
      </c>
      <c r="F170" s="1" t="str">
        <v>Cd40-ASO 366 LNA</v>
      </c>
      <c r="H170" s="1" t="str">
        <v>Cd40-ASO 646 LNA</v>
      </c>
      <c r="J170" s="1" t="str">
        <v>CDS_605</v>
      </c>
    </row>
    <row r="171" spans="3:10" x14ac:dyDescent="0.5">
      <c r="C171" s="1" t="str">
        <v>06-00-4R Cd40-ASO 546</v>
      </c>
      <c r="F171" s="1" t="str">
        <v>Cd40-ASO 371 LNA</v>
      </c>
      <c r="H171" s="1" t="str">
        <v>Cd40-ASO 651 LNA</v>
      </c>
      <c r="J171" s="1" t="str">
        <v>CDS_608</v>
      </c>
    </row>
    <row r="172" spans="3:10" x14ac:dyDescent="0.5">
      <c r="C172" s="1" t="str">
        <v>06-00-4S Cd40-ASO 551</v>
      </c>
      <c r="F172" s="1" t="str">
        <v>Cd40-ASO 376 LNA</v>
      </c>
      <c r="H172" s="1" t="str">
        <v>Cd40-ASO 656 LNA</v>
      </c>
      <c r="J172" s="1" t="str">
        <v>CDS_626</v>
      </c>
    </row>
    <row r="173" spans="3:10" x14ac:dyDescent="0.5">
      <c r="C173" s="1" t="str">
        <v>06-00-4T Cd40-ASO 556</v>
      </c>
      <c r="F173" s="1" t="str">
        <v>Cd40-ASO 381 LNA</v>
      </c>
      <c r="H173" s="1" t="str">
        <v>Cd40-ASO 661 LNA</v>
      </c>
      <c r="J173" s="1" t="str">
        <v>CDS_629</v>
      </c>
    </row>
    <row r="174" spans="3:10" x14ac:dyDescent="0.5">
      <c r="C174" s="1" t="str">
        <v>06-00-4U Cd40-ASO 561</v>
      </c>
      <c r="F174" s="1" t="str">
        <v>Cd40-ASO 386 LNA</v>
      </c>
      <c r="H174" s="1" t="str">
        <v>Cd40-ASO 666 LNA</v>
      </c>
      <c r="J174" s="1" t="str">
        <v>CDS_632</v>
      </c>
    </row>
    <row r="175" spans="3:10" x14ac:dyDescent="0.5">
      <c r="C175" s="1" t="str">
        <v>06-00-4V Cd40-ASO 566</v>
      </c>
      <c r="F175" s="1" t="str">
        <v>Cd40-ASO 391 LNA</v>
      </c>
      <c r="H175" s="1" t="str">
        <v>Cd40-ASO 671 LNA</v>
      </c>
      <c r="J175" s="1" t="str">
        <v>CDS_635</v>
      </c>
    </row>
    <row r="176" spans="3:10" x14ac:dyDescent="0.5">
      <c r="C176" s="1" t="str">
        <v>06-00-4W Cd40-ASO 571</v>
      </c>
      <c r="F176" s="1" t="str">
        <v>Cd40-ASO 396 LNA</v>
      </c>
      <c r="H176" s="1" t="str">
        <v>Cd40-ASO 676 LNA</v>
      </c>
      <c r="J176" s="1" t="str">
        <v>CDS_638</v>
      </c>
    </row>
    <row r="177" spans="3:10" x14ac:dyDescent="0.5">
      <c r="C177" s="1" t="str">
        <v>06-00-4X Cd40-ASO 576</v>
      </c>
      <c r="F177" s="1" t="str">
        <v>Cd40-ASO 401 LNA</v>
      </c>
      <c r="H177" s="1" t="str">
        <v>Cd40-ASO 681 LNA</v>
      </c>
      <c r="J177" s="1" t="str">
        <v>CDS_641</v>
      </c>
    </row>
    <row r="178" spans="3:10" x14ac:dyDescent="0.5">
      <c r="C178" s="1" t="str">
        <v>06-00-4Y Cd40-ASO 581</v>
      </c>
      <c r="F178" s="1" t="str">
        <v>Cd40-ASO 406 LNA</v>
      </c>
      <c r="H178" s="1" t="str">
        <v>Cd40-ASO 686 LNA</v>
      </c>
      <c r="J178" s="1" t="str">
        <v>CDS_680</v>
      </c>
    </row>
    <row r="179" spans="3:10" x14ac:dyDescent="0.5">
      <c r="C179" s="1" t="str">
        <v>06-00-4Z Cd40-ASO 586</v>
      </c>
      <c r="F179" s="1" t="str">
        <v>Cd40-ASO 411 LNA</v>
      </c>
      <c r="H179" s="1" t="str">
        <v>Cd40-ASO 691 LNA</v>
      </c>
      <c r="J179" s="1" t="str">
        <v>CDS_692</v>
      </c>
    </row>
    <row r="180" spans="3:10" x14ac:dyDescent="0.5">
      <c r="C180" s="1" t="str">
        <v>06-00-50 Cd40-ASO 591</v>
      </c>
      <c r="F180" s="1" t="str">
        <v>Cd40-ASO 416 LNA</v>
      </c>
      <c r="H180" s="1" t="str">
        <v>Cd40-ASO 696 LNA</v>
      </c>
      <c r="J180" s="1" t="str">
        <v>CDS_695</v>
      </c>
    </row>
    <row r="181" spans="3:10" x14ac:dyDescent="0.5">
      <c r="C181" s="1" t="str">
        <v>06-00-51 Cd40-ASO 596</v>
      </c>
      <c r="F181" s="1" t="str">
        <v>Cd40-ASO 421 LNA</v>
      </c>
      <c r="H181" s="1" t="str">
        <v>Cd40-ASO 701 LNA</v>
      </c>
      <c r="J181" s="1" t="str">
        <v>CDS_701</v>
      </c>
    </row>
    <row r="182" spans="3:10" x14ac:dyDescent="0.5">
      <c r="C182" s="1" t="str">
        <v>06-00-52 Cd40-ASO 601</v>
      </c>
      <c r="F182" s="1" t="str">
        <v>Cd40-ASO 426 LNA</v>
      </c>
      <c r="H182" s="1" t="str">
        <v>Cd40-ASO 706 LNA</v>
      </c>
      <c r="J182" s="1" t="str">
        <v>CDS_704</v>
      </c>
    </row>
    <row r="183" spans="3:10" x14ac:dyDescent="0.5">
      <c r="C183" s="1" t="str">
        <v>06-00-53 Cd40-ASO 606</v>
      </c>
      <c r="F183" s="1" t="str">
        <v>Cd40-ASO 431 LNA</v>
      </c>
      <c r="H183" s="1" t="str">
        <v>Cd40-ASO 711 LNA</v>
      </c>
      <c r="J183" s="1" t="str">
        <v>CDS_707</v>
      </c>
    </row>
    <row r="184" spans="3:10" x14ac:dyDescent="0.5">
      <c r="C184" s="1" t="str">
        <v>06-00-54 Cd40-ASO 611</v>
      </c>
      <c r="F184" s="1" t="str">
        <v>Cd40-ASO 436 LNA</v>
      </c>
      <c r="H184" s="1" t="str">
        <v>Cd40-ASO 716 LNA</v>
      </c>
      <c r="J184" s="1" t="str">
        <v>CDS_725</v>
      </c>
    </row>
    <row r="185" spans="3:10" x14ac:dyDescent="0.5">
      <c r="C185" s="1" t="str">
        <v>06-00-55 Cd40-ASO 616</v>
      </c>
      <c r="F185" s="1" t="str">
        <v>Cd40-ASO 441 LNA</v>
      </c>
      <c r="H185" s="1" t="str">
        <v>Cd40-ASO 721 LNA</v>
      </c>
      <c r="J185" s="1" t="str">
        <v>CDS_728</v>
      </c>
    </row>
    <row r="186" spans="3:10" x14ac:dyDescent="0.5">
      <c r="C186" s="1" t="str">
        <v>06-00-56 Cd40-ASO 621</v>
      </c>
      <c r="F186" s="1" t="str">
        <v>Cd40-ASO 446 LNA</v>
      </c>
      <c r="H186" s="1" t="str">
        <v>Cd40-ASO 726 LNA</v>
      </c>
      <c r="J186" s="1" t="str">
        <v>CDS_734</v>
      </c>
    </row>
    <row r="187" spans="3:10" x14ac:dyDescent="0.5">
      <c r="C187" s="1" t="str">
        <v>06-00-57 Cd40-ASO 626</v>
      </c>
      <c r="F187" s="1" t="str">
        <v>Cd40-ASO 451 LNA</v>
      </c>
      <c r="H187" s="1" t="str">
        <v>Cd40-ASO 731 LNA</v>
      </c>
      <c r="J187" s="1" t="str">
        <v>CDS_737</v>
      </c>
    </row>
    <row r="188" spans="3:10" x14ac:dyDescent="0.5">
      <c r="C188" s="1" t="str">
        <v>06-00-58 Cd40-ASO 631</v>
      </c>
      <c r="F188" s="1" t="str">
        <v>Cd40-ASO 456 LNA</v>
      </c>
      <c r="H188" s="1" t="str">
        <v>Cd40-ASO 736 LNA</v>
      </c>
      <c r="J188" s="1" t="str">
        <v>CDS_740</v>
      </c>
    </row>
    <row r="189" spans="3:10" x14ac:dyDescent="0.5">
      <c r="C189" s="1" t="str">
        <v>06-00-59 Cd40-ASO 636</v>
      </c>
      <c r="F189" s="1" t="str">
        <v>Cd40-ASO 461 LNA</v>
      </c>
      <c r="H189" s="1" t="str">
        <v>Cd40-ASO 741 LNA</v>
      </c>
      <c r="J189" s="1" t="str">
        <v>CDS_743</v>
      </c>
    </row>
    <row r="190" spans="3:10" x14ac:dyDescent="0.5">
      <c r="C190" s="1" t="str">
        <v>06-00-5A Cd40-ASO 641</v>
      </c>
      <c r="F190" s="1" t="str">
        <v>Cd40-ASO 466 LNA</v>
      </c>
      <c r="H190" s="1" t="str">
        <v>Cd40-ASO 746 LNA</v>
      </c>
      <c r="J190" s="1" t="str">
        <v>CDS_746</v>
      </c>
    </row>
    <row r="191" spans="3:10" x14ac:dyDescent="0.5">
      <c r="C191" s="1" t="str">
        <v>06-00-5B Cd40-ASO 646</v>
      </c>
      <c r="F191" s="1" t="str">
        <v>Cd40-ASO 471 LNA</v>
      </c>
      <c r="H191" s="1" t="str">
        <v>Cd40-ASO 751 LNA</v>
      </c>
      <c r="J191" s="1" t="str">
        <v>CDS_749</v>
      </c>
    </row>
    <row r="192" spans="3:10" x14ac:dyDescent="0.5">
      <c r="C192" s="1" t="str">
        <v>06-00-5C Cd40-ASO 651</v>
      </c>
      <c r="F192" s="1" t="str">
        <v>Cd40-ASO 476 LNA</v>
      </c>
      <c r="H192" s="1" t="str">
        <v>Cd40-ASO 756 LNA</v>
      </c>
      <c r="J192" s="1" t="str">
        <v>CDS_773</v>
      </c>
    </row>
    <row r="193" spans="3:10" x14ac:dyDescent="0.5">
      <c r="C193" s="1" t="str">
        <v>06-00-5D Cd40-ASO 656</v>
      </c>
      <c r="F193" s="1" t="str">
        <v>Cd40-ASO 481 LNA</v>
      </c>
      <c r="H193" s="1" t="str">
        <v>Cd40-ASO 761 LNA</v>
      </c>
      <c r="J193" s="1" t="str">
        <v>CDS_776</v>
      </c>
    </row>
    <row r="194" spans="3:10" x14ac:dyDescent="0.5">
      <c r="C194" s="1" t="str">
        <v>06-00-5E Cd40-ASO 661</v>
      </c>
      <c r="F194" s="1" t="str">
        <v>Cd40-ASO 486 LNA</v>
      </c>
      <c r="H194" s="1" t="str">
        <v>Cd40-ASO 766 LNA</v>
      </c>
      <c r="J194" s="1" t="str">
        <v>CDS_779</v>
      </c>
    </row>
    <row r="195" spans="3:10" x14ac:dyDescent="0.5">
      <c r="C195" s="1" t="str">
        <v>06-00-5F Cd40-ASO 666</v>
      </c>
      <c r="F195" s="1" t="str">
        <v>Cd40-ASO 491 LNA</v>
      </c>
      <c r="H195" s="1" t="str">
        <v>Cd40-ASO 771 LNA</v>
      </c>
      <c r="J195" s="1" t="str">
        <v>CDS_782</v>
      </c>
    </row>
    <row r="196" spans="3:10" x14ac:dyDescent="0.5">
      <c r="C196" s="1" t="str">
        <v>06-00-5G Cd40-ASO 671</v>
      </c>
      <c r="F196" s="1" t="str">
        <v>Cd40-ASO 496 LNA</v>
      </c>
      <c r="H196" s="1" t="str">
        <v>Cd40-ASO 776 LNA</v>
      </c>
      <c r="J196" s="1" t="str">
        <v>CDS_785</v>
      </c>
    </row>
    <row r="197" spans="3:10" x14ac:dyDescent="0.5">
      <c r="C197" s="1" t="str">
        <v>06-00-5H Cd40-ASO 676</v>
      </c>
      <c r="F197" s="1" t="str">
        <v>Cd40-ASO 501 LNA</v>
      </c>
      <c r="H197" s="1" t="str">
        <v>Cd40-ASO 781 LNA</v>
      </c>
      <c r="J197" s="1" t="str">
        <v>CDS_788</v>
      </c>
    </row>
    <row r="198" spans="3:10" x14ac:dyDescent="0.5">
      <c r="C198" s="1" t="str">
        <v>06-00-5I Cd40-ASO 681</v>
      </c>
      <c r="F198" s="1" t="str">
        <v>Cd40-ASO 506 LNA</v>
      </c>
      <c r="H198" s="1" t="str">
        <v>Cd40-ASO 786 LNA</v>
      </c>
      <c r="J198" s="1" t="str">
        <v>CDS_791</v>
      </c>
    </row>
    <row r="199" spans="3:10" x14ac:dyDescent="0.5">
      <c r="C199" s="1" t="str">
        <v>06-00-5J Cd40-ASO 686</v>
      </c>
      <c r="F199" s="1" t="str">
        <v>Cd40-ASO 511 LNA</v>
      </c>
      <c r="H199" s="1" t="str">
        <v>Cd40-ASO 791 LNA</v>
      </c>
      <c r="J199" s="1" t="str">
        <v>CDS_794</v>
      </c>
    </row>
    <row r="200" spans="3:10" x14ac:dyDescent="0.5">
      <c r="C200" s="1" t="str">
        <v>06-00-5K Cd40-ASO 691</v>
      </c>
      <c r="F200" s="1" t="str">
        <v>Cd40-ASO 516 LNA</v>
      </c>
      <c r="H200" s="1" t="str">
        <v>Cd40-ASO 796 LNA</v>
      </c>
      <c r="J200" s="1" t="str">
        <v>CDS_797</v>
      </c>
    </row>
    <row r="201" spans="3:10" x14ac:dyDescent="0.5">
      <c r="C201" s="1" t="str">
        <v>06-00-5L Cd40-ASO 696</v>
      </c>
      <c r="F201" s="1" t="str">
        <v>Cd40-ASO 521 LNA</v>
      </c>
      <c r="H201" s="1" t="str">
        <v>Cd40-ASO 801 LNA</v>
      </c>
      <c r="J201" s="1" t="str">
        <v>CDS_800</v>
      </c>
    </row>
    <row r="202" spans="3:10" x14ac:dyDescent="0.5">
      <c r="C202" s="1" t="str">
        <v>06-00-5M Cd40-ASO 701</v>
      </c>
      <c r="F202" s="1" t="str">
        <v>Cd40-ASO 526 LNA</v>
      </c>
      <c r="H202" s="1" t="str">
        <v>Cd40-ASO 806 LNA</v>
      </c>
      <c r="J202" s="1" t="str">
        <v>CDS_803</v>
      </c>
    </row>
    <row r="203" spans="3:10" x14ac:dyDescent="0.5">
      <c r="C203" s="1" t="str">
        <v>06-00-5N Cd40-ASO 706</v>
      </c>
      <c r="F203" s="1" t="str">
        <v>Cd40-ASO 531 LNA</v>
      </c>
      <c r="H203" s="1" t="str">
        <v>Cd40-ASO 811 LNA</v>
      </c>
      <c r="J203" s="1" t="str">
        <v>CDS_845</v>
      </c>
    </row>
    <row r="204" spans="3:10" x14ac:dyDescent="0.5">
      <c r="C204" s="1" t="str">
        <v>06-00-5O Cd40-ASO 711</v>
      </c>
      <c r="F204" s="1" t="str">
        <v>Cd40-ASO 536 LNA</v>
      </c>
      <c r="H204" s="1" t="str">
        <v>Cd40-ASO 816 LNA</v>
      </c>
      <c r="J204" s="1" t="str">
        <v>CDS_893</v>
      </c>
    </row>
    <row r="205" spans="3:10" x14ac:dyDescent="0.5">
      <c r="C205" s="1" t="str">
        <v>06-00-5P Cd40-ASO 716</v>
      </c>
      <c r="F205" s="1" t="str">
        <v>Cd40-ASO 541 LNA</v>
      </c>
      <c r="H205" s="1" t="str">
        <v>Cd40-ASO 821 LNA</v>
      </c>
      <c r="J205" s="1" t="str">
        <v>CDS_896</v>
      </c>
    </row>
    <row r="206" spans="3:10" x14ac:dyDescent="0.5">
      <c r="C206" s="1" t="str">
        <v>06-00-5Q Cd40-ASO 721</v>
      </c>
      <c r="F206" s="1" t="str">
        <v>Cd40-ASO 546 LNA</v>
      </c>
      <c r="H206" s="1" t="str">
        <v>Cd40-ASO 826 LNA</v>
      </c>
      <c r="J206" s="1" t="str">
        <v>CDS_899</v>
      </c>
    </row>
    <row r="207" spans="3:10" x14ac:dyDescent="0.5">
      <c r="C207" s="1" t="str">
        <v>06-00-5R Cd40-ASO 726</v>
      </c>
      <c r="F207" s="1" t="str">
        <v>Cd40-ASO 551 LNA</v>
      </c>
      <c r="H207" s="1" t="str">
        <v>Cd40-ASO 831 LNA</v>
      </c>
      <c r="J207" s="1" t="str">
        <v>CDS_902</v>
      </c>
    </row>
    <row r="208" spans="3:10" x14ac:dyDescent="0.5">
      <c r="C208" s="1" t="str">
        <v>06-00-5S Cd40-ASO 731</v>
      </c>
      <c r="F208" s="1" t="str">
        <v>Cd40-ASO 556 LNA</v>
      </c>
      <c r="H208" s="1" t="str">
        <v>Cd40-ASO 836 LNA</v>
      </c>
      <c r="J208" s="1" t="str">
        <v>CDS_905</v>
      </c>
    </row>
    <row r="209" spans="3:10" x14ac:dyDescent="0.5">
      <c r="C209" s="1" t="str">
        <v>06-00-5T Cd40-ASO 736</v>
      </c>
      <c r="F209" s="1" t="str">
        <v>Cd40-ASO 561 LNA</v>
      </c>
      <c r="H209" s="1" t="str">
        <v>Cd40-ASO 841 LNA</v>
      </c>
      <c r="J209" s="1" t="str">
        <v>CDS_908</v>
      </c>
    </row>
    <row r="210" spans="3:10" x14ac:dyDescent="0.5">
      <c r="C210" s="1" t="str">
        <v>06-00-5U Cd40-ASO 741</v>
      </c>
      <c r="F210" s="1" t="str">
        <v>Cd40-ASO 566 LNA</v>
      </c>
      <c r="H210" s="1" t="str">
        <v>Cd40-ASO 31 MOE</v>
      </c>
      <c r="J210" s="1" t="str">
        <v>CDS_911</v>
      </c>
    </row>
    <row r="211" spans="3:10" x14ac:dyDescent="0.5">
      <c r="C211" s="1" t="str">
        <v>06-00-5V Cd40-ASO 746</v>
      </c>
      <c r="F211" s="1" t="str">
        <v>Cd40-ASO 571 LNA</v>
      </c>
      <c r="H211" s="1" t="str">
        <v>Cd40-ASO 36 MOE</v>
      </c>
      <c r="J211" s="1" t="str">
        <v>CDS_914</v>
      </c>
    </row>
    <row r="212" spans="3:10" x14ac:dyDescent="0.5">
      <c r="C212" s="1" t="str">
        <v>06-00-5W Cd40-ASO 751</v>
      </c>
      <c r="F212" s="1" t="str">
        <v>Cd40-ASO 576 LNA</v>
      </c>
      <c r="H212" s="1" t="str">
        <v>Cd40-ASO 41 MOE</v>
      </c>
      <c r="J212" s="1" t="str">
        <v>CDS_920</v>
      </c>
    </row>
    <row r="213" spans="3:10" x14ac:dyDescent="0.5">
      <c r="C213" s="1" t="str">
        <v>06-00-5X Cd40-ASO 756</v>
      </c>
      <c r="F213" s="1" t="str">
        <v>Cd40-ASO 581 LNA</v>
      </c>
      <c r="H213" s="1" t="str">
        <v>Cd40-ASO 46 MOE</v>
      </c>
      <c r="J213" s="1" t="str">
        <v>CDS_923</v>
      </c>
    </row>
    <row r="214" spans="3:10" x14ac:dyDescent="0.5">
      <c r="C214" s="1" t="str">
        <v>06-00-5Y Cd40-ASO 761</v>
      </c>
      <c r="F214" s="1" t="str">
        <v>Cd40-ASO 586 LNA</v>
      </c>
      <c r="H214" s="1" t="str">
        <v>Cd40-ASO 51 MOE</v>
      </c>
      <c r="J214" s="1" t="str">
        <v>CDS_932</v>
      </c>
    </row>
    <row r="215" spans="3:10" x14ac:dyDescent="0.5">
      <c r="C215" s="1" t="str">
        <v>06-00-5Z Cd40-ASO 766</v>
      </c>
      <c r="F215" s="1" t="str">
        <v>Cd40-ASO 591 LNA</v>
      </c>
      <c r="H215" s="1" t="str">
        <v>Cd40-ASO 56 MOE</v>
      </c>
      <c r="J215" s="1" t="str">
        <v>CDS_935</v>
      </c>
    </row>
    <row r="216" spans="3:10" x14ac:dyDescent="0.5">
      <c r="C216" s="1" t="str">
        <v>06-00-60 Cd40-ASO 771</v>
      </c>
      <c r="F216" s="1" t="str">
        <v>Cd40-ASO 596 LNA</v>
      </c>
      <c r="H216" s="1" t="str">
        <v>Cd40-ASO 61 MOE</v>
      </c>
      <c r="J216" s="1" t="str">
        <v>CDS_938</v>
      </c>
    </row>
    <row r="217" spans="3:10" x14ac:dyDescent="0.5">
      <c r="C217" s="1" t="str">
        <v>06-00-61 Cd40-ASO 776</v>
      </c>
      <c r="F217" s="1" t="str">
        <v>Cd40-ASO 601 LNA</v>
      </c>
      <c r="H217" s="1" t="str">
        <v>Cd40-ASO 66 MOE</v>
      </c>
      <c r="J217" s="1" t="str">
        <v>CDS_941</v>
      </c>
    </row>
    <row r="218" spans="3:10" x14ac:dyDescent="0.5">
      <c r="C218" s="1" t="str">
        <v>06-00-62 Cd40-ASO 781</v>
      </c>
      <c r="F218" s="1" t="str">
        <v>Cd40-ASO 606 LNA</v>
      </c>
      <c r="H218" s="1" t="str">
        <v>Cd40-ASO 71 MOE</v>
      </c>
      <c r="J218" s="1" t="str">
        <v>CDS_947</v>
      </c>
    </row>
    <row r="219" spans="3:10" x14ac:dyDescent="0.5">
      <c r="C219" s="1" t="str">
        <v>06-00-63 Cd40-ASO 786</v>
      </c>
      <c r="F219" s="1" t="str">
        <v>Cd40-ASO 611 LNA</v>
      </c>
      <c r="H219" s="1" t="str">
        <v>Cd40-ASO 76 MOE</v>
      </c>
      <c r="J219" s="1" t="str">
        <v>CDS_950</v>
      </c>
    </row>
    <row r="220" spans="3:10" x14ac:dyDescent="0.5">
      <c r="C220" s="1" t="str">
        <v>06-00-64 Cd40-ASO 791</v>
      </c>
      <c r="F220" s="1" t="str">
        <v>Cd40-ASO 616 LNA</v>
      </c>
      <c r="H220" s="1" t="str">
        <v>Cd40-ASO 81 MOE</v>
      </c>
      <c r="J220" s="1" t="str">
        <v>CDS_953</v>
      </c>
    </row>
    <row r="221" spans="3:10" x14ac:dyDescent="0.5">
      <c r="C221" s="1" t="str">
        <v>06-00-65 Cd40-ASO 796</v>
      </c>
      <c r="F221" s="1" t="str">
        <v>Cd40-ASO 621 LNA</v>
      </c>
      <c r="H221" s="1" t="str">
        <v>Cd40-ASO 86 MOE</v>
      </c>
      <c r="J221" s="1" t="str">
        <v>CDS_1016</v>
      </c>
    </row>
    <row r="222" spans="3:10" x14ac:dyDescent="0.5">
      <c r="C222" s="1" t="str">
        <v>06-00-66 Cd40-ASO 801</v>
      </c>
      <c r="F222" s="1" t="str">
        <v>Cd40-ASO 626 LNA</v>
      </c>
      <c r="H222" s="1" t="str">
        <v>Cd40-ASO 91 MOE</v>
      </c>
      <c r="J222" s="1" t="str">
        <v>CDS_1025</v>
      </c>
    </row>
    <row r="223" spans="3:10" x14ac:dyDescent="0.5">
      <c r="C223" s="1" t="str">
        <v>06-00-67 Cd40-ASO 806</v>
      </c>
      <c r="F223" s="1" t="str">
        <v>Cd40-ASO 631 LNA</v>
      </c>
      <c r="H223" s="1" t="str">
        <v>Cd40-ASO 96 MOE</v>
      </c>
      <c r="J223" s="1" t="str">
        <v>CDS_1040</v>
      </c>
    </row>
    <row r="224" spans="3:10" x14ac:dyDescent="0.5">
      <c r="C224" s="1" t="str">
        <v>06-00-68 Cd40-ASO 811</v>
      </c>
      <c r="F224" s="1" t="str">
        <v>Cd40-ASO 636 LNA</v>
      </c>
      <c r="H224" s="1" t="str">
        <v>Cd40-ASO 101 MOE</v>
      </c>
      <c r="J224" s="1" t="str">
        <v>CDS_1043</v>
      </c>
    </row>
    <row r="225" spans="3:10" x14ac:dyDescent="0.5">
      <c r="C225" s="1" t="str">
        <v>06-00-69 Cd40-ASO 816</v>
      </c>
      <c r="F225" s="1" t="str">
        <v>Cd40-ASO 641 LNA</v>
      </c>
      <c r="H225" s="1" t="str">
        <v>Cd40-ASO 106 MOE</v>
      </c>
      <c r="J225" s="1" t="str">
        <v>CDS_1046</v>
      </c>
    </row>
    <row r="226" spans="3:10" x14ac:dyDescent="0.5">
      <c r="C226" s="1" t="str">
        <v>06-00-6A Cd40-ASO 821</v>
      </c>
      <c r="F226" s="1" t="str">
        <v>Cd40-ASO 646 LNA</v>
      </c>
      <c r="H226" s="1" t="str">
        <v>Cd40-ASO 111 MOE</v>
      </c>
      <c r="J226" s="1" t="str">
        <v>CDS_1049</v>
      </c>
    </row>
    <row r="227" spans="3:10" x14ac:dyDescent="0.5">
      <c r="C227" s="1" t="str">
        <v>06-00-6B Cd40-ASO 826</v>
      </c>
      <c r="F227" s="1" t="str">
        <v>Cd40-ASO 651 LNA</v>
      </c>
      <c r="H227" s="1" t="str">
        <v>Cd40-ASO 116 MOE</v>
      </c>
      <c r="J227" s="1" t="str">
        <v>CDS_1052</v>
      </c>
    </row>
    <row r="228" spans="3:10" x14ac:dyDescent="0.5">
      <c r="C228" s="1" t="str">
        <v>06-00-6C Cd40-ASO 831</v>
      </c>
      <c r="F228" s="1" t="str">
        <v>Cd40-ASO 656 LNA</v>
      </c>
      <c r="H228" s="1" t="str">
        <v>Cd40-ASO 121 MOE</v>
      </c>
      <c r="J228" s="1" t="str">
        <v>CDS_1055</v>
      </c>
    </row>
    <row r="229" spans="3:10" x14ac:dyDescent="0.5">
      <c r="C229" s="1" t="str">
        <v>06-00-6D Cd40-ASO 836</v>
      </c>
      <c r="F229" s="1" t="str">
        <v>Cd40-ASO 661 LNA</v>
      </c>
      <c r="H229" s="1" t="str">
        <v>Cd40-ASO 126 MOE</v>
      </c>
      <c r="J229" s="1" t="str">
        <v>CDS_1058</v>
      </c>
    </row>
    <row r="230" spans="3:10" x14ac:dyDescent="0.5">
      <c r="C230" s="1" t="str">
        <v>06-00-6E Cd40-ASO 841</v>
      </c>
      <c r="F230" s="1" t="str">
        <v>Cd40-ASO 666 LNA</v>
      </c>
      <c r="H230" s="1" t="str">
        <v>Cd40-ASO 131 MOE</v>
      </c>
      <c r="J230" s="1" t="str">
        <v>CDS_1061</v>
      </c>
    </row>
    <row r="231" spans="3:10" x14ac:dyDescent="0.5">
      <c r="C231" s="1" t="str">
        <v>06-00-6F Cd40-ASO 31</v>
      </c>
      <c r="F231" s="1" t="str">
        <v>Cd40-ASO 671 LNA</v>
      </c>
      <c r="H231" s="1" t="str">
        <v>Cd40-ASO 136 MOE</v>
      </c>
      <c r="J231" s="1" t="str">
        <v>CDS_1064</v>
      </c>
    </row>
    <row r="232" spans="3:10" x14ac:dyDescent="0.5">
      <c r="C232" s="1" t="str">
        <v>06-00-6G Cd40-ASO 36</v>
      </c>
      <c r="F232" s="1" t="str">
        <v>Cd40-ASO 676 LNA</v>
      </c>
      <c r="H232" s="1" t="str">
        <v>Cd40-ASO 141 MOE</v>
      </c>
      <c r="J232" s="1" t="str">
        <v>CDS_1067</v>
      </c>
    </row>
    <row r="233" spans="3:10" x14ac:dyDescent="0.5">
      <c r="C233" s="1" t="str">
        <v>06-00-6H Cd40-ASO 41</v>
      </c>
      <c r="F233" s="1" t="str">
        <v>Cd40-ASO 681 LNA</v>
      </c>
      <c r="H233" s="1" t="str">
        <v>Cd40-ASO 146 MOE</v>
      </c>
      <c r="J233" s="1" t="str">
        <v>CDS_1073</v>
      </c>
    </row>
    <row r="234" spans="3:10" x14ac:dyDescent="0.5">
      <c r="C234" s="1" t="str">
        <v>06-00-6I Cd40-ASO 46</v>
      </c>
      <c r="F234" s="1" t="str">
        <v>Cd40-ASO 686 LNA</v>
      </c>
      <c r="H234" s="1" t="str">
        <v>Cd40-ASO 151 MOE</v>
      </c>
      <c r="J234" s="1" t="str">
        <v>CDS_1076</v>
      </c>
    </row>
    <row r="235" spans="3:10" x14ac:dyDescent="0.5">
      <c r="C235" s="1" t="str">
        <v>06-00-6J Cd40-ASO 51</v>
      </c>
      <c r="F235" s="1" t="str">
        <v>Cd40-ASO 691 LNA</v>
      </c>
      <c r="H235" s="1" t="str">
        <v>Cd40-ASO 156 MOE</v>
      </c>
      <c r="J235" s="1" t="str">
        <v>CDS_1079</v>
      </c>
    </row>
    <row r="236" spans="3:10" x14ac:dyDescent="0.5">
      <c r="C236" s="1" t="str">
        <v>06-00-6K Cd40-ASO 56</v>
      </c>
      <c r="F236" s="1" t="str">
        <v>Cd40-ASO 696 LNA</v>
      </c>
      <c r="H236" s="1" t="str">
        <v>Cd40-ASO 161 MOE</v>
      </c>
      <c r="J236" s="1" t="str">
        <v>CDS_1082</v>
      </c>
    </row>
    <row r="237" spans="3:10" x14ac:dyDescent="0.5">
      <c r="C237" s="1" t="str">
        <v>06-00-6L Cd40-ASO 61</v>
      </c>
      <c r="F237" s="1" t="str">
        <v>Cd40-ASO 701 LNA</v>
      </c>
      <c r="H237" s="1" t="str">
        <v>Cd40-ASO 166 MOE</v>
      </c>
      <c r="J237" s="1" t="str">
        <v>CDS_1085</v>
      </c>
    </row>
    <row r="238" spans="3:10" x14ac:dyDescent="0.5">
      <c r="C238" s="1" t="str">
        <v>06-00-6M Cd40-ASO 66</v>
      </c>
      <c r="F238" s="1" t="str">
        <v>Cd40-ASO 706 LNA</v>
      </c>
      <c r="H238" s="1" t="str">
        <v>Cd40-ASO 171 MOE</v>
      </c>
      <c r="J238" s="1" t="str">
        <v>CDS_1094</v>
      </c>
    </row>
    <row r="239" spans="3:10" x14ac:dyDescent="0.5">
      <c r="C239" s="1" t="str">
        <v>06-00-6N Cd40-ASO 71</v>
      </c>
      <c r="F239" s="1" t="str">
        <v>Cd40-ASO 711 LNA</v>
      </c>
      <c r="H239" s="1" t="str">
        <v>Cd40-ASO 176 MOE</v>
      </c>
      <c r="J239" s="1" t="str">
        <v>CDS_1097</v>
      </c>
    </row>
    <row r="240" spans="3:10" x14ac:dyDescent="0.5">
      <c r="C240" s="1" t="str">
        <v>06-00-6O Cd40-ASO 76</v>
      </c>
      <c r="F240" s="1" t="str">
        <v>Cd40-ASO 716 LNA</v>
      </c>
      <c r="H240" s="1" t="str">
        <v>Cd40-ASO 181 MOE</v>
      </c>
      <c r="J240" s="1" t="str">
        <v>CDS_1100</v>
      </c>
    </row>
    <row r="241" spans="3:10" x14ac:dyDescent="0.5">
      <c r="C241" s="1" t="str">
        <v>06-00-6P Cd40-ASO 81</v>
      </c>
      <c r="F241" s="1" t="str">
        <v>Cd40-ASO 721 LNA</v>
      </c>
      <c r="H241" s="1" t="str">
        <v>Cd40-ASO 186 MOE</v>
      </c>
      <c r="J241" s="1" t="str">
        <v>CDS_1103</v>
      </c>
    </row>
    <row r="242" spans="3:10" x14ac:dyDescent="0.5">
      <c r="C242" s="1" t="str">
        <v>06-00-6Q Cd40-ASO 86</v>
      </c>
      <c r="F242" s="1" t="str">
        <v>Cd40-ASO 726 LNA</v>
      </c>
      <c r="H242" s="1" t="str">
        <v>Cd40-ASO 191 MOE</v>
      </c>
      <c r="J242" s="1" t="str">
        <v>CDS_1106</v>
      </c>
    </row>
    <row r="243" spans="3:10" x14ac:dyDescent="0.5">
      <c r="C243" s="1" t="str">
        <v>06-00-6R Cd40-ASO 91</v>
      </c>
      <c r="F243" s="1" t="str">
        <v>Cd40-ASO 731 LNA</v>
      </c>
      <c r="H243" s="1" t="str">
        <v>Cd40-ASO 196 MOE</v>
      </c>
      <c r="J243" s="1" t="str">
        <v>CDS_1109</v>
      </c>
    </row>
    <row r="244" spans="3:10" x14ac:dyDescent="0.5">
      <c r="C244" s="1" t="str">
        <v>06-00-6S Cd40-ASO 96</v>
      </c>
      <c r="F244" s="1" t="str">
        <v>Cd40-ASO 736 LNA</v>
      </c>
      <c r="H244" s="1" t="str">
        <v>Cd40-ASO 201 MOE</v>
      </c>
      <c r="J244" s="1" t="str">
        <v>CDS_1136</v>
      </c>
    </row>
    <row r="245" spans="3:10" x14ac:dyDescent="0.5">
      <c r="C245" s="1" t="str">
        <v>06-00-6T Cd40-ASO 101</v>
      </c>
      <c r="F245" s="1" t="str">
        <v>Cd40-ASO 741 LNA</v>
      </c>
      <c r="H245" s="1" t="str">
        <v>Cd40-ASO 206 MOE</v>
      </c>
      <c r="J245" s="1" t="str">
        <v>CDS_1139</v>
      </c>
    </row>
    <row r="246" spans="3:10" x14ac:dyDescent="0.5">
      <c r="C246" s="1" t="str">
        <v>06-00-6U Cd40-ASO 106</v>
      </c>
      <c r="F246" s="1" t="str">
        <v>Cd40-ASO 746 LNA</v>
      </c>
      <c r="H246" s="1" t="str">
        <v>Cd40-ASO 211 MOE</v>
      </c>
      <c r="J246" s="1" t="str">
        <v>CDS_1142</v>
      </c>
    </row>
    <row r="247" spans="3:10" x14ac:dyDescent="0.5">
      <c r="C247" s="1" t="str">
        <v>06-00-6V Cd40-ASO 111</v>
      </c>
      <c r="F247" s="1" t="str">
        <v>Cd40-ASO 751 LNA</v>
      </c>
      <c r="H247" s="1" t="str">
        <v>Cd40-ASO 216 MOE</v>
      </c>
      <c r="J247" s="1" t="str">
        <v>CDS_1145</v>
      </c>
    </row>
    <row r="248" spans="3:10" x14ac:dyDescent="0.5">
      <c r="C248" s="1" t="str">
        <v>06-00-6W Cd40-ASO 116</v>
      </c>
      <c r="F248" s="1" t="str">
        <v>Cd40-ASO 756 LNA</v>
      </c>
      <c r="H248" s="1" t="str">
        <v>Cd40-ASO 221 MOE</v>
      </c>
      <c r="J248" s="1" t="str">
        <v>CDS_1151</v>
      </c>
    </row>
    <row r="249" spans="3:10" x14ac:dyDescent="0.5">
      <c r="C249" s="1" t="str">
        <v>06-00-6X Cd40-ASO 121</v>
      </c>
      <c r="F249" s="1" t="str">
        <v>Cd40-ASO 761 LNA</v>
      </c>
      <c r="H249" s="1" t="str">
        <v>Cd40-ASO 226 MOE</v>
      </c>
      <c r="J249" s="1" t="str">
        <v>CDS_1154</v>
      </c>
    </row>
    <row r="250" spans="3:10" x14ac:dyDescent="0.5">
      <c r="C250" s="1" t="str">
        <v>06-00-6Y Cd40-ASO 126</v>
      </c>
      <c r="F250" s="1" t="str">
        <v>Cd40-ASO 766 LNA</v>
      </c>
      <c r="H250" s="1" t="str">
        <v>Cd40-ASO 231 MOE</v>
      </c>
      <c r="J250" s="1" t="str">
        <v>CDS_1193</v>
      </c>
    </row>
    <row r="251" spans="3:10" x14ac:dyDescent="0.5">
      <c r="C251" s="1" t="str">
        <v>06-00-6Z Cd40-ASO 131</v>
      </c>
      <c r="F251" s="1" t="str">
        <v>Cd40-ASO 771 LNA</v>
      </c>
      <c r="H251" s="1" t="str">
        <v>Cd40-ASO 236 MOE</v>
      </c>
      <c r="J251" s="1" t="str">
        <v>CDS_1196</v>
      </c>
    </row>
    <row r="252" spans="3:10" x14ac:dyDescent="0.5">
      <c r="C252" s="1" t="str">
        <v>06-00-70 Cd40-ASO 136</v>
      </c>
      <c r="F252" s="1" t="str">
        <v>Cd40-ASO 776 LNA</v>
      </c>
      <c r="H252" s="1" t="str">
        <v>Cd40-ASO 241 MOE</v>
      </c>
      <c r="J252" s="1" t="str">
        <v>CDS_1199</v>
      </c>
    </row>
    <row r="253" spans="3:10" x14ac:dyDescent="0.5">
      <c r="C253" s="1" t="str">
        <v>06-00-71 Cd40-ASO 141</v>
      </c>
      <c r="F253" s="1" t="str">
        <v>Cd40-ASO 781 LNA</v>
      </c>
      <c r="H253" s="1" t="str">
        <v>Cd40-ASO 246 MOE</v>
      </c>
      <c r="J253" s="1" t="str">
        <v>CDS_1202</v>
      </c>
    </row>
    <row r="254" spans="3:10" x14ac:dyDescent="0.5">
      <c r="C254" s="1" t="str">
        <v>06-00-72 Cd40-ASO 146</v>
      </c>
      <c r="F254" s="1" t="str">
        <v>Cd40-ASO 786 LNA</v>
      </c>
      <c r="H254" s="1" t="str">
        <v>Cd40-ASO 251 MOE</v>
      </c>
      <c r="J254" s="1" t="str">
        <v>CDS_1241</v>
      </c>
    </row>
    <row r="255" spans="3:10" x14ac:dyDescent="0.5">
      <c r="C255" s="1" t="str">
        <v>06-00-73 Cd40-ASO 151</v>
      </c>
      <c r="F255" s="1" t="str">
        <v>Cd40-ASO 791 LNA</v>
      </c>
      <c r="H255" s="1" t="str">
        <v>Cd40-ASO 256 MOE</v>
      </c>
      <c r="J255" s="1" t="str">
        <v>CDS_1247</v>
      </c>
    </row>
    <row r="256" spans="3:10" x14ac:dyDescent="0.5">
      <c r="C256" s="1" t="str">
        <v>06-00-74 Cd40-ASO 156</v>
      </c>
      <c r="F256" s="1" t="str">
        <v>Cd40-ASO 796 LNA</v>
      </c>
      <c r="H256" s="1" t="str">
        <v>Cd40-ASO 261 MOE</v>
      </c>
      <c r="J256" s="1" t="str">
        <v>CDS_1250</v>
      </c>
    </row>
    <row r="257" spans="3:10" x14ac:dyDescent="0.5">
      <c r="C257" s="1" t="str">
        <v>06-00-75 Cd40-ASO 161</v>
      </c>
      <c r="F257" s="1" t="str">
        <v>Cd40-ASO 801 LNA</v>
      </c>
      <c r="H257" s="1" t="str">
        <v>Cd40-ASO 266 MOE</v>
      </c>
      <c r="J257" s="1" t="str">
        <v>CDS_1253</v>
      </c>
    </row>
    <row r="258" spans="3:10" x14ac:dyDescent="0.5">
      <c r="C258" s="1" t="str">
        <v>06-00-76 Cd40-ASO 166</v>
      </c>
      <c r="F258" s="1" t="str">
        <v>Cd40-ASO 806 LNA</v>
      </c>
      <c r="H258" s="1" t="str">
        <v>Cd40-ASO 271 MOE</v>
      </c>
      <c r="J258" s="1" t="str">
        <v>CDS_1301</v>
      </c>
    </row>
    <row r="259" spans="3:10" x14ac:dyDescent="0.5">
      <c r="C259" s="1" t="str">
        <v>06-00-77 Cd40-ASO 171</v>
      </c>
      <c r="F259" s="1" t="str">
        <v>Cd40-ASO 811 LNA</v>
      </c>
      <c r="H259" s="1" t="str">
        <v>Cd40-ASO 276 MOE</v>
      </c>
      <c r="J259" s="1" t="str">
        <v>CDS_1304</v>
      </c>
    </row>
    <row r="260" spans="3:10" x14ac:dyDescent="0.5">
      <c r="C260" s="1" t="str">
        <v>06-00-78 Cd40-ASO 176</v>
      </c>
      <c r="F260" s="1" t="str">
        <v>Cd40-ASO 816 LNA</v>
      </c>
      <c r="H260" s="1" t="str">
        <v>Cd40-ASO 281 MOE</v>
      </c>
      <c r="J260" s="1" t="str">
        <v>CDS_1307</v>
      </c>
    </row>
    <row r="261" spans="3:10" x14ac:dyDescent="0.5">
      <c r="C261" s="1" t="str">
        <v>06-00-79 Cd40-ASO 181</v>
      </c>
      <c r="F261" s="1" t="str">
        <v>Cd40-ASO 821 LNA</v>
      </c>
      <c r="H261" s="1" t="str">
        <v>Cd40-ASO 286 MOE</v>
      </c>
      <c r="J261" s="1" t="str">
        <v>CDS_1310</v>
      </c>
    </row>
    <row r="262" spans="3:10" x14ac:dyDescent="0.5">
      <c r="C262" s="1" t="str">
        <v>06-00-7A Cd40-ASO 186</v>
      </c>
      <c r="F262" s="1" t="str">
        <v>Cd40-ASO 826 LNA</v>
      </c>
      <c r="H262" s="1" t="str">
        <v>Cd40-ASO 291 MOE</v>
      </c>
      <c r="J262" s="1" t="str">
        <v>CDS_1313</v>
      </c>
    </row>
    <row r="263" spans="3:10" x14ac:dyDescent="0.5">
      <c r="C263" s="1" t="str">
        <v>06-00-7B Cd40-ASO 191</v>
      </c>
      <c r="F263" s="1" t="str">
        <v>Cd40-ASO 831 LNA</v>
      </c>
      <c r="H263" s="1" t="str">
        <v>Cd40-ASO 296 MOE</v>
      </c>
      <c r="J263" s="1" t="str">
        <v>CDS_1316</v>
      </c>
    </row>
    <row r="264" spans="3:10" x14ac:dyDescent="0.5">
      <c r="C264" s="1" t="str">
        <v>06-00-7C Cd40-ASO 196</v>
      </c>
      <c r="F264" s="1" t="str">
        <v>Cd40-ASO 836 LNA</v>
      </c>
      <c r="H264" s="1" t="str">
        <v>Cd40-ASO 301 MOE</v>
      </c>
      <c r="J264" s="1" t="str">
        <v>CDS_1352</v>
      </c>
    </row>
    <row r="265" spans="3:10" x14ac:dyDescent="0.5">
      <c r="C265" s="1" t="str">
        <v>06-00-7D Cd40-ASO 201</v>
      </c>
      <c r="F265" s="1" t="str">
        <v>Cd40-ASO 841 LNA</v>
      </c>
      <c r="H265" s="1" t="str">
        <v>Cd40-ASO 306 MOE</v>
      </c>
      <c r="J265" s="1" t="str">
        <v>CDS_1376</v>
      </c>
    </row>
    <row r="266" spans="3:10" x14ac:dyDescent="0.5">
      <c r="C266" s="1" t="str">
        <v>06-00-7E Cd40-ASO 206</v>
      </c>
      <c r="F266" s="1" t="str">
        <v>Cd40-ASO 31 MOE</v>
      </c>
      <c r="H266" s="1" t="str">
        <v>Cd40-ASO 311 MOE</v>
      </c>
      <c r="J266" s="1" t="str">
        <v>CDS_1379</v>
      </c>
    </row>
    <row r="267" spans="3:10" x14ac:dyDescent="0.5">
      <c r="C267" s="1" t="str">
        <v>06-00-7F Cd40-ASO 211</v>
      </c>
      <c r="F267" s="1" t="str">
        <v>Cd40-ASO 36 MOE</v>
      </c>
      <c r="H267" s="1" t="str">
        <v>Cd40-ASO 316 MOE</v>
      </c>
      <c r="J267" s="1" t="str">
        <v>PS300_SO</v>
      </c>
    </row>
    <row r="268" spans="3:10" x14ac:dyDescent="0.5">
      <c r="C268" s="1" t="str">
        <v>06-00-7G Cd40-ASO 216</v>
      </c>
      <c r="F268" s="1" t="str">
        <v>Cd40-ASO 41 MOE</v>
      </c>
      <c r="H268" s="1" t="str">
        <v>Cd40-ASO 321 MOE</v>
      </c>
      <c r="J268" s="1" t="str">
        <v>PS327_SO</v>
      </c>
    </row>
    <row r="269" spans="3:10" x14ac:dyDescent="0.5">
      <c r="C269" s="1" t="str">
        <v>06-00-7H Cd40-ASO 221</v>
      </c>
      <c r="F269" s="1" t="str">
        <v>Cd40-ASO 46 MOE</v>
      </c>
      <c r="H269" s="1" t="str">
        <v>Cd40-ASO 326 MOE</v>
      </c>
      <c r="J269" s="1" t="str">
        <v>SOX2 5'-UTR_187_SO</v>
      </c>
    </row>
    <row r="270" spans="3:10" x14ac:dyDescent="0.5">
      <c r="C270" s="1" t="str">
        <v>06-00-7I Cd40-ASO 226</v>
      </c>
      <c r="F270" s="1" t="str">
        <v>Cd40-ASO 51 MOE</v>
      </c>
      <c r="H270" s="1" t="str">
        <v>Cd40-ASO 331 MOE</v>
      </c>
      <c r="J270" s="1" t="str">
        <v>SOX2 CDS_1244_SO</v>
      </c>
    </row>
    <row r="271" spans="3:10" x14ac:dyDescent="0.5">
      <c r="C271" s="1" t="str">
        <v>06-00-7J Cd40-ASO 231</v>
      </c>
      <c r="F271" s="1" t="str">
        <v>Cd40-ASO 56 MOE</v>
      </c>
      <c r="H271" s="1" t="str">
        <v>Cd40-ASO 336 MOE</v>
      </c>
      <c r="J271" s="1" t="str">
        <v>SOX2 3-'UTR_1435_SO</v>
      </c>
    </row>
    <row r="272" spans="3:10" x14ac:dyDescent="0.5">
      <c r="C272" s="1" t="str">
        <v>06-00-7K Cd40-ASO 236</v>
      </c>
      <c r="F272" s="1" t="str">
        <v>Cd40-ASO 61 MOE</v>
      </c>
      <c r="H272" s="1" t="str">
        <v>Cd40-ASO 341 MOE</v>
      </c>
      <c r="J272" s="1" t="str">
        <v>SOX2 3-'UTR_1462_SO</v>
      </c>
    </row>
    <row r="273" spans="3:10" x14ac:dyDescent="0.5">
      <c r="C273" s="1" t="str">
        <v>06-00-7L Cd40-ASO 241</v>
      </c>
      <c r="F273" s="1" t="str">
        <v>Cd40-ASO 66 MOE</v>
      </c>
      <c r="H273" s="1" t="str">
        <v>Cd40-ASO 346 MOE</v>
      </c>
      <c r="J273" s="1" t="str">
        <v>SOX2 3-'UTR_1753_SO</v>
      </c>
    </row>
    <row r="274" spans="3:10" x14ac:dyDescent="0.5">
      <c r="C274" s="1" t="str">
        <v>06-00-7M Cd40-ASO 246</v>
      </c>
      <c r="F274" s="1" t="str">
        <v>Cd40-ASO 71 MOE</v>
      </c>
      <c r="H274" s="1" t="str">
        <v>Cd40-ASO 351 MOE</v>
      </c>
      <c r="J274" s="1" t="str">
        <v>ue_test</v>
      </c>
    </row>
    <row r="275" spans="3:10" x14ac:dyDescent="0.5">
      <c r="C275" s="1" t="str">
        <v>06-00-7N Cd40-ASO 251</v>
      </c>
      <c r="F275" s="1" t="str">
        <v>Cd40-ASO 76 MOE</v>
      </c>
      <c r="H275" s="1" t="str">
        <v>Cd40-ASO 356 MOE</v>
      </c>
      <c r="J275" s="1" t="str">
        <v>&gt;07-00-JM</v>
      </c>
    </row>
    <row r="276" spans="3:10" x14ac:dyDescent="0.5">
      <c r="C276" s="1" t="str">
        <v>06-00-7O Cd40-ASO 256</v>
      </c>
      <c r="F276" s="1" t="str">
        <v>Cd40-ASO 81 MOE</v>
      </c>
      <c r="H276" s="1" t="str">
        <v>Cd40-ASO 361 MOE</v>
      </c>
      <c r="J276" s="1" t="str">
        <v>&gt;07-00-JN</v>
      </c>
    </row>
    <row r="277" spans="3:10" x14ac:dyDescent="0.5">
      <c r="C277" s="1" t="str">
        <v>06-00-7P Cd40-ASO 261</v>
      </c>
      <c r="F277" s="1" t="str">
        <v>Cd40-ASO 86 MOE</v>
      </c>
      <c r="H277" s="1" t="str">
        <v>Cd40-ASO 366 MOE</v>
      </c>
      <c r="J277" s="1" t="str">
        <v>PS300_SO_allRNA</v>
      </c>
    </row>
    <row r="278" spans="3:10" x14ac:dyDescent="0.5">
      <c r="C278" s="1" t="str">
        <v>06-00-7Q Cd40-ASO 266</v>
      </c>
      <c r="F278" s="1" t="str">
        <v>Cd40-ASO 91 MOE</v>
      </c>
      <c r="H278" s="1" t="str">
        <v>Cd40-ASO 371 MOE</v>
      </c>
      <c r="J278" s="1" t="str">
        <v>PS300_SO_w2OMe/gRNA-I</v>
      </c>
    </row>
    <row r="279" spans="3:10" x14ac:dyDescent="0.5">
      <c r="C279" s="1" t="str">
        <v>06-00-7R Cd40-ASO 271</v>
      </c>
      <c r="F279" s="1" t="str">
        <v>Cd40-ASO 96 MOE</v>
      </c>
      <c r="H279" s="1" t="str">
        <v>Cd40-ASO 376 MOE</v>
      </c>
      <c r="J279" s="1" t="str">
        <v>PS300_SO_w2OMe/gRNA-dI</v>
      </c>
    </row>
    <row r="280" spans="3:10" x14ac:dyDescent="0.5">
      <c r="C280" s="1" t="str">
        <v>06-00-7S Cd40-ASO 276</v>
      </c>
      <c r="F280" s="1" t="str">
        <v>Cd40-ASO 101 MOE</v>
      </c>
      <c r="H280" s="1" t="str">
        <v>Cd40-ASO 381 MOE</v>
      </c>
      <c r="J280" s="1" t="str">
        <v>PS300_SO_w2OMe/gDNA(dU)</v>
      </c>
    </row>
    <row r="281" spans="3:10" x14ac:dyDescent="0.5">
      <c r="C281" s="1" t="str">
        <v>06-00-7T Cd40-ASO 281</v>
      </c>
      <c r="F281" s="1" t="str">
        <v>Cd40-ASO 106 MOE</v>
      </c>
      <c r="H281" s="1" t="str">
        <v>Cd40-ASO 386 MOE</v>
      </c>
      <c r="J281" s="1" t="str">
        <v>PS300_SO_allDNA(dU)</v>
      </c>
    </row>
    <row r="282" spans="3:10" x14ac:dyDescent="0.5">
      <c r="C282" s="1" t="str">
        <v>06-00-7U Cd40-ASO 286</v>
      </c>
      <c r="F282" s="1" t="str">
        <v>Cd40-ASO 111 MOE</v>
      </c>
      <c r="H282" s="1" t="str">
        <v>Cd40-ASO 391 MOE</v>
      </c>
      <c r="J282" s="1" t="str">
        <v>PS300_SO_w2OMe/gDNA(dU)-I</v>
      </c>
    </row>
    <row r="283" spans="3:10" x14ac:dyDescent="0.5">
      <c r="C283" s="1" t="str">
        <v>06-00-7V Cd40-ASO 291</v>
      </c>
      <c r="F283" s="1" t="str">
        <v>Cd40-ASO 116 MOE</v>
      </c>
      <c r="H283" s="1" t="str">
        <v>Cd40-ASO 396 MOE</v>
      </c>
      <c r="J283" s="1" t="str">
        <v>PS300_SO_3'(-5)</v>
      </c>
    </row>
    <row r="284" spans="3:10" x14ac:dyDescent="0.5">
      <c r="C284" s="1" t="str">
        <v>06-00-7W Cd40-ASO 296</v>
      </c>
      <c r="F284" s="1" t="str">
        <v>Cd40-ASO 121 MOE</v>
      </c>
      <c r="H284" s="1" t="str">
        <v>Cd40-ASO 401 MOE</v>
      </c>
      <c r="J284" s="1" t="str">
        <v>PS300_SO_3'(-10)</v>
      </c>
    </row>
    <row r="285" spans="3:10" x14ac:dyDescent="0.5">
      <c r="C285" s="1" t="str">
        <v>06-00-7X Cd40-ASO 301</v>
      </c>
      <c r="F285" s="1" t="str">
        <v>Cd40-ASO 126 MOE</v>
      </c>
      <c r="H285" s="1" t="str">
        <v>Cd40-ASO 406 MOE</v>
      </c>
      <c r="J285" s="1" t="str">
        <v>PS300_SO_3'(-10)/gDNA(dU)</v>
      </c>
    </row>
    <row r="286" spans="3:10" x14ac:dyDescent="0.5">
      <c r="C286" s="1" t="str">
        <v>06-00-7Y Cd40-ASO 306</v>
      </c>
      <c r="F286" s="1" t="str">
        <v>Cd40-ASO 131 MOE</v>
      </c>
      <c r="H286" s="1" t="str">
        <v>Cd40-ASO 411 MOE</v>
      </c>
      <c r="J286" s="1" t="str">
        <v>PS300_SO_5'(-5)</v>
      </c>
    </row>
    <row r="287" spans="3:10" x14ac:dyDescent="0.5">
      <c r="C287" s="1" t="str">
        <v>06-00-7Z Cd40-ASO 311</v>
      </c>
      <c r="F287" s="1" t="str">
        <v>Cd40-ASO 136 MOE</v>
      </c>
      <c r="H287" s="1" t="str">
        <v>Cd40-ASO 416 MOE</v>
      </c>
      <c r="J287" s="1" t="str">
        <v>PS300_SO_5'(-10)</v>
      </c>
    </row>
    <row r="288" spans="3:10" x14ac:dyDescent="0.5">
      <c r="C288" s="1" t="str">
        <v>06-00-80 Cd40-ASO 316</v>
      </c>
      <c r="F288" s="1" t="str">
        <v>Cd40-ASO 141 MOE</v>
      </c>
      <c r="H288" s="1" t="str">
        <v>Cd40-ASO 421 MOE</v>
      </c>
      <c r="J288" s="1" t="str">
        <v>PS300_SO_5'(-10)/gDNA(dU)</v>
      </c>
    </row>
    <row r="289" spans="3:10" x14ac:dyDescent="0.5">
      <c r="C289" s="1" t="str">
        <v>06-00-81 Cd40-ASO 321</v>
      </c>
      <c r="F289" s="1" t="str">
        <v>Cd40-ASO 146 MOE</v>
      </c>
      <c r="H289" s="1" t="str">
        <v>Cd40-ASO 426 MOE</v>
      </c>
      <c r="J289" s="1" t="str">
        <v>PS300_SO_3'(+10)</v>
      </c>
    </row>
    <row r="290" spans="3:10" x14ac:dyDescent="0.5">
      <c r="C290" s="1" t="str">
        <v>06-00-82 Cd40-ASO 326</v>
      </c>
      <c r="F290" s="1" t="str">
        <v>Cd40-ASO 151 MOE</v>
      </c>
      <c r="H290" s="1" t="str">
        <v>Cd40-ASO 431 MOE</v>
      </c>
      <c r="J290" s="1" t="str">
        <v>PS300_SO_3'(+10)/gDNA(dU)</v>
      </c>
    </row>
    <row r="291" spans="3:10" x14ac:dyDescent="0.5">
      <c r="C291" s="1" t="str">
        <v>06-00-83 Cd40-ASO 331</v>
      </c>
      <c r="F291" s="1" t="str">
        <v>Cd40-ASO 156 MOE</v>
      </c>
      <c r="H291" s="1" t="str">
        <v>Cd40-ASO 436 MOE</v>
      </c>
      <c r="J291" s="1" t="str">
        <v>PS300_SO_5'(+10)</v>
      </c>
    </row>
    <row r="292" spans="3:10" x14ac:dyDescent="0.5">
      <c r="C292" s="1" t="str">
        <v>06-00-84 Cd40-ASO 336</v>
      </c>
      <c r="F292" s="1" t="str">
        <v>Cd40-ASO 161 MOE</v>
      </c>
      <c r="H292" s="1" t="str">
        <v>Cd40-ASO 441 MOE</v>
      </c>
      <c r="J292" s="1" t="str">
        <v>PS300_SO_5'(+10)/gDNA(dU)</v>
      </c>
    </row>
    <row r="293" spans="3:10" x14ac:dyDescent="0.5">
      <c r="C293" s="1" t="str">
        <v>06-00-85 Cd40-ASO 341</v>
      </c>
      <c r="F293" s="1" t="str">
        <v>Cd40-ASO 166 MOE</v>
      </c>
      <c r="H293" s="1" t="str">
        <v>Cd40-ASO 446 MOE</v>
      </c>
      <c r="J293" s="1" t="str">
        <v>PS300_SO_LNA_NegaCont</v>
      </c>
    </row>
    <row r="294" spans="3:10" x14ac:dyDescent="0.5">
      <c r="C294" s="1" t="str">
        <v>06-00-86 Cd40-ASO 346</v>
      </c>
      <c r="F294" s="1" t="str">
        <v>Cd40-ASO 171 MOE</v>
      </c>
      <c r="H294" s="1" t="str">
        <v>Cd40-ASO 451 MOE</v>
      </c>
      <c r="J294" s="1" t="str">
        <v xml:space="preserve">dT 20mer </v>
      </c>
    </row>
    <row r="295" spans="3:10" x14ac:dyDescent="0.5">
      <c r="C295" s="1" t="str">
        <v>06-00-87 Cd40-ASO 351</v>
      </c>
      <c r="F295" s="1" t="str">
        <v>Cd40-ASO 176 MOE</v>
      </c>
      <c r="H295" s="1" t="str">
        <v>Cd40-ASO 456 MOE</v>
      </c>
      <c r="J295" s="1" t="str">
        <v>rU 20mer</v>
      </c>
    </row>
    <row r="296" spans="3:10" x14ac:dyDescent="0.5">
      <c r="C296" s="1" t="str">
        <v>06-00-88 Cd40-ASO 356</v>
      </c>
      <c r="F296" s="1" t="str">
        <v>Cd40-ASO 181 MOE</v>
      </c>
      <c r="H296" s="1" t="str">
        <v>Cd40-ASO 461 MOE</v>
      </c>
      <c r="J296" s="1" t="str">
        <v>U(O) 5mer rU10mer U(O) 5mer</v>
      </c>
    </row>
    <row r="297" spans="3:10" x14ac:dyDescent="0.5">
      <c r="C297" s="1" t="str">
        <v>06-00-89 Cd40-ASO 361</v>
      </c>
      <c r="F297" s="1" t="str">
        <v>Cd40-ASO 186 MOE</v>
      </c>
      <c r="H297" s="1" t="str">
        <v>Cd40-ASO 466 MOE</v>
      </c>
      <c r="J297" s="1" t="str">
        <v>U(O) 5mer rU10mer U(O) 3mer 2mer(PS)</v>
      </c>
    </row>
    <row r="298" spans="3:10" x14ac:dyDescent="0.5">
      <c r="C298" s="1" t="str">
        <v>06-00-8A Cd40-ASO 366</v>
      </c>
      <c r="F298" s="1" t="str">
        <v>Cd40-ASO 191 MOE</v>
      </c>
      <c r="H298" s="1" t="str">
        <v>Cd40-ASO 471 MOE</v>
      </c>
      <c r="J298" s="1" t="str">
        <v>U(O) 5mer(PS) rU10mer U(O) 5mer(PS)</v>
      </c>
    </row>
    <row r="299" spans="3:10" x14ac:dyDescent="0.5">
      <c r="C299" s="1" t="str">
        <v>06-00-8B Cd40-ASO 371</v>
      </c>
      <c r="F299" s="1" t="str">
        <v>Cd40-ASO 196 MOE</v>
      </c>
      <c r="H299" s="1" t="str">
        <v>Cd40-ASO 476 MOE</v>
      </c>
      <c r="J299" s="1" t="str">
        <v>PS300_SO_allDNA</v>
      </c>
    </row>
    <row r="300" spans="3:10" x14ac:dyDescent="0.5">
      <c r="C300" s="1" t="str">
        <v>06-00-8C Cd40-ASO 376</v>
      </c>
      <c r="F300" s="1" t="str">
        <v>Cd40-ASO 201 MOE</v>
      </c>
      <c r="H300" s="1" t="str">
        <v>Cd40-ASO 481 MOE</v>
      </c>
      <c r="J300" s="1" t="str">
        <v>PS300_SO_allDNA(mC)</v>
      </c>
    </row>
    <row r="301" spans="3:10" x14ac:dyDescent="0.5">
      <c r="C301" s="1" t="str">
        <v>06-00-8D Cd40-ASO 381</v>
      </c>
      <c r="F301" s="1" t="str">
        <v>Cd40-ASO 206 MOE</v>
      </c>
      <c r="H301" s="1" t="str">
        <v>Cd40-ASO 486 MOE</v>
      </c>
      <c r="J301" s="1" t="str">
        <v>PS327_SO_w2OMe/gRNA-I</v>
      </c>
    </row>
    <row r="302" spans="3:10" x14ac:dyDescent="0.5">
      <c r="C302" s="1" t="str">
        <v>06-00-8E Cd40-ASO 386</v>
      </c>
      <c r="F302" s="1" t="str">
        <v>Cd40-ASO 211 MOE</v>
      </c>
      <c r="H302" s="1" t="str">
        <v>Cd40-ASO 491 MOE</v>
      </c>
      <c r="J302" s="1" t="str">
        <v>PS327_SO_allDNA</v>
      </c>
    </row>
    <row r="303" spans="3:10" x14ac:dyDescent="0.5">
      <c r="C303" s="1" t="str">
        <v>06-00-8F Cd40-ASO 391</v>
      </c>
      <c r="F303" s="1" t="str">
        <v>Cd40-ASO 216 MOE</v>
      </c>
      <c r="H303" s="1" t="str">
        <v>Cd40-ASO 496 MOE</v>
      </c>
      <c r="J303" s="1" t="str">
        <v>PS327_SO_w2OMe/gDNA-I</v>
      </c>
    </row>
    <row r="304" spans="3:10" x14ac:dyDescent="0.5">
      <c r="C304" s="1" t="str">
        <v>06-00-8G Cd40-ASO 396</v>
      </c>
      <c r="F304" s="1" t="str">
        <v>Cd40-ASO 221 MOE</v>
      </c>
      <c r="H304" s="1" t="str">
        <v>Cd40-ASO 501 MOE</v>
      </c>
      <c r="J304" s="1" t="str">
        <v>PS327_SO_3'(-10)/gDNA</v>
      </c>
    </row>
    <row r="305" spans="3:10" x14ac:dyDescent="0.5">
      <c r="C305" s="1" t="str">
        <v>06-00-8H Cd40-ASO 401</v>
      </c>
      <c r="F305" s="1" t="str">
        <v>Cd40-ASO 226 MOE</v>
      </c>
      <c r="H305" s="1" t="str">
        <v>Cd40-ASO 506 MOE</v>
      </c>
      <c r="J305" s="1" t="str">
        <v>PS327_SO_3'(+10)/gDNA</v>
      </c>
    </row>
    <row r="306" spans="3:10" x14ac:dyDescent="0.5">
      <c r="C306" s="1" t="str">
        <v>06-00-8I Cd40-ASO 406</v>
      </c>
      <c r="F306" s="1" t="str">
        <v>Cd40-ASO 231 MOE</v>
      </c>
      <c r="H306" s="1" t="str">
        <v>Cd40-ASO 511 MOE</v>
      </c>
      <c r="J306" s="1" t="str">
        <v>Malat1-hmSO(395251)_allDNA</v>
      </c>
    </row>
    <row r="307" spans="3:10" x14ac:dyDescent="0.5">
      <c r="C307" s="1" t="str">
        <v>06-00-8J Cd40-ASO 411</v>
      </c>
      <c r="F307" s="1" t="str">
        <v>Cd40-ASO 236 MOE</v>
      </c>
      <c r="H307" s="1" t="str">
        <v>Cd40-ASO 516 MOE</v>
      </c>
      <c r="J307" s="1" t="str">
        <v>Malat1-hmSO(395251)_5'(-10)/allRNA/PO</v>
      </c>
    </row>
    <row r="308" spans="3:10" x14ac:dyDescent="0.5">
      <c r="C308" s="1" t="str">
        <v>06-00-8K Cd40-ASO 416</v>
      </c>
      <c r="F308" s="1" t="str">
        <v>Cd40-ASO 241 MOE</v>
      </c>
      <c r="H308" s="1" t="str">
        <v>Cd40-ASO 521 MOE</v>
      </c>
      <c r="J308" s="1" t="str">
        <v>Malat1-hmSO(395251)_5'(+10)/gDNA</v>
      </c>
    </row>
    <row r="309" spans="3:10" x14ac:dyDescent="0.5">
      <c r="C309" s="1" t="str">
        <v>06-00-8L Cd40-ASO 421</v>
      </c>
      <c r="F309" s="1" t="str">
        <v>Cd40-ASO 246 MOE</v>
      </c>
      <c r="H309" s="1" t="str">
        <v>Cd40-ASO 526 MOE</v>
      </c>
      <c r="J309" s="1" t="str">
        <v>PS327_SO_w2OMe/gDNA</v>
      </c>
    </row>
    <row r="310" spans="3:10" x14ac:dyDescent="0.5">
      <c r="C310" s="1" t="str">
        <v>06-00-8M Cd40-ASO 426</v>
      </c>
      <c r="F310" s="1" t="str">
        <v>Cd40-ASO 251 MOE</v>
      </c>
      <c r="H310" s="1" t="str">
        <v>Cd40-ASO 531 MOE</v>
      </c>
      <c r="J310" s="1" t="str">
        <v>PS300_SO_w2OMe/gDNA</v>
      </c>
    </row>
    <row r="311" spans="3:10" x14ac:dyDescent="0.5">
      <c r="C311" s="1" t="str">
        <v>06-00-8N Cd40-ASO 431</v>
      </c>
      <c r="F311" s="1" t="str">
        <v>Cd40-ASO 256 MOE</v>
      </c>
      <c r="H311" s="1" t="str">
        <v>Cd40-ASO 536 MOE</v>
      </c>
      <c r="J311" s="1" t="str">
        <v>487b_SO</v>
      </c>
    </row>
    <row r="312" spans="3:10" x14ac:dyDescent="0.5">
      <c r="C312" s="1" t="str">
        <v>06-00-8O Cd40-ASO 436</v>
      </c>
      <c r="F312" s="1" t="str">
        <v>Cd40-ASO 261 MOE</v>
      </c>
      <c r="H312" s="1" t="str">
        <v>Cd40-ASO 541 MOE</v>
      </c>
      <c r="J312" s="1" t="str">
        <v>127_SO</v>
      </c>
    </row>
    <row r="313" spans="3:10" x14ac:dyDescent="0.5">
      <c r="C313" s="1" t="str">
        <v>06-00-8P Cd40-ASO 441</v>
      </c>
      <c r="F313" s="1" t="str">
        <v>Cd40-ASO 266 MOE</v>
      </c>
      <c r="H313" s="1" t="str">
        <v>Cd40-ASO 546 MOE</v>
      </c>
      <c r="J313" s="1" t="str">
        <v>Casimersen_SO</v>
      </c>
    </row>
    <row r="314" spans="3:10" x14ac:dyDescent="0.5">
      <c r="C314" s="1" t="str">
        <v>06-00-8Q Cd40-ASO 446</v>
      </c>
      <c r="F314" s="1" t="str">
        <v>Cd40-ASO 271 MOE</v>
      </c>
      <c r="H314" s="1" t="str">
        <v>Cd40-ASO 551 MOE</v>
      </c>
    </row>
    <row r="315" spans="3:10" x14ac:dyDescent="0.5">
      <c r="C315" s="1" t="str">
        <v>06-00-8R Cd40-ASO 451</v>
      </c>
      <c r="F315" s="1" t="str">
        <v>Cd40-ASO 276 MOE</v>
      </c>
      <c r="H315" s="1" t="str">
        <v>Cd40-ASO 556 MOE</v>
      </c>
    </row>
    <row r="316" spans="3:10" x14ac:dyDescent="0.5">
      <c r="C316" s="1" t="str">
        <v>06-00-8S Cd40-ASO 456</v>
      </c>
      <c r="F316" s="1" t="str">
        <v>Cd40-ASO 281 MOE</v>
      </c>
      <c r="H316" s="1" t="str">
        <v>Cd40-ASO 561 MOE</v>
      </c>
    </row>
    <row r="317" spans="3:10" x14ac:dyDescent="0.5">
      <c r="C317" s="1" t="str">
        <v>06-00-8T Cd40-ASO 461</v>
      </c>
      <c r="F317" s="1" t="str">
        <v>Cd40-ASO 286 MOE</v>
      </c>
      <c r="H317" s="1" t="str">
        <v>Cd40-ASO 566 MOE</v>
      </c>
    </row>
    <row r="318" spans="3:10" x14ac:dyDescent="0.5">
      <c r="C318" s="1" t="str">
        <v>06-00-8U Cd40-ASO 466</v>
      </c>
      <c r="F318" s="1" t="str">
        <v>Cd40-ASO 291 MOE</v>
      </c>
      <c r="H318" s="1" t="str">
        <v>Cd40-ASO 571 MOE</v>
      </c>
    </row>
    <row r="319" spans="3:10" x14ac:dyDescent="0.5">
      <c r="C319" s="1" t="str">
        <v>06-00-8V Cd40-ASO 471</v>
      </c>
      <c r="F319" s="1" t="str">
        <v>Cd40-ASO 296 MOE</v>
      </c>
      <c r="H319" s="1" t="str">
        <v>Cd40-ASO 576 MOE</v>
      </c>
    </row>
    <row r="320" spans="3:10" x14ac:dyDescent="0.5">
      <c r="C320" s="1" t="str">
        <v>06-00-8W Cd40-ASO 476</v>
      </c>
      <c r="F320" s="1" t="str">
        <v>Cd40-ASO 301 MOE</v>
      </c>
      <c r="H320" s="1" t="str">
        <v>Cd40-ASO 581 MOE</v>
      </c>
    </row>
    <row r="321" spans="3:8" x14ac:dyDescent="0.5">
      <c r="C321" s="1" t="str">
        <v>06-00-8X Cd40-ASO 481</v>
      </c>
      <c r="F321" s="1" t="str">
        <v>Cd40-ASO 306 MOE</v>
      </c>
      <c r="H321" s="1" t="str">
        <v>Cd40-ASO 586 MOE</v>
      </c>
    </row>
    <row r="322" spans="3:8" x14ac:dyDescent="0.5">
      <c r="C322" s="1" t="str">
        <v>06-00-8Y Cd40-ASO 486</v>
      </c>
      <c r="F322" s="1" t="str">
        <v>Cd40-ASO 311 MOE</v>
      </c>
      <c r="H322" s="1" t="str">
        <v>Cd40-ASO 591 MOE</v>
      </c>
    </row>
    <row r="323" spans="3:8" x14ac:dyDescent="0.5">
      <c r="C323" s="1" t="str">
        <v>06-00-8Z Cd40-ASO 491</v>
      </c>
      <c r="F323" s="1" t="str">
        <v>Cd40-ASO 316 MOE</v>
      </c>
      <c r="H323" s="1" t="str">
        <v>Cd40-ASO 596 MOE</v>
      </c>
    </row>
    <row r="324" spans="3:8" x14ac:dyDescent="0.5">
      <c r="C324" s="1" t="str">
        <v>06-00-90 Cd40-ASO 496</v>
      </c>
      <c r="F324" s="1" t="str">
        <v>Cd40-ASO 321 MOE</v>
      </c>
      <c r="H324" s="1" t="str">
        <v>Cd40-ASO 601 MOE</v>
      </c>
    </row>
    <row r="325" spans="3:8" x14ac:dyDescent="0.5">
      <c r="C325" s="1" t="str">
        <v>06-00-91 Cd40-ASO 501</v>
      </c>
      <c r="F325" s="1" t="str">
        <v>Cd40-ASO 326 MOE</v>
      </c>
      <c r="H325" s="1" t="str">
        <v>Cd40-ASO 606 MOE</v>
      </c>
    </row>
    <row r="326" spans="3:8" x14ac:dyDescent="0.5">
      <c r="C326" s="1" t="str">
        <v>06-00-92 Cd40-ASO 506</v>
      </c>
      <c r="F326" s="1" t="str">
        <v>Cd40-ASO 331 MOE</v>
      </c>
      <c r="H326" s="1" t="str">
        <v>Cd40-ASO 611 MOE</v>
      </c>
    </row>
    <row r="327" spans="3:8" x14ac:dyDescent="0.5">
      <c r="C327" s="1" t="str">
        <v>06-00-93 Cd40-ASO 511</v>
      </c>
      <c r="F327" s="1" t="str">
        <v>Cd40-ASO 336 MOE</v>
      </c>
      <c r="H327" s="1" t="str">
        <v>Cd40-ASO 616 MOE</v>
      </c>
    </row>
    <row r="328" spans="3:8" x14ac:dyDescent="0.5">
      <c r="C328" s="1" t="str">
        <v>06-00-94 Cd40-ASO 516</v>
      </c>
      <c r="F328" s="1" t="str">
        <v>Cd40-ASO 341 MOE</v>
      </c>
      <c r="H328" s="1" t="str">
        <v>Cd40-ASO 621 MOE</v>
      </c>
    </row>
    <row r="329" spans="3:8" x14ac:dyDescent="0.5">
      <c r="C329" s="1" t="str">
        <v>06-00-95 Cd40-ASO 521</v>
      </c>
      <c r="F329" s="1" t="str">
        <v>Cd40-ASO 346 MOE</v>
      </c>
      <c r="H329" s="1" t="str">
        <v>Cd40-ASO 626 MOE</v>
      </c>
    </row>
    <row r="330" spans="3:8" x14ac:dyDescent="0.5">
      <c r="C330" s="1" t="str">
        <v>06-00-96 Cd40-ASO 526</v>
      </c>
      <c r="F330" s="1" t="str">
        <v>Cd40-ASO 351 MOE</v>
      </c>
      <c r="H330" s="1" t="str">
        <v>Cd40-ASO 631 MOE</v>
      </c>
    </row>
    <row r="331" spans="3:8" x14ac:dyDescent="0.5">
      <c r="C331" s="1" t="str">
        <v>06-00-97 Cd40-ASO 531</v>
      </c>
      <c r="F331" s="1" t="str">
        <v>Cd40-ASO 356 MOE</v>
      </c>
      <c r="H331" s="1" t="str">
        <v>Cd40-ASO 636 MOE</v>
      </c>
    </row>
    <row r="332" spans="3:8" x14ac:dyDescent="0.5">
      <c r="C332" s="1" t="str">
        <v>06-00-98 Cd40-ASO 536</v>
      </c>
      <c r="F332" s="1" t="str">
        <v>Cd40-ASO 361 MOE</v>
      </c>
      <c r="H332" s="1" t="str">
        <v>Cd40-ASO 641 MOE</v>
      </c>
    </row>
    <row r="333" spans="3:8" x14ac:dyDescent="0.5">
      <c r="C333" s="1" t="str">
        <v>06-00-99 Cd40-ASO 541</v>
      </c>
      <c r="F333" s="1" t="str">
        <v>Cd40-ASO 366 MOE</v>
      </c>
      <c r="H333" s="1" t="str">
        <v>Cd40-ASO 646 MOE</v>
      </c>
    </row>
    <row r="334" spans="3:8" x14ac:dyDescent="0.5">
      <c r="C334" s="1" t="str">
        <v>06-00-9A Cd40-ASO 546</v>
      </c>
      <c r="F334" s="1" t="str">
        <v>Cd40-ASO 371 MOE</v>
      </c>
      <c r="H334" s="1" t="str">
        <v>Cd40-ASO 651 MOE</v>
      </c>
    </row>
    <row r="335" spans="3:8" x14ac:dyDescent="0.5">
      <c r="C335" s="1" t="str">
        <v>06-00-9B Cd40-ASO 551</v>
      </c>
      <c r="F335" s="1" t="str">
        <v>Cd40-ASO 376 MOE</v>
      </c>
      <c r="H335" s="1" t="str">
        <v>Cd40-ASO 656 MOE</v>
      </c>
    </row>
    <row r="336" spans="3:8" x14ac:dyDescent="0.5">
      <c r="C336" s="1" t="str">
        <v>06-00-9C Cd40-ASO 556</v>
      </c>
      <c r="F336" s="1" t="str">
        <v>Cd40-ASO 381 MOE</v>
      </c>
      <c r="H336" s="1" t="str">
        <v>Cd40-ASO 661 MOE</v>
      </c>
    </row>
    <row r="337" spans="3:8" x14ac:dyDescent="0.5">
      <c r="C337" s="1" t="str">
        <v>06-00-9D Cd40-ASO 561</v>
      </c>
      <c r="F337" s="1" t="str">
        <v>Cd40-ASO 386 MOE</v>
      </c>
      <c r="H337" s="1" t="str">
        <v>Cd40-ASO 666 MOE</v>
      </c>
    </row>
    <row r="338" spans="3:8" x14ac:dyDescent="0.5">
      <c r="C338" s="1" t="str">
        <v>06-00-9E Cd40-ASO 566</v>
      </c>
      <c r="F338" s="1" t="str">
        <v>Cd40-ASO 391 MOE</v>
      </c>
      <c r="H338" s="1" t="str">
        <v>Cd40-ASO 671 MOE</v>
      </c>
    </row>
    <row r="339" spans="3:8" x14ac:dyDescent="0.5">
      <c r="C339" s="1" t="str">
        <v>06-00-9F Cd40-ASO 571</v>
      </c>
      <c r="F339" s="1" t="str">
        <v>Cd40-ASO 396 MOE</v>
      </c>
      <c r="H339" s="1" t="str">
        <v>Cd40-ASO 676 MOE</v>
      </c>
    </row>
    <row r="340" spans="3:8" x14ac:dyDescent="0.5">
      <c r="C340" s="1" t="str">
        <v>06-00-9G Cd40-ASO 576</v>
      </c>
      <c r="F340" s="1" t="str">
        <v>Cd40-ASO 401 MOE</v>
      </c>
      <c r="H340" s="1" t="str">
        <v>Cd40-ASO 681 MOE</v>
      </c>
    </row>
    <row r="341" spans="3:8" x14ac:dyDescent="0.5">
      <c r="C341" s="1" t="str">
        <v>06-00-9H Cd40-ASO 581</v>
      </c>
      <c r="F341" s="1" t="str">
        <v>Cd40-ASO 406 MOE</v>
      </c>
      <c r="H341" s="1" t="str">
        <v>Cd40-ASO 686 MOE</v>
      </c>
    </row>
    <row r="342" spans="3:8" x14ac:dyDescent="0.5">
      <c r="C342" s="1" t="str">
        <v>06-00-9I Cd40-ASO 586</v>
      </c>
      <c r="F342" s="1" t="str">
        <v>Cd40-ASO 411 MOE</v>
      </c>
      <c r="H342" s="1" t="str">
        <v>Cd40-ASO 691 MOE</v>
      </c>
    </row>
    <row r="343" spans="3:8" x14ac:dyDescent="0.5">
      <c r="C343" s="1" t="str">
        <v>06-00-9J Cd40-ASO 591</v>
      </c>
      <c r="F343" s="1" t="str">
        <v>Cd40-ASO 416 MOE</v>
      </c>
      <c r="H343" s="1" t="str">
        <v>Cd40-ASO 696 MOE</v>
      </c>
    </row>
    <row r="344" spans="3:8" x14ac:dyDescent="0.5">
      <c r="C344" s="1" t="str">
        <v>06-00-9K Cd40-ASO 596</v>
      </c>
      <c r="F344" s="1" t="str">
        <v>Cd40-ASO 421 MOE</v>
      </c>
      <c r="H344" s="1" t="str">
        <v>Cd40-ASO 701 MOE</v>
      </c>
    </row>
    <row r="345" spans="3:8" x14ac:dyDescent="0.5">
      <c r="C345" s="1" t="str">
        <v>06-00-9L Cd40-ASO 601</v>
      </c>
      <c r="F345" s="1" t="str">
        <v>Cd40-ASO 426 MOE</v>
      </c>
      <c r="H345" s="1" t="str">
        <v>Cd40-ASO 706 MOE</v>
      </c>
    </row>
    <row r="346" spans="3:8" x14ac:dyDescent="0.5">
      <c r="C346" s="1" t="str">
        <v>06-00-9M Cd40-ASO 606</v>
      </c>
      <c r="F346" s="1" t="str">
        <v>Cd40-ASO 431 MOE</v>
      </c>
      <c r="H346" s="1" t="str">
        <v>Cd40-ASO 711 MOE</v>
      </c>
    </row>
    <row r="347" spans="3:8" x14ac:dyDescent="0.5">
      <c r="C347" s="1" t="str">
        <v>06-00-9N Cd40-ASO 611</v>
      </c>
      <c r="F347" s="1" t="str">
        <v>Cd40-ASO 436 MOE</v>
      </c>
      <c r="H347" s="1" t="str">
        <v>Cd40-ASO 716 MOE</v>
      </c>
    </row>
    <row r="348" spans="3:8" x14ac:dyDescent="0.5">
      <c r="C348" s="1" t="str">
        <v>06-00-9O Cd40-ASO 616</v>
      </c>
      <c r="F348" s="1" t="str">
        <v>Cd40-ASO 441 MOE</v>
      </c>
      <c r="H348" s="1" t="str">
        <v>Cd40-ASO 721 MOE</v>
      </c>
    </row>
    <row r="349" spans="3:8" x14ac:dyDescent="0.5">
      <c r="C349" s="1" t="str">
        <v>06-00-9P Cd40-ASO 621</v>
      </c>
      <c r="F349" s="1" t="str">
        <v>Cd40-ASO 446 MOE</v>
      </c>
      <c r="H349" s="1" t="str">
        <v>Cd40-ASO 726 MOE</v>
      </c>
    </row>
    <row r="350" spans="3:8" x14ac:dyDescent="0.5">
      <c r="C350" s="1" t="str">
        <v>06-00-9Q Cd40-ASO 626</v>
      </c>
      <c r="F350" s="1" t="str">
        <v>Cd40-ASO 451 MOE</v>
      </c>
      <c r="H350" s="1" t="str">
        <v>Cd40-ASO 731 MOE</v>
      </c>
    </row>
    <row r="351" spans="3:8" x14ac:dyDescent="0.5">
      <c r="C351" s="1" t="str">
        <v>06-00-9R Cd40-ASO 631</v>
      </c>
      <c r="F351" s="1" t="str">
        <v>Cd40-ASO 456 MOE</v>
      </c>
      <c r="H351" s="1" t="str">
        <v>Cd40-ASO 736 MOE</v>
      </c>
    </row>
    <row r="352" spans="3:8" x14ac:dyDescent="0.5">
      <c r="C352" s="1" t="str">
        <v>06-00-9S Cd40-ASO 636</v>
      </c>
      <c r="F352" s="1" t="str">
        <v>Cd40-ASO 461 MOE</v>
      </c>
      <c r="H352" s="1" t="str">
        <v>Cd40-ASO 741 MOE</v>
      </c>
    </row>
    <row r="353" spans="3:8" x14ac:dyDescent="0.5">
      <c r="C353" s="1" t="str">
        <v>06-00-9T Cd40-ASO 641</v>
      </c>
      <c r="F353" s="1" t="str">
        <v>Cd40-ASO 466 MOE</v>
      </c>
      <c r="H353" s="1" t="str">
        <v>Cd40-ASO 746 MOE</v>
      </c>
    </row>
    <row r="354" spans="3:8" x14ac:dyDescent="0.5">
      <c r="C354" s="1" t="str">
        <v>06-00-9U Cd40-ASO 646</v>
      </c>
      <c r="F354" s="1" t="str">
        <v>Cd40-ASO 471 MOE</v>
      </c>
      <c r="H354" s="1" t="str">
        <v>Cd40-ASO 751 MOE</v>
      </c>
    </row>
    <row r="355" spans="3:8" x14ac:dyDescent="0.5">
      <c r="C355" s="1" t="str">
        <v>06-00-9V Cd40-ASO 651</v>
      </c>
      <c r="F355" s="1" t="str">
        <v>Cd40-ASO 476 MOE</v>
      </c>
      <c r="H355" s="1" t="str">
        <v>Cd40-ASO 756 MOE</v>
      </c>
    </row>
    <row r="356" spans="3:8" x14ac:dyDescent="0.5">
      <c r="C356" s="1" t="str">
        <v>06-00-9W Cd40-ASO 656</v>
      </c>
      <c r="F356" s="1" t="str">
        <v>Cd40-ASO 481 MOE</v>
      </c>
      <c r="H356" s="1" t="str">
        <v>Cd40-ASO 761 MOE</v>
      </c>
    </row>
    <row r="357" spans="3:8" x14ac:dyDescent="0.5">
      <c r="C357" s="1" t="str">
        <v>06-00-9X Cd40-ASO 661</v>
      </c>
      <c r="F357" s="1" t="str">
        <v>Cd40-ASO 486 MOE</v>
      </c>
      <c r="H357" s="1" t="str">
        <v>Cd40-ASO 766 MOE</v>
      </c>
    </row>
    <row r="358" spans="3:8" x14ac:dyDescent="0.5">
      <c r="C358" s="1" t="str">
        <v>06-00-9Y Cd40-ASO 666</v>
      </c>
      <c r="F358" s="1" t="str">
        <v>Cd40-ASO 491 MOE</v>
      </c>
      <c r="H358" s="1" t="str">
        <v>Cd40-ASO 771 MOE</v>
      </c>
    </row>
    <row r="359" spans="3:8" x14ac:dyDescent="0.5">
      <c r="C359" s="1" t="str">
        <v>06-00-9Z Cd40-ASO 671</v>
      </c>
      <c r="F359" s="1" t="str">
        <v>Cd40-ASO 496 MOE</v>
      </c>
      <c r="H359" s="1" t="str">
        <v>Cd40-ASO 776 MOE</v>
      </c>
    </row>
    <row r="360" spans="3:8" x14ac:dyDescent="0.5">
      <c r="C360" s="1" t="str">
        <v>06-00-A0 Cd40-ASO 676</v>
      </c>
      <c r="F360" s="1" t="str">
        <v>Cd40-ASO 501 MOE</v>
      </c>
      <c r="H360" s="1" t="str">
        <v>Cd40-ASO 781 MOE</v>
      </c>
    </row>
    <row r="361" spans="3:8" x14ac:dyDescent="0.5">
      <c r="C361" s="1" t="str">
        <v>06-00-A1 Cd40-ASO 681</v>
      </c>
      <c r="F361" s="1" t="str">
        <v>Cd40-ASO 506 MOE</v>
      </c>
      <c r="H361" s="1" t="str">
        <v>Cd40-ASO 786 MOE</v>
      </c>
    </row>
    <row r="362" spans="3:8" x14ac:dyDescent="0.5">
      <c r="C362" s="1" t="str">
        <v>06-00-A2 Cd40-ASO 686</v>
      </c>
      <c r="F362" s="1" t="str">
        <v>Cd40-ASO 511 MOE</v>
      </c>
      <c r="H362" s="1" t="str">
        <v>Cd40-ASO 791 MOE</v>
      </c>
    </row>
    <row r="363" spans="3:8" x14ac:dyDescent="0.5">
      <c r="C363" s="1" t="str">
        <v>06-00-A3 Cd40-ASO 691</v>
      </c>
      <c r="F363" s="1" t="str">
        <v>Cd40-ASO 516 MOE</v>
      </c>
      <c r="H363" s="1" t="str">
        <v>Cd40-ASO 796 MOE</v>
      </c>
    </row>
    <row r="364" spans="3:8" x14ac:dyDescent="0.5">
      <c r="C364" s="1" t="str">
        <v>06-00-A4 Cd40-ASO 696</v>
      </c>
      <c r="F364" s="1" t="str">
        <v>Cd40-ASO 521 MOE</v>
      </c>
      <c r="H364" s="1" t="str">
        <v>Cd40-ASO 801 MOE</v>
      </c>
    </row>
    <row r="365" spans="3:8" x14ac:dyDescent="0.5">
      <c r="C365" s="1" t="str">
        <v>06-00-A5 Cd40-ASO 701</v>
      </c>
      <c r="F365" s="1" t="str">
        <v>Cd40-ASO 526 MOE</v>
      </c>
      <c r="H365" s="1" t="str">
        <v>Cd40-ASO 806 MOE</v>
      </c>
    </row>
    <row r="366" spans="3:8" x14ac:dyDescent="0.5">
      <c r="C366" s="1" t="str">
        <v>06-00-A6 Cd40-ASO 706</v>
      </c>
      <c r="F366" s="1" t="str">
        <v>Cd40-ASO 531 MOE</v>
      </c>
      <c r="H366" s="1" t="str">
        <v>Cd40-ASO 811 MOE</v>
      </c>
    </row>
    <row r="367" spans="3:8" x14ac:dyDescent="0.5">
      <c r="C367" s="1" t="str">
        <v>06-00-A7 Cd40-ASO 711</v>
      </c>
      <c r="F367" s="1" t="str">
        <v>Cd40-ASO 536 MOE</v>
      </c>
      <c r="H367" s="1" t="str">
        <v>Cd40-ASO 816 MOE</v>
      </c>
    </row>
    <row r="368" spans="3:8" x14ac:dyDescent="0.5">
      <c r="C368" s="1" t="str">
        <v>06-00-A8 Cd40-ASO 716</v>
      </c>
      <c r="F368" s="1" t="str">
        <v>Cd40-ASO 541 MOE</v>
      </c>
      <c r="H368" s="1" t="str">
        <v>Cd40-ASO 821 MOE</v>
      </c>
    </row>
    <row r="369" spans="3:8" x14ac:dyDescent="0.5">
      <c r="C369" s="1" t="str">
        <v>06-00-A9 Cd40-ASO 721</v>
      </c>
      <c r="F369" s="1" t="str">
        <v>Cd40-ASO 546 MOE</v>
      </c>
      <c r="H369" s="1" t="str">
        <v>Cd40-ASO 826 MOE</v>
      </c>
    </row>
    <row r="370" spans="3:8" x14ac:dyDescent="0.5">
      <c r="C370" s="1" t="str">
        <v>06-00-AA Cd40-ASO 726</v>
      </c>
      <c r="F370" s="1" t="str">
        <v>Cd40-ASO 551 MOE</v>
      </c>
      <c r="H370" s="1" t="str">
        <v>Cd40-ASO 831 MOE</v>
      </c>
    </row>
    <row r="371" spans="3:8" x14ac:dyDescent="0.5">
      <c r="C371" s="1" t="str">
        <v>06-00-AB Cd40-ASO 731</v>
      </c>
      <c r="F371" s="1" t="str">
        <v>Cd40-ASO 556 MOE</v>
      </c>
      <c r="H371" s="1" t="str">
        <v>Cd40-ASO 836 MOE</v>
      </c>
    </row>
    <row r="372" spans="3:8" x14ac:dyDescent="0.5">
      <c r="C372" s="1" t="str">
        <v>06-00-AC Cd40-ASO 736</v>
      </c>
      <c r="F372" s="1" t="str">
        <v>Cd40-ASO 561 MOE</v>
      </c>
      <c r="H372" s="1" t="str">
        <v>Cd40-ASO 841 MOE</v>
      </c>
    </row>
    <row r="373" spans="3:8" x14ac:dyDescent="0.5">
      <c r="C373" s="1" t="str">
        <v>06-00-AD Cd40-ASO 741</v>
      </c>
      <c r="F373" s="1" t="str">
        <v>Cd40-ASO 566 MOE</v>
      </c>
      <c r="H373" s="1" t="str">
        <v>5'-UTR_187_ASO</v>
      </c>
    </row>
    <row r="374" spans="3:8" x14ac:dyDescent="0.5">
      <c r="C374" s="1" t="str">
        <v>06-00-AE Cd40-ASO 746</v>
      </c>
      <c r="F374" s="1" t="str">
        <v>Cd40-ASO 571 MOE</v>
      </c>
      <c r="H374" s="1" t="str">
        <v>3-'UTR_1435_ASO</v>
      </c>
    </row>
    <row r="375" spans="3:8" x14ac:dyDescent="0.5">
      <c r="C375" s="1" t="str">
        <v>06-00-AF Cd40-ASO 751</v>
      </c>
      <c r="F375" s="1" t="str">
        <v>Cd40-ASO 576 MOE</v>
      </c>
      <c r="H375" s="1" t="str">
        <v>3-'UTR_1462_ASO</v>
      </c>
    </row>
    <row r="376" spans="3:8" x14ac:dyDescent="0.5">
      <c r="C376" s="1" t="str">
        <v>06-00-AG Cd40-ASO 756</v>
      </c>
      <c r="F376" s="1" t="str">
        <v>Cd40-ASO 581 MOE</v>
      </c>
      <c r="H376" s="1" t="str">
        <v>3-'UTR_1753_ASO</v>
      </c>
    </row>
    <row r="377" spans="3:8" x14ac:dyDescent="0.5">
      <c r="C377" s="1" t="str">
        <v>06-00-AH Cd40-ASO 761</v>
      </c>
      <c r="F377" s="1" t="str">
        <v>Cd40-ASO 586 MOE</v>
      </c>
      <c r="H377" s="1" t="str">
        <v>CDS_1244_ASO</v>
      </c>
    </row>
    <row r="378" spans="3:8" x14ac:dyDescent="0.5">
      <c r="C378" s="1" t="str">
        <v>06-00-AI Cd40-ASO 766</v>
      </c>
      <c r="F378" s="1" t="str">
        <v>Cd40-ASO 591 MOE</v>
      </c>
      <c r="H378" s="1" t="str">
        <v>PS300_ASO</v>
      </c>
    </row>
    <row r="379" spans="3:8" x14ac:dyDescent="0.5">
      <c r="C379" s="1" t="str">
        <v>06-00-AJ Cd40-ASO 771</v>
      </c>
      <c r="F379" s="1" t="str">
        <v>Cd40-ASO 596 MOE</v>
      </c>
      <c r="H379" s="1" t="str">
        <v>PS327_ASO</v>
      </c>
    </row>
    <row r="380" spans="3:8" x14ac:dyDescent="0.5">
      <c r="C380" s="1" t="str">
        <v>06-00-AK Cd40-ASO 776</v>
      </c>
      <c r="F380" s="1" t="str">
        <v>Cd40-ASO 601 MOE</v>
      </c>
      <c r="H380" s="1" t="str">
        <v>Cd40-ASO 103 MOE</v>
      </c>
    </row>
    <row r="381" spans="3:8" x14ac:dyDescent="0.5">
      <c r="C381" s="1" t="str">
        <v>06-00-AL Cd40-ASO 781</v>
      </c>
      <c r="F381" s="1" t="str">
        <v>Cd40-ASO 606 MOE</v>
      </c>
      <c r="H381" s="1" t="str">
        <v>Cd40-ASO 105 MOE</v>
      </c>
    </row>
    <row r="382" spans="3:8" x14ac:dyDescent="0.5">
      <c r="C382" s="1" t="str">
        <v>06-00-AM Cd40-ASO 786</v>
      </c>
      <c r="F382" s="1" t="str">
        <v>Cd40-ASO 611 MOE</v>
      </c>
      <c r="H382" s="1" t="str">
        <v>Cd40-ASO 107 MOE</v>
      </c>
    </row>
    <row r="383" spans="3:8" x14ac:dyDescent="0.5">
      <c r="C383" s="1" t="str">
        <v>06-00-AN Cd40-ASO 791</v>
      </c>
      <c r="F383" s="1" t="str">
        <v>Cd40-ASO 616 MOE</v>
      </c>
      <c r="H383" s="1" t="str">
        <v>Cd40-ASO 108 MOE</v>
      </c>
    </row>
    <row r="384" spans="3:8" x14ac:dyDescent="0.5">
      <c r="C384" s="1" t="str">
        <v>06-00-AO Cd40-ASO 796</v>
      </c>
      <c r="F384" s="1" t="str">
        <v>Cd40-ASO 621 MOE</v>
      </c>
      <c r="H384" s="1" t="str">
        <v>Cd40-ASO 109 MOE</v>
      </c>
    </row>
    <row r="385" spans="3:8" x14ac:dyDescent="0.5">
      <c r="C385" s="1" t="str">
        <v>06-00-AP Cd40-ASO 801</v>
      </c>
      <c r="F385" s="1" t="str">
        <v>Cd40-ASO 626 MOE</v>
      </c>
      <c r="H385" s="1" t="str">
        <v>Cd40-ASO 110 MOE</v>
      </c>
    </row>
    <row r="386" spans="3:8" x14ac:dyDescent="0.5">
      <c r="C386" s="1" t="str">
        <v>06-00-AQ Cd40-ASO 806</v>
      </c>
      <c r="F386" s="1" t="str">
        <v>Cd40-ASO 631 MOE</v>
      </c>
      <c r="H386" s="1" t="str">
        <v>Cd40-ASO 202 MOE</v>
      </c>
    </row>
    <row r="387" spans="3:8" x14ac:dyDescent="0.5">
      <c r="C387" s="1" t="str">
        <v>06-00-AR Cd40-ASO 811</v>
      </c>
      <c r="F387" s="1" t="str">
        <v>Cd40-ASO 636 MOE</v>
      </c>
      <c r="H387" s="1" t="str">
        <v>Cd40-ASO 203 MOE</v>
      </c>
    </row>
    <row r="388" spans="3:8" x14ac:dyDescent="0.5">
      <c r="C388" s="1" t="str">
        <v>06-00-AS Cd40-ASO 816</v>
      </c>
      <c r="F388" s="1" t="str">
        <v>Cd40-ASO 641 MOE</v>
      </c>
      <c r="H388" s="1" t="str">
        <v>Cd40-ASO 204 MOE</v>
      </c>
    </row>
    <row r="389" spans="3:8" x14ac:dyDescent="0.5">
      <c r="C389" s="1" t="str">
        <v>06-00-AT Cd40-ASO 821</v>
      </c>
      <c r="F389" s="1" t="str">
        <v>Cd40-ASO 646 MOE</v>
      </c>
      <c r="H389" s="1" t="str">
        <v>Cd40-ASO 205 MOE</v>
      </c>
    </row>
    <row r="390" spans="3:8" x14ac:dyDescent="0.5">
      <c r="C390" s="1" t="str">
        <v>06-00-AU Cd40-ASO 826</v>
      </c>
      <c r="F390" s="1" t="str">
        <v>Cd40-ASO 651 MOE</v>
      </c>
      <c r="H390" s="1" t="str">
        <v>Cd40-ASO 209 MOE</v>
      </c>
    </row>
    <row r="391" spans="3:8" x14ac:dyDescent="0.5">
      <c r="C391" s="1" t="str">
        <v>06-00-AV Cd40-ASO 831</v>
      </c>
      <c r="F391" s="1" t="str">
        <v>Cd40-ASO 656 MOE</v>
      </c>
      <c r="H391" s="1" t="str">
        <v>Cd40-ASO 210 MOE</v>
      </c>
    </row>
    <row r="392" spans="3:8" x14ac:dyDescent="0.5">
      <c r="C392" s="1" t="str">
        <v>06-00-AW Cd40-ASO 836</v>
      </c>
      <c r="F392" s="1" t="str">
        <v>Cd40-ASO 661 MOE</v>
      </c>
      <c r="H392" s="1" t="str">
        <v>Cd40-ASO 217 MOE</v>
      </c>
    </row>
    <row r="393" spans="3:8" x14ac:dyDescent="0.5">
      <c r="C393" s="1" t="str">
        <v>06-00-AX Cd40-ASO 841</v>
      </c>
      <c r="F393" s="1" t="str">
        <v>Cd40-ASO 666 MOE</v>
      </c>
      <c r="H393" s="1" t="str">
        <v>Cd40-ASO 218 MOE</v>
      </c>
    </row>
    <row r="394" spans="3:8" x14ac:dyDescent="0.5">
      <c r="C394" s="1" t="str">
        <v>06-00-AY 5'-UTR_19</v>
      </c>
      <c r="F394" s="1" t="str">
        <v>Cd40-ASO 671 MOE</v>
      </c>
      <c r="H394" s="1" t="str">
        <v>Cd40-ASO 219 MOE</v>
      </c>
    </row>
    <row r="395" spans="3:8" x14ac:dyDescent="0.5">
      <c r="C395" s="1" t="str">
        <v>06-00-AZ 5'-UTR_22</v>
      </c>
      <c r="F395" s="1" t="str">
        <v>Cd40-ASO 676 MOE</v>
      </c>
      <c r="H395" s="1" t="str">
        <v>Cd40-ASO 220 MOE</v>
      </c>
    </row>
    <row r="396" spans="3:8" x14ac:dyDescent="0.5">
      <c r="C396" s="1" t="str">
        <v>06-00-B0 5'-UTR_25</v>
      </c>
      <c r="F396" s="1" t="str">
        <v>Cd40-ASO 681 MOE</v>
      </c>
      <c r="H396" s="1" t="str">
        <v>Cd40-ASO 222 MOE</v>
      </c>
    </row>
    <row r="397" spans="3:8" x14ac:dyDescent="0.5">
      <c r="C397" s="1" t="str">
        <v>06-00-B1 5'-UTR_28</v>
      </c>
      <c r="F397" s="1" t="str">
        <v>Cd40-ASO 686 MOE</v>
      </c>
      <c r="H397" s="1" t="str">
        <v>Cd40-ASO 223 MOE</v>
      </c>
    </row>
    <row r="398" spans="3:8" x14ac:dyDescent="0.5">
      <c r="C398" s="1" t="str">
        <v>06-00-B2 5'-UTR_31</v>
      </c>
      <c r="F398" s="1" t="str">
        <v>Cd40-ASO 691 MOE</v>
      </c>
      <c r="H398" s="1" t="str">
        <v>Cd40-ASO 224 MOE</v>
      </c>
    </row>
    <row r="399" spans="3:8" x14ac:dyDescent="0.5">
      <c r="C399" s="1" t="str">
        <v>06-00-B3 5'-UTR_34</v>
      </c>
      <c r="F399" s="1" t="str">
        <v>Cd40-ASO 696 MOE</v>
      </c>
      <c r="H399" s="1" t="str">
        <v>Cd40-ASO 233 MOE</v>
      </c>
    </row>
    <row r="400" spans="3:8" x14ac:dyDescent="0.5">
      <c r="C400" s="1" t="str">
        <v>06-00-B4 5'-UTR_37</v>
      </c>
      <c r="F400" s="1" t="str">
        <v>Cd40-ASO 701 MOE</v>
      </c>
      <c r="H400" s="1" t="str">
        <v>Cd40-ASO 234 MOE</v>
      </c>
    </row>
    <row r="401" spans="3:8" x14ac:dyDescent="0.5">
      <c r="C401" s="1" t="str">
        <v>06-00-B5 5'-UTR_40</v>
      </c>
      <c r="F401" s="1" t="str">
        <v>Cd40-ASO 706 MOE</v>
      </c>
      <c r="H401" s="1" t="str">
        <v>Cd40-ASO 235 MOE</v>
      </c>
    </row>
    <row r="402" spans="3:8" x14ac:dyDescent="0.5">
      <c r="C402" s="1" t="str">
        <v>06-00-B6 5'-UTR_43</v>
      </c>
      <c r="F402" s="1" t="str">
        <v>Cd40-ASO 711 MOE</v>
      </c>
      <c r="H402" s="1" t="str">
        <v>Cd40-ASO 238 MOE</v>
      </c>
    </row>
    <row r="403" spans="3:8" x14ac:dyDescent="0.5">
      <c r="C403" s="1" t="str">
        <v>06-00-B7 5'-UTR_64</v>
      </c>
      <c r="F403" s="1" t="str">
        <v>Cd40-ASO 716 MOE</v>
      </c>
      <c r="H403" s="1" t="str">
        <v>Cd40-ASO 247 MOE</v>
      </c>
    </row>
    <row r="404" spans="3:8" x14ac:dyDescent="0.5">
      <c r="C404" s="1" t="str">
        <v>06-00-B8 5'-UTR_97</v>
      </c>
      <c r="F404" s="1" t="str">
        <v>Cd40-ASO 721 MOE</v>
      </c>
      <c r="H404" s="1" t="str">
        <v>Cd40-ASO 248 MOE</v>
      </c>
    </row>
    <row r="405" spans="3:8" x14ac:dyDescent="0.5">
      <c r="C405" s="1" t="str">
        <v>06-00-B9 5'-UTR_100</v>
      </c>
      <c r="F405" s="1" t="str">
        <v>Cd40-ASO 726 MOE</v>
      </c>
      <c r="H405" s="1" t="str">
        <v>Cd40-ASO 249 MOE</v>
      </c>
    </row>
    <row r="406" spans="3:8" x14ac:dyDescent="0.5">
      <c r="C406" s="1" t="str">
        <v>06-00-BA 5'-UTR_103</v>
      </c>
      <c r="F406" s="1" t="str">
        <v>Cd40-ASO 731 MOE</v>
      </c>
      <c r="H406" s="1" t="str">
        <v>Cd40-ASO 250 MOE</v>
      </c>
    </row>
    <row r="407" spans="3:8" x14ac:dyDescent="0.5">
      <c r="C407" s="1" t="str">
        <v>06-00-BB 5'-UTR_106</v>
      </c>
      <c r="F407" s="1" t="str">
        <v>Cd40-ASO 736 MOE</v>
      </c>
      <c r="H407" s="1" t="str">
        <v>Cd40-ASO 252 MOE</v>
      </c>
    </row>
    <row r="408" spans="3:8" x14ac:dyDescent="0.5">
      <c r="C408" s="1" t="str">
        <v>06-00-BC 5'-UTR_109</v>
      </c>
      <c r="F408" s="1" t="str">
        <v>Cd40-ASO 741 MOE</v>
      </c>
      <c r="H408" s="1" t="str">
        <v>Cd40-ASO 253 MOE</v>
      </c>
    </row>
    <row r="409" spans="3:8" x14ac:dyDescent="0.5">
      <c r="C409" s="1" t="str">
        <v>06-00-BD 5'-UTR_112</v>
      </c>
      <c r="F409" s="1" t="str">
        <v>Cd40-ASO 746 MOE</v>
      </c>
      <c r="H409" s="1" t="str">
        <v>Cd40-ASO 255 MOE</v>
      </c>
    </row>
    <row r="410" spans="3:8" x14ac:dyDescent="0.5">
      <c r="C410" s="1" t="str">
        <v>06-00-BE 5'-UTR_115</v>
      </c>
      <c r="F410" s="1" t="str">
        <v>Cd40-ASO 751 MOE</v>
      </c>
      <c r="H410" s="1" t="str">
        <v>Cd40-ASO 342 MOE</v>
      </c>
    </row>
    <row r="411" spans="3:8" x14ac:dyDescent="0.5">
      <c r="C411" s="1" t="str">
        <v>06-00-BF 5'-UTR_118</v>
      </c>
      <c r="F411" s="1" t="str">
        <v>Cd40-ASO 756 MOE</v>
      </c>
      <c r="H411" s="1" t="str">
        <v>Cd40-ASO 343 MOE</v>
      </c>
    </row>
    <row r="412" spans="3:8" x14ac:dyDescent="0.5">
      <c r="C412" s="1" t="str">
        <v>06-00-BG 5'-UTR_121</v>
      </c>
      <c r="F412" s="1" t="str">
        <v>Cd40-ASO 761 MOE</v>
      </c>
      <c r="H412" s="1" t="str">
        <v>Cd40-ASO 344 MOE</v>
      </c>
    </row>
    <row r="413" spans="3:8" x14ac:dyDescent="0.5">
      <c r="C413" s="1" t="str">
        <v>06-00-BH 5'-UTR_124</v>
      </c>
      <c r="F413" s="1" t="str">
        <v>Cd40-ASO 766 MOE</v>
      </c>
      <c r="H413" s="1" t="str">
        <v>Cd40-ASO 345 MOE</v>
      </c>
    </row>
    <row r="414" spans="3:8" x14ac:dyDescent="0.5">
      <c r="C414" s="1" t="str">
        <v>06-00-BI 5'-UTR_127</v>
      </c>
      <c r="F414" s="1" t="str">
        <v>Cd40-ASO 771 MOE</v>
      </c>
      <c r="H414" s="1" t="str">
        <v>Cd40-ASO 347 MOE</v>
      </c>
    </row>
    <row r="415" spans="3:8" x14ac:dyDescent="0.5">
      <c r="C415" s="1" t="str">
        <v>06-00-BJ 5'-UTR_130</v>
      </c>
      <c r="F415" s="1" t="str">
        <v>Cd40-ASO 776 MOE</v>
      </c>
      <c r="H415" s="1" t="str">
        <v>Cd40-ASO 348 MOE</v>
      </c>
    </row>
    <row r="416" spans="3:8" x14ac:dyDescent="0.5">
      <c r="C416" s="1" t="str">
        <v>06-00-BK 5'-UTR_181</v>
      </c>
      <c r="F416" s="1" t="str">
        <v>Cd40-ASO 781 MOE</v>
      </c>
      <c r="H416" s="1" t="str">
        <v>Cd40-ASO 349 MOE</v>
      </c>
    </row>
    <row r="417" spans="3:8" x14ac:dyDescent="0.5">
      <c r="C417" s="1" t="str">
        <v>06-00-BL 5'-UTR_184</v>
      </c>
      <c r="F417" s="1" t="str">
        <v>Cd40-ASO 786 MOE</v>
      </c>
      <c r="H417" s="1" t="str">
        <v>Cd40-ASO 350 MOE</v>
      </c>
    </row>
    <row r="418" spans="3:8" x14ac:dyDescent="0.5">
      <c r="C418" s="1" t="str">
        <v>06-00-BM 5'-UTR_187_ASO</v>
      </c>
      <c r="F418" s="1" t="str">
        <v>Cd40-ASO 791 MOE</v>
      </c>
      <c r="H418" s="1" t="str">
        <v>Cd40-ASO 447 MOE</v>
      </c>
    </row>
    <row r="419" spans="3:8" x14ac:dyDescent="0.5">
      <c r="C419" s="1" t="str">
        <v>06-00-BN 5'-UTR_277</v>
      </c>
      <c r="F419" s="1" t="str">
        <v>Cd40-ASO 796 MOE</v>
      </c>
      <c r="H419" s="1" t="str">
        <v>Cd40-ASO 448 MOE</v>
      </c>
    </row>
    <row r="420" spans="3:8" x14ac:dyDescent="0.5">
      <c r="C420" s="1" t="str">
        <v>06-00-BO 5'-UTR_427</v>
      </c>
      <c r="F420" s="1" t="str">
        <v>Cd40-ASO 801 MOE</v>
      </c>
      <c r="H420" s="1" t="str">
        <v>Cd40-ASO 449 MOE</v>
      </c>
    </row>
    <row r="421" spans="3:8" x14ac:dyDescent="0.5">
      <c r="C421" s="1" t="str">
        <v>06-00-BP 5'-UTR_430</v>
      </c>
      <c r="F421" s="1" t="str">
        <v>Cd40-ASO 806 MOE</v>
      </c>
      <c r="H421" s="1" t="str">
        <v>Cd40-ASO 462 MOE</v>
      </c>
    </row>
    <row r="422" spans="3:8" x14ac:dyDescent="0.5">
      <c r="C422" s="1" t="str">
        <v>06-00-BQ 5'-UTR_433</v>
      </c>
      <c r="F422" s="1" t="str">
        <v>Cd40-ASO 811 MOE</v>
      </c>
      <c r="H422" s="1" t="str">
        <v>Cd40-ASO 463 MOE</v>
      </c>
    </row>
    <row r="423" spans="3:8" x14ac:dyDescent="0.5">
      <c r="C423" s="1" t="str">
        <v>06-00-BR 3-'UTR_1402</v>
      </c>
      <c r="F423" s="1" t="str">
        <v>Cd40-ASO 816 MOE</v>
      </c>
      <c r="H423" s="1" t="str">
        <v>Cd40-ASO 464 MOE</v>
      </c>
    </row>
    <row r="424" spans="3:8" x14ac:dyDescent="0.5">
      <c r="C424" s="1" t="str">
        <v>06-00-BS 3-'UTR_1426</v>
      </c>
      <c r="F424" s="1" t="str">
        <v>Cd40-ASO 821 MOE</v>
      </c>
      <c r="H424" s="1" t="str">
        <v>Cd40-ASO 465 MOE</v>
      </c>
    </row>
    <row r="425" spans="3:8" x14ac:dyDescent="0.5">
      <c r="C425" s="1" t="str">
        <v>06-00-BT 3-'UTR_1429</v>
      </c>
      <c r="F425" s="1" t="str">
        <v>Cd40-ASO 826 MOE</v>
      </c>
      <c r="H425" s="1" t="str">
        <v>Cd40-ASO 467 MOE</v>
      </c>
    </row>
    <row r="426" spans="3:8" x14ac:dyDescent="0.5">
      <c r="C426" s="1" t="str">
        <v>06-00-BU 3-'UTR_1432</v>
      </c>
      <c r="F426" s="1" t="str">
        <v>Cd40-ASO 831 MOE</v>
      </c>
      <c r="H426" s="1" t="str">
        <v>Cd40-ASO 468 MOE</v>
      </c>
    </row>
    <row r="427" spans="3:8" x14ac:dyDescent="0.5">
      <c r="C427" s="1" t="str">
        <v>06-00-BV 3-'UTR_1435_ASO</v>
      </c>
      <c r="F427" s="1" t="str">
        <v>Cd40-ASO 836 MOE</v>
      </c>
      <c r="H427" s="1" t="str">
        <v>Cd40-ASO 469 MOE</v>
      </c>
    </row>
    <row r="428" spans="3:8" x14ac:dyDescent="0.5">
      <c r="C428" s="1" t="str">
        <v>06-00-BW 3-'UTR_1441</v>
      </c>
      <c r="F428" s="1" t="str">
        <v>Cd40-ASO 841 MOE</v>
      </c>
      <c r="H428" s="1" t="str">
        <v>Cd40-ASO 470 MOE</v>
      </c>
    </row>
    <row r="429" spans="3:8" x14ac:dyDescent="0.5">
      <c r="C429" s="1" t="str">
        <v>06-00-BX 3-'UTR_1444</v>
      </c>
      <c r="F429" s="1" t="str">
        <v>PO-Mecp2-33</v>
      </c>
      <c r="H429" s="1" t="str">
        <v>Cd40-ASO 538 MOE</v>
      </c>
    </row>
    <row r="430" spans="3:8" x14ac:dyDescent="0.5">
      <c r="C430" s="1" t="str">
        <v>06-00-BY 3-'UTR_1447</v>
      </c>
      <c r="F430" s="1" t="str">
        <v>malat1-hmSO-AP05</v>
      </c>
      <c r="H430" s="1" t="str">
        <v>Cd40-ASO 539 MOE</v>
      </c>
    </row>
    <row r="431" spans="3:8" x14ac:dyDescent="0.5">
      <c r="C431" s="1" t="str">
        <v>06-00-BZ 3-'UTR_1450</v>
      </c>
      <c r="F431" s="1" t="str">
        <v>malat1-hmSO-AP09</v>
      </c>
      <c r="H431" s="1" t="str">
        <v>Cd40-ASO 544 MOE</v>
      </c>
    </row>
    <row r="432" spans="3:8" x14ac:dyDescent="0.5">
      <c r="C432" s="1" t="str">
        <v>06-00-C0 3-'UTR_1453</v>
      </c>
      <c r="F432" s="1" t="str">
        <v>malat1-hmSO-AP13</v>
      </c>
      <c r="H432" s="1" t="str">
        <v>Cd40-ASO 545 MOE</v>
      </c>
    </row>
    <row r="433" spans="3:8" x14ac:dyDescent="0.5">
      <c r="C433" s="1" t="str">
        <v>06-00-C1 3-'UTR_1456</v>
      </c>
      <c r="F433" s="1" t="str">
        <v>malat1-hmSO-AP05-DBCO</v>
      </c>
      <c r="H433" s="1" t="str">
        <v>Cd40-ASO 552 MOE</v>
      </c>
    </row>
    <row r="434" spans="3:8" x14ac:dyDescent="0.5">
      <c r="C434" s="1" t="str">
        <v>06-00-C2 3-'UTR_1459</v>
      </c>
      <c r="F434" s="1" t="str">
        <v>malat1-hmSO-AP09-DBCO</v>
      </c>
      <c r="H434" s="1" t="str">
        <v>Cd40-ASO 554 MOE3</v>
      </c>
    </row>
    <row r="435" spans="3:8" x14ac:dyDescent="0.5">
      <c r="C435" s="1" t="str">
        <v>06-00-C3 3-'UTR_1462_ASO</v>
      </c>
      <c r="F435" s="1" t="str">
        <v>malat1-hmSO-AP13-DBCO</v>
      </c>
      <c r="H435" s="1" t="str">
        <v>Cd40-ASO 555 MOE</v>
      </c>
    </row>
    <row r="436" spans="3:8" x14ac:dyDescent="0.5">
      <c r="C436" s="1" t="str">
        <v>06-00-C4 3-'UTR_1465</v>
      </c>
      <c r="F436" s="1" t="str">
        <v>malat1-hmSO[05R-FPP]</v>
      </c>
      <c r="H436" s="1" t="str">
        <v>Cd40-ASO 557 MOE</v>
      </c>
    </row>
    <row r="437" spans="3:8" x14ac:dyDescent="0.5">
      <c r="C437" s="1" t="str">
        <v>06-00-C5 3-'UTR_1468</v>
      </c>
      <c r="F437" s="1" t="str">
        <v>malat1-hmSO[09R-FPP]</v>
      </c>
      <c r="H437" s="1" t="str">
        <v>Cd40-ASO 558 MOE</v>
      </c>
    </row>
    <row r="438" spans="3:8" x14ac:dyDescent="0.5">
      <c r="C438" s="1" t="str">
        <v>06-00-C6 3-'UTR_1471</v>
      </c>
      <c r="F438" s="1" t="str">
        <v>malat1-hmSO[13R-FPP]</v>
      </c>
      <c r="H438" s="1" t="str">
        <v>Cd40-ASO 559 MOE</v>
      </c>
    </row>
    <row r="439" spans="3:8" x14ac:dyDescent="0.5">
      <c r="C439" s="1" t="str">
        <v>06-00-C7 3-'UTR_1474</v>
      </c>
      <c r="F439" s="1" t="str">
        <v>malat1-hmSO[09B]</v>
      </c>
      <c r="H439" s="1" t="str">
        <v>Cd40-ASO 604 MOE</v>
      </c>
    </row>
    <row r="440" spans="3:8" x14ac:dyDescent="0.5">
      <c r="C440" s="1" t="str">
        <v>06-00-C8 3-'UTR_1477</v>
      </c>
      <c r="F440" s="1" t="str">
        <v>malat1-hmSO[09B-DBCO]</v>
      </c>
      <c r="H440" s="1" t="str">
        <v>Cd40-ASO 605 MOE</v>
      </c>
    </row>
    <row r="441" spans="3:8" x14ac:dyDescent="0.5">
      <c r="C441" s="1" t="str">
        <v>06-00-C9 3-'UTR_1480</v>
      </c>
      <c r="F441" s="1" t="str">
        <v>malat1-hmSO[09B-FPP]</v>
      </c>
      <c r="H441" s="1" t="str">
        <v>Cd40-ASO 728 MOE</v>
      </c>
    </row>
    <row r="442" spans="3:8" x14ac:dyDescent="0.5">
      <c r="C442" s="1" t="str">
        <v>06-00-CA 3-'UTR_1483</v>
      </c>
      <c r="F442" s="1" t="str">
        <v>5'-UTR_19</v>
      </c>
      <c r="H442" s="1" t="str">
        <v>Cd40-ASO 729 MOE</v>
      </c>
    </row>
    <row r="443" spans="3:8" x14ac:dyDescent="0.5">
      <c r="C443" s="1" t="str">
        <v>06-00-CB 3-'UTR_1486</v>
      </c>
      <c r="F443" s="1" t="str">
        <v>5'-UTR_22</v>
      </c>
      <c r="H443" s="1" t="str">
        <v>Cd40-ASO 730 MOE</v>
      </c>
    </row>
    <row r="444" spans="3:8" x14ac:dyDescent="0.5">
      <c r="C444" s="1" t="str">
        <v>06-00-CC 3-'UTR_1489</v>
      </c>
      <c r="F444" s="1" t="str">
        <v>5'-UTR_25</v>
      </c>
      <c r="H444" s="1" t="str">
        <v>Cd40-ASO 732 MOE</v>
      </c>
    </row>
    <row r="445" spans="3:8" x14ac:dyDescent="0.5">
      <c r="C445" s="1" t="str">
        <v>06-00-CD 3-'UTR_1492</v>
      </c>
      <c r="F445" s="1" t="str">
        <v>5'-UTR_28</v>
      </c>
      <c r="H445" s="1" t="str">
        <v>Cd40-ASO 733 MOE</v>
      </c>
    </row>
    <row r="446" spans="3:8" x14ac:dyDescent="0.5">
      <c r="C446" s="1" t="str">
        <v>06-00-CE 3-'UTR_1495</v>
      </c>
      <c r="F446" s="1" t="str">
        <v>5'-UTR_31</v>
      </c>
      <c r="H446" s="1" t="str">
        <v>Cd40-ASO 734 MOE</v>
      </c>
    </row>
    <row r="447" spans="3:8" x14ac:dyDescent="0.5">
      <c r="C447" s="1" t="str">
        <v>06-00-CF 3-'UTR_1498</v>
      </c>
      <c r="F447" s="1" t="str">
        <v>5'-UTR_34</v>
      </c>
      <c r="H447" s="1" t="str">
        <v>Cd40-ASO 752 MOE</v>
      </c>
    </row>
    <row r="448" spans="3:8" x14ac:dyDescent="0.5">
      <c r="C448" s="1" t="str">
        <v>06-00-CG 3-'UTR_1513</v>
      </c>
      <c r="F448" s="1" t="str">
        <v>5'-UTR_37</v>
      </c>
      <c r="H448" s="1" t="str">
        <v>Cd40-ASO 753 MOE</v>
      </c>
    </row>
    <row r="449" spans="3:8" x14ac:dyDescent="0.5">
      <c r="C449" s="1" t="str">
        <v>06-00-CH 3-'UTR_1516</v>
      </c>
      <c r="F449" s="1" t="str">
        <v>5'-UTR_40</v>
      </c>
      <c r="H449" s="1" t="str">
        <v>Cd40-ASO 755 MOE</v>
      </c>
    </row>
    <row r="450" spans="3:8" x14ac:dyDescent="0.5">
      <c r="C450" s="1" t="str">
        <v>06-00-CI 3-'UTR_1519</v>
      </c>
      <c r="F450" s="1" t="str">
        <v>5'-UTR_43</v>
      </c>
      <c r="H450" s="1" t="str">
        <v>Cd40-ASO 759 MOE</v>
      </c>
    </row>
    <row r="451" spans="3:8" x14ac:dyDescent="0.5">
      <c r="C451" s="1" t="str">
        <v>06-00-CJ 3-'UTR_1522</v>
      </c>
      <c r="F451" s="1" t="str">
        <v>5'-UTR_64</v>
      </c>
      <c r="H451" s="1" t="str">
        <v>Cd40-ASO 767 MOE</v>
      </c>
    </row>
    <row r="452" spans="3:8" x14ac:dyDescent="0.5">
      <c r="C452" s="1" t="str">
        <v>06-00-CK 3-'UTR_1525</v>
      </c>
      <c r="F452" s="1" t="str">
        <v>5'-UTR_97</v>
      </c>
      <c r="H452" s="1" t="str">
        <v>Cd40-ASO 768 MOE</v>
      </c>
    </row>
    <row r="453" spans="3:8" x14ac:dyDescent="0.5">
      <c r="C453" s="1" t="str">
        <v>06-00-CL 3-'UTR_1528</v>
      </c>
      <c r="F453" s="1" t="str">
        <v>5'-UTR_100</v>
      </c>
      <c r="H453" s="1" t="str">
        <v>Cd40-ASO 769 MOE</v>
      </c>
    </row>
    <row r="454" spans="3:8" x14ac:dyDescent="0.5">
      <c r="C454" s="1" t="str">
        <v>06-00-CM 3-'UTR_1531</v>
      </c>
      <c r="F454" s="1" t="str">
        <v>5'-UTR_103</v>
      </c>
      <c r="H454" s="1" t="str">
        <v>Cd40-ASO 770 MOE</v>
      </c>
    </row>
    <row r="455" spans="3:8" x14ac:dyDescent="0.5">
      <c r="C455" s="1" t="str">
        <v>06-00-CN 3-'UTR_1540</v>
      </c>
      <c r="F455" s="1" t="str">
        <v>5'-UTR_106</v>
      </c>
      <c r="H455" s="1" t="str">
        <v>Cd40-ASO 772 MOE</v>
      </c>
    </row>
    <row r="456" spans="3:8" x14ac:dyDescent="0.5">
      <c r="C456" s="1" t="str">
        <v>06-00-CO 3-'UTR_1543</v>
      </c>
      <c r="F456" s="1" t="str">
        <v>5'-UTR_109</v>
      </c>
      <c r="H456" s="1" t="str">
        <v>Cd40-ASO 773 MOE</v>
      </c>
    </row>
    <row r="457" spans="3:8" x14ac:dyDescent="0.5">
      <c r="C457" s="1" t="str">
        <v>06-00-CP 3-'UTR_1546</v>
      </c>
      <c r="F457" s="1" t="str">
        <v>5'-UTR_112</v>
      </c>
      <c r="H457" s="1" t="str">
        <v>Cd40-ASO 777 MOE</v>
      </c>
    </row>
    <row r="458" spans="3:8" x14ac:dyDescent="0.5">
      <c r="C458" s="1" t="str">
        <v>06-00-CQ 3-'UTR_1555</v>
      </c>
      <c r="F458" s="1" t="str">
        <v>5'-UTR_115</v>
      </c>
      <c r="H458" s="1" t="str">
        <v>Cd40-ASO 779 MOE</v>
      </c>
    </row>
    <row r="459" spans="3:8" x14ac:dyDescent="0.5">
      <c r="C459" s="1" t="str">
        <v>06-00-CR 3-'UTR_1558</v>
      </c>
      <c r="F459" s="1" t="str">
        <v>5'-UTR_118</v>
      </c>
      <c r="H459" s="1" t="str">
        <v>Cd40-ASO 780 MOE</v>
      </c>
    </row>
    <row r="460" spans="3:8" x14ac:dyDescent="0.5">
      <c r="C460" s="1" t="str">
        <v>06-00-CS 3-'UTR_1561</v>
      </c>
      <c r="F460" s="1" t="str">
        <v>5'-UTR_121</v>
      </c>
      <c r="H460" s="1" t="str">
        <v>Cd40-ASO 783 MOE</v>
      </c>
    </row>
    <row r="461" spans="3:8" x14ac:dyDescent="0.5">
      <c r="C461" s="1" t="str">
        <v>06-00-CT 3-'UTR_1564</v>
      </c>
      <c r="F461" s="1" t="str">
        <v>5'-UTR_124</v>
      </c>
      <c r="H461" s="1" t="str">
        <v>Cd40-ASO 784 MOE</v>
      </c>
    </row>
    <row r="462" spans="3:8" x14ac:dyDescent="0.5">
      <c r="C462" s="1" t="str">
        <v>06-00-CU 3-'UTR_1567</v>
      </c>
      <c r="F462" s="1" t="str">
        <v>5'-UTR_127</v>
      </c>
      <c r="H462" s="1" t="str">
        <v>Cd40-ASO 785 MOE</v>
      </c>
    </row>
    <row r="463" spans="3:8" x14ac:dyDescent="0.5">
      <c r="C463" s="1" t="str">
        <v>06-00-CV 3-'UTR_1570</v>
      </c>
      <c r="F463" s="1" t="str">
        <v>5'-UTR_130</v>
      </c>
      <c r="H463" s="1" t="str">
        <v>Cd40-ASO 787 MOE</v>
      </c>
    </row>
    <row r="464" spans="3:8" x14ac:dyDescent="0.5">
      <c r="C464" s="1" t="str">
        <v>06-00-CW 3-'UTR_1573</v>
      </c>
      <c r="F464" s="1" t="str">
        <v>5'-UTR_181</v>
      </c>
      <c r="H464" s="1" t="str">
        <v>Cd40-ASO 788 MOE</v>
      </c>
    </row>
    <row r="465" spans="3:8" x14ac:dyDescent="0.5">
      <c r="C465" s="1" t="str">
        <v>06-00-CX 3-'UTR_1576</v>
      </c>
      <c r="F465" s="1" t="str">
        <v>5'-UTR_184</v>
      </c>
      <c r="H465" s="1" t="str">
        <v>Cd40-ASO 789 MOE</v>
      </c>
    </row>
    <row r="466" spans="3:8" x14ac:dyDescent="0.5">
      <c r="C466" s="1" t="str">
        <v>06-00-CY 3-'UTR_1579</v>
      </c>
      <c r="F466" s="1" t="str">
        <v>5'-UTR_187_ASO</v>
      </c>
      <c r="H466" s="1" t="str">
        <v>Cd40-ASO 790 MOE</v>
      </c>
    </row>
    <row r="467" spans="3:8" x14ac:dyDescent="0.5">
      <c r="C467" s="1" t="str">
        <v>06-00-CZ 3-'UTR_1582</v>
      </c>
      <c r="F467" s="1" t="str">
        <v>5'-UTR_277</v>
      </c>
      <c r="H467" s="1" t="str">
        <v>Cd40-ASO 792 MOE</v>
      </c>
    </row>
    <row r="468" spans="3:8" x14ac:dyDescent="0.5">
      <c r="C468" s="1" t="str">
        <v>06-00-D0 3-'UTR_1585</v>
      </c>
      <c r="F468" s="1" t="str">
        <v>5'-UTR_427</v>
      </c>
      <c r="H468" s="1" t="str">
        <v>Cd40-ASO 793 MOE</v>
      </c>
    </row>
    <row r="469" spans="3:8" x14ac:dyDescent="0.5">
      <c r="C469" s="1" t="str">
        <v>06-00-D1 3-'UTR_1588</v>
      </c>
      <c r="F469" s="1" t="str">
        <v>5'-UTR_430</v>
      </c>
      <c r="H469" s="1" t="str">
        <v>Cd40-ASO 794 MOE</v>
      </c>
    </row>
    <row r="470" spans="3:8" x14ac:dyDescent="0.5">
      <c r="C470" s="1" t="str">
        <v>06-00-D2 3-'UTR_1591</v>
      </c>
      <c r="F470" s="1" t="str">
        <v>5'-UTR_433</v>
      </c>
      <c r="H470" s="1" t="str">
        <v>Cd40-ASO 795 MOE</v>
      </c>
    </row>
    <row r="471" spans="3:8" x14ac:dyDescent="0.5">
      <c r="C471" s="1" t="str">
        <v>06-00-D3 3-'UTR_1618</v>
      </c>
      <c r="F471" s="1" t="str">
        <v>3-'UTR_1402</v>
      </c>
      <c r="H471" s="1" t="str">
        <v>Cd40-ASO 797 MOE</v>
      </c>
    </row>
    <row r="472" spans="3:8" x14ac:dyDescent="0.5">
      <c r="C472" s="1" t="str">
        <v>06-00-D4 3-'UTR_1621</v>
      </c>
      <c r="F472" s="1" t="str">
        <v>3-'UTR_1426</v>
      </c>
      <c r="H472" s="1" t="str">
        <v>Cd40-ASO 812 MOE</v>
      </c>
    </row>
    <row r="473" spans="3:8" x14ac:dyDescent="0.5">
      <c r="C473" s="1" t="str">
        <v>06-00-D5 3-'UTR_1657</v>
      </c>
      <c r="F473" s="1" t="str">
        <v>3-'UTR_1429</v>
      </c>
      <c r="H473" s="1" t="str">
        <v>Cd40-ASO 814 MOE</v>
      </c>
    </row>
    <row r="474" spans="3:8" x14ac:dyDescent="0.5">
      <c r="C474" s="1" t="str">
        <v>06-00-D6 3-'UTR_1660</v>
      </c>
      <c r="F474" s="1" t="str">
        <v>3-'UTR_1432</v>
      </c>
      <c r="H474" s="1" t="str">
        <v>Cd40-ASO 815 MOE</v>
      </c>
    </row>
    <row r="475" spans="3:8" x14ac:dyDescent="0.5">
      <c r="C475" s="1" t="str">
        <v>06-00-D7 3-'UTR_1663</v>
      </c>
      <c r="F475" s="1" t="str">
        <v>3-'UTR_1435_ASO</v>
      </c>
      <c r="H475" s="1" t="str">
        <v>Cd40-ASO 817 MOE</v>
      </c>
    </row>
    <row r="476" spans="3:8" x14ac:dyDescent="0.5">
      <c r="C476" s="1" t="str">
        <v>06-00-D8 3-'UTR_1690</v>
      </c>
      <c r="F476" s="1" t="str">
        <v>3-'UTR_1441</v>
      </c>
      <c r="H476" s="1" t="str">
        <v>Cd40-ASO 818 MOE</v>
      </c>
    </row>
    <row r="477" spans="3:8" x14ac:dyDescent="0.5">
      <c r="C477" s="1" t="str">
        <v>06-00-D9 3-'UTR_1693</v>
      </c>
      <c r="F477" s="1" t="str">
        <v>3-'UTR_1444</v>
      </c>
      <c r="H477" s="1" t="str">
        <v>Cd40-ASO 819 MOE</v>
      </c>
    </row>
    <row r="478" spans="3:8" x14ac:dyDescent="0.5">
      <c r="C478" s="1" t="str">
        <v>06-00-DA 3-'UTR_1696</v>
      </c>
      <c r="F478" s="1" t="str">
        <v>3-'UTR_1447</v>
      </c>
      <c r="H478" s="1" t="str">
        <v>Cd40-ASO 820 MOE</v>
      </c>
    </row>
    <row r="479" spans="3:8" x14ac:dyDescent="0.5">
      <c r="C479" s="1" t="str">
        <v>06-00-DB 3-'UTR_1699</v>
      </c>
      <c r="F479" s="1" t="str">
        <v>3-'UTR_1450</v>
      </c>
      <c r="H479" s="1" t="str">
        <v>Cd40-ASO 822 MOE</v>
      </c>
    </row>
    <row r="480" spans="3:8" x14ac:dyDescent="0.5">
      <c r="C480" s="1" t="str">
        <v>06-00-DC 3-'UTR_1702</v>
      </c>
      <c r="F480" s="1" t="str">
        <v>3-'UTR_1453</v>
      </c>
      <c r="H480" s="1" t="str">
        <v>Cd40-ASO 823 MOE</v>
      </c>
    </row>
    <row r="481" spans="3:8" x14ac:dyDescent="0.5">
      <c r="C481" s="1" t="str">
        <v>06-00-DD 3-'UTR_1705</v>
      </c>
      <c r="F481" s="1" t="str">
        <v>3-'UTR_1456</v>
      </c>
      <c r="H481" s="1" t="str">
        <v>Cd40-ASO 824 MOE</v>
      </c>
    </row>
    <row r="482" spans="3:8" x14ac:dyDescent="0.5">
      <c r="C482" s="1" t="str">
        <v>06-00-DE 3-'UTR_1708</v>
      </c>
      <c r="F482" s="1" t="str">
        <v>3-'UTR_1459</v>
      </c>
      <c r="H482" s="1" t="str">
        <v>Cd40-ASO 825 MOE</v>
      </c>
    </row>
    <row r="483" spans="3:8" x14ac:dyDescent="0.5">
      <c r="C483" s="1" t="str">
        <v>06-00-DF 3-'UTR_1714</v>
      </c>
      <c r="F483" s="1" t="str">
        <v>3-'UTR_1462_ASO</v>
      </c>
      <c r="H483" s="1" t="str">
        <v>Cd40-ASO 827 MOE</v>
      </c>
    </row>
    <row r="484" spans="3:8" x14ac:dyDescent="0.5">
      <c r="C484" s="1" t="str">
        <v>06-00-DG 3-'UTR_1717</v>
      </c>
      <c r="F484" s="1" t="str">
        <v>3-'UTR_1465</v>
      </c>
      <c r="H484" s="1" t="str">
        <v>Cd40-ASO 828 MOE</v>
      </c>
    </row>
    <row r="485" spans="3:8" x14ac:dyDescent="0.5">
      <c r="C485" s="1" t="str">
        <v>06-00-DH 3-'UTR_1720</v>
      </c>
      <c r="F485" s="1" t="str">
        <v>3-'UTR_1468</v>
      </c>
      <c r="H485" s="1" t="str">
        <v>Cd40-ASO 829 MOE</v>
      </c>
    </row>
    <row r="486" spans="3:8" x14ac:dyDescent="0.5">
      <c r="C486" s="1" t="str">
        <v>06-00-DI 3-'UTR_1744</v>
      </c>
      <c r="F486" s="1" t="str">
        <v>3-'UTR_1471</v>
      </c>
      <c r="H486" s="1" t="str">
        <v>Cd40-ASO 830 MOE</v>
      </c>
    </row>
    <row r="487" spans="3:8" x14ac:dyDescent="0.5">
      <c r="C487" s="1" t="str">
        <v>06-00-DJ 3-'UTR_1747</v>
      </c>
      <c r="F487" s="1" t="str">
        <v>3-'UTR_1474</v>
      </c>
      <c r="H487" s="1" t="str">
        <v>Cd40-ASO 832 MOE</v>
      </c>
    </row>
    <row r="488" spans="3:8" x14ac:dyDescent="0.5">
      <c r="C488" s="1" t="str">
        <v>06-00-DK 3-'UTR_1750</v>
      </c>
      <c r="F488" s="1" t="str">
        <v>3-'UTR_1477</v>
      </c>
      <c r="H488" s="1" t="str">
        <v>Cd40-ASO 833 MOE</v>
      </c>
    </row>
    <row r="489" spans="3:8" x14ac:dyDescent="0.5">
      <c r="C489" s="1" t="str">
        <v>06-00-DL 3-'UTR_1753_ASO</v>
      </c>
      <c r="F489" s="1" t="str">
        <v>3-'UTR_1480</v>
      </c>
      <c r="H489" s="1" t="str">
        <v>Cd40-ASO 834 MOE</v>
      </c>
    </row>
    <row r="490" spans="3:8" x14ac:dyDescent="0.5">
      <c r="C490" s="1" t="str">
        <v>06-00-DM 3-'UTR_1810</v>
      </c>
      <c r="F490" s="1" t="str">
        <v>3-'UTR_1483</v>
      </c>
      <c r="H490" s="1" t="str">
        <v>Cd40-ASO 835 MOE</v>
      </c>
    </row>
    <row r="491" spans="3:8" x14ac:dyDescent="0.5">
      <c r="C491" s="1" t="str">
        <v>06-00-DN 3-'UTR_1813</v>
      </c>
      <c r="F491" s="1" t="str">
        <v>3-'UTR_1486</v>
      </c>
      <c r="H491" s="1" t="str">
        <v>Cd40-ASO 837 MOE</v>
      </c>
    </row>
    <row r="492" spans="3:8" x14ac:dyDescent="0.5">
      <c r="C492" s="1" t="str">
        <v>06-00-DO 3-'UTR_1816</v>
      </c>
      <c r="F492" s="1" t="str">
        <v>3-'UTR_1489</v>
      </c>
      <c r="H492" s="1" t="str">
        <v>Cd40-ASO 838 MOE</v>
      </c>
    </row>
    <row r="493" spans="3:8" x14ac:dyDescent="0.5">
      <c r="C493" s="1" t="str">
        <v>06-00-DP 3-'UTR_1819</v>
      </c>
      <c r="F493" s="1" t="str">
        <v>3-'UTR_1492</v>
      </c>
      <c r="H493" s="1" t="str">
        <v>b2a2 BCR::ABL-ASO</v>
      </c>
    </row>
    <row r="494" spans="3:8" x14ac:dyDescent="0.5">
      <c r="C494" s="1" t="str">
        <v>06-00-DQ 3-'UTR_1822</v>
      </c>
      <c r="F494" s="1" t="str">
        <v>3-'UTR_1495</v>
      </c>
      <c r="H494" s="1" t="str">
        <v>b3a2 BCR::ABL-ASO</v>
      </c>
    </row>
    <row r="495" spans="3:8" x14ac:dyDescent="0.5">
      <c r="C495" s="1" t="str">
        <v>06-00-DR 3-'UTR_1873</v>
      </c>
      <c r="F495" s="1" t="str">
        <v>3-'UTR_1498</v>
      </c>
      <c r="H495" s="1" t="str">
        <v>PS300_ASO_wMOE/g2OMe</v>
      </c>
    </row>
    <row r="496" spans="3:8" x14ac:dyDescent="0.5">
      <c r="C496" s="1" t="str">
        <v>06-00-DS 3-'UTR_1879</v>
      </c>
      <c r="F496" s="1" t="str">
        <v>3-'UTR_1513</v>
      </c>
      <c r="H496" s="1" t="str">
        <v>PS300_ASO_all2OMe</v>
      </c>
    </row>
    <row r="497" spans="3:8" x14ac:dyDescent="0.5">
      <c r="C497" s="1" t="str">
        <v>06-00-DT 3-'UTR_1882</v>
      </c>
      <c r="F497" s="1" t="str">
        <v>3-'UTR_1516</v>
      </c>
      <c r="H497" s="1" t="str">
        <v>Cd40-hm-ASO (5',3'-2merPS)</v>
      </c>
    </row>
    <row r="498" spans="3:8" x14ac:dyDescent="0.5">
      <c r="C498" s="1" t="str">
        <v>06-00-DU 3-'UTR_1885</v>
      </c>
      <c r="F498" s="1" t="str">
        <v>3-'UTR_1519</v>
      </c>
      <c r="H498" s="1" t="str">
        <v>Cd40-hm-ASO (5'-1merPS, 3'-2merPS)</v>
      </c>
    </row>
    <row r="499" spans="3:8" x14ac:dyDescent="0.5">
      <c r="C499" s="1" t="str">
        <v>06-00-DV 3-'UTR_1888</v>
      </c>
      <c r="F499" s="1" t="str">
        <v>3-'UTR_1522</v>
      </c>
      <c r="H499" s="1" t="str">
        <v>ApoB-ASO (17mer, 5'-4merPO)</v>
      </c>
    </row>
    <row r="500" spans="3:8" x14ac:dyDescent="0.5">
      <c r="C500" s="1" t="str">
        <v>06-00-DW 3-'UTR_1891</v>
      </c>
      <c r="F500" s="1" t="str">
        <v>3-'UTR_1525</v>
      </c>
      <c r="H500" s="1" t="str">
        <v>ApoB-ASO (17mer, PS)</v>
      </c>
    </row>
    <row r="501" spans="3:8" x14ac:dyDescent="0.5">
      <c r="C501" s="1" t="str">
        <v>06-00-DX 3-'UTR_1939</v>
      </c>
      <c r="F501" s="1" t="str">
        <v>3-'UTR_1528</v>
      </c>
      <c r="H501" s="1" t="str">
        <v>malat1-hm-ASO-(mC)</v>
      </c>
    </row>
    <row r="502" spans="3:8" x14ac:dyDescent="0.5">
      <c r="C502" s="1" t="str">
        <v>06-00-DY 3-'UTR_1942</v>
      </c>
      <c r="F502" s="1" t="str">
        <v>3-'UTR_1531</v>
      </c>
      <c r="H502" s="1" t="str">
        <v>Casimersen_ASO_ENA-Ome-gap</v>
      </c>
    </row>
    <row r="503" spans="3:8" x14ac:dyDescent="0.5">
      <c r="C503" s="1" t="str">
        <v>06-00-DZ 3-'UTR_1963</v>
      </c>
      <c r="F503" s="1" t="str">
        <v>3-'UTR_1540</v>
      </c>
      <c r="H503" s="1" t="str">
        <v>Casimersen_ASO_ENA-Ome-ren</v>
      </c>
    </row>
    <row r="504" spans="3:8" x14ac:dyDescent="0.5">
      <c r="C504" s="1" t="str">
        <v>06-00-E0 3-'UTR_1984</v>
      </c>
      <c r="F504" s="1" t="str">
        <v>3-'UTR_1543</v>
      </c>
      <c r="H504" s="1" t="str">
        <v>Exon23_ASO_ENA-Ome-gap</v>
      </c>
    </row>
    <row r="505" spans="3:8" x14ac:dyDescent="0.5">
      <c r="C505" s="1" t="str">
        <v>06-00-E1 3-'UTR_1987</v>
      </c>
      <c r="F505" s="1" t="str">
        <v>3-'UTR_1546</v>
      </c>
      <c r="H505" s="1" t="str">
        <v>Exon23_ASO_ENA-Ome-ren</v>
      </c>
    </row>
    <row r="506" spans="3:8" x14ac:dyDescent="0.5">
      <c r="C506" s="1" t="str">
        <v>06-00-E2 3-'UTR_1990</v>
      </c>
      <c r="F506" s="1" t="str">
        <v>3-'UTR_1555</v>
      </c>
      <c r="H506" s="1" t="str">
        <v>malat1-hm-ASO_Goos</v>
      </c>
    </row>
    <row r="507" spans="3:8" x14ac:dyDescent="0.5">
      <c r="C507" s="1" t="str">
        <v>06-00-E3 3-'UTR_1993</v>
      </c>
      <c r="F507" s="1" t="str">
        <v>3-'UTR_1558</v>
      </c>
      <c r="H507" s="1" t="str">
        <v>malat1-hm-ASO_Wsoo</v>
      </c>
    </row>
    <row r="508" spans="3:8" x14ac:dyDescent="0.5">
      <c r="C508" s="1" t="str">
        <v>06-00-E4 3-'UTR_2065</v>
      </c>
      <c r="F508" s="1" t="str">
        <v>3-'UTR_1561</v>
      </c>
      <c r="H508" s="1" t="str">
        <v>malat1-hm-ASO_Wsos</v>
      </c>
    </row>
    <row r="509" spans="3:8" x14ac:dyDescent="0.5">
      <c r="C509" s="1" t="str">
        <v>06-00-E5 3-'UTR_2068</v>
      </c>
      <c r="F509" s="1" t="str">
        <v>3-'UTR_1564</v>
      </c>
      <c r="H509" s="1" t="str">
        <v>malat1-hm-ASO_Wsso</v>
      </c>
    </row>
    <row r="510" spans="3:8" x14ac:dyDescent="0.5">
      <c r="C510" s="1" t="str">
        <v>06-00-E6 3-'UTR_2071</v>
      </c>
      <c r="F510" s="1" t="str">
        <v>3-'UTR_1567</v>
      </c>
      <c r="H510" s="1" t="str">
        <v>malat1-hm-ASO_WsosGoos</v>
      </c>
    </row>
    <row r="511" spans="3:8" x14ac:dyDescent="0.5">
      <c r="C511" s="1" t="str">
        <v>06-00-E7 3-'UTR_2074</v>
      </c>
      <c r="F511" s="1" t="str">
        <v>3-'UTR_1570</v>
      </c>
      <c r="H511" s="1" t="str">
        <v>malat1-hm-ASO_Wooo</v>
      </c>
    </row>
    <row r="512" spans="3:8" x14ac:dyDescent="0.5">
      <c r="C512" s="1" t="str">
        <v>06-00-E8 3-'UTR_2077</v>
      </c>
      <c r="F512" s="1" t="str">
        <v>3-'UTR_1573</v>
      </c>
      <c r="H512" s="1" t="str">
        <v>malat1-hm-ASO_FullPO</v>
      </c>
    </row>
    <row r="513" spans="3:8" x14ac:dyDescent="0.5">
      <c r="C513" s="1" t="str">
        <v>06-00-E9 3-'UTR_2080</v>
      </c>
      <c r="F513" s="1" t="str">
        <v>3-'UTR_1576</v>
      </c>
      <c r="H513" s="1" t="str">
        <v>PS327_ASO_wMOE/g2OMe</v>
      </c>
    </row>
    <row r="514" spans="3:8" x14ac:dyDescent="0.5">
      <c r="C514" s="1" t="str">
        <v>06-00-EA 3-'UTR_2083</v>
      </c>
      <c r="F514" s="1" t="str">
        <v>3-'UTR_1579</v>
      </c>
      <c r="H514" s="1" t="str">
        <v>PS300_ASO_allMOE</v>
      </c>
    </row>
    <row r="515" spans="3:8" x14ac:dyDescent="0.5">
      <c r="C515" s="1" t="str">
        <v>06-00-EB 3-'UTR_2149</v>
      </c>
      <c r="F515" s="1" t="str">
        <v>3-'UTR_1582</v>
      </c>
      <c r="H515" s="1" t="str">
        <v>PS327_ASO_allMOE</v>
      </c>
    </row>
    <row r="516" spans="3:8" x14ac:dyDescent="0.5">
      <c r="C516" s="1" t="str">
        <v>06-00-EC 3-'UTR_2155</v>
      </c>
      <c r="F516" s="1" t="str">
        <v>3-'UTR_1585</v>
      </c>
      <c r="H516" s="1" t="str">
        <v>Casimersen_ASO_ENA-Ome-gap(U)</v>
      </c>
    </row>
    <row r="517" spans="3:8" x14ac:dyDescent="0.5">
      <c r="C517" s="1" t="str">
        <v>06-00-ED 3-'UTR_2158</v>
      </c>
      <c r="F517" s="1" t="str">
        <v>3-'UTR_1588</v>
      </c>
      <c r="H517" s="1" t="str">
        <v>Casimersen_ASO_ENA-Ome-ren(U)</v>
      </c>
    </row>
    <row r="518" spans="3:8" x14ac:dyDescent="0.5">
      <c r="C518" s="1" t="str">
        <v>06-00-EE 3-'UTR_2161</v>
      </c>
      <c r="F518" s="1" t="str">
        <v>3-'UTR_1591</v>
      </c>
      <c r="H518" s="1" t="str">
        <v>Exon23_ASO_ENA-Ome-gap(U)</v>
      </c>
    </row>
    <row r="519" spans="3:8" x14ac:dyDescent="0.5">
      <c r="C519" s="1" t="str">
        <v>06-00-EF 3-'UTR_2164</v>
      </c>
      <c r="F519" s="1" t="str">
        <v>3-'UTR_1618</v>
      </c>
      <c r="H519" s="1" t="str">
        <v>Exon23_ASO_ENA-Ome-ren(U)</v>
      </c>
    </row>
    <row r="520" spans="3:8" x14ac:dyDescent="0.5">
      <c r="C520" s="1" t="str">
        <v>06-00-EG 3-'UTR_2167</v>
      </c>
      <c r="F520" s="1" t="str">
        <v>3-'UTR_1621</v>
      </c>
      <c r="H520" s="1" t="str">
        <v>487b_ASO</v>
      </c>
    </row>
    <row r="521" spans="3:8" x14ac:dyDescent="0.5">
      <c r="C521" s="1" t="str">
        <v>06-00-EH 3-'UTR_2170</v>
      </c>
      <c r="F521" s="1" t="str">
        <v>3-'UTR_1657</v>
      </c>
      <c r="H521" s="1" t="str">
        <v>127_ASO</v>
      </c>
    </row>
    <row r="522" spans="3:8" x14ac:dyDescent="0.5">
      <c r="C522" s="1" t="str">
        <v>06-00-EI 3-'UTR_2173</v>
      </c>
      <c r="F522" s="1" t="str">
        <v>3-'UTR_1660</v>
      </c>
    </row>
    <row r="523" spans="3:8" x14ac:dyDescent="0.5">
      <c r="C523" s="1" t="str">
        <v>06-00-EJ 3-'UTR_2245</v>
      </c>
      <c r="F523" s="1" t="str">
        <v>3-'UTR_1663</v>
      </c>
    </row>
    <row r="524" spans="3:8" x14ac:dyDescent="0.5">
      <c r="C524" s="1" t="str">
        <v>06-00-EK 3-'UTR_2356</v>
      </c>
      <c r="F524" s="1" t="str">
        <v>3-'UTR_1690</v>
      </c>
    </row>
    <row r="525" spans="3:8" x14ac:dyDescent="0.5">
      <c r="C525" s="1" t="str">
        <v>06-00-EL 3-'UTR_2377</v>
      </c>
      <c r="F525" s="1" t="str">
        <v>3-'UTR_1693</v>
      </c>
    </row>
    <row r="526" spans="3:8" x14ac:dyDescent="0.5">
      <c r="C526" s="1" t="str">
        <v>06-00-EM 3-'UTR_2380</v>
      </c>
      <c r="F526" s="1" t="str">
        <v>3-'UTR_1696</v>
      </c>
    </row>
    <row r="527" spans="3:8" x14ac:dyDescent="0.5">
      <c r="C527" s="1" t="str">
        <v>06-00-EN 3-'UTR_2383</v>
      </c>
      <c r="F527" s="1" t="str">
        <v>3-'UTR_1699</v>
      </c>
    </row>
    <row r="528" spans="3:8" x14ac:dyDescent="0.5">
      <c r="C528" s="1" t="str">
        <v>06-00-EO 3-'UTR_2386</v>
      </c>
      <c r="F528" s="1" t="str">
        <v>3-'UTR_1702</v>
      </c>
    </row>
    <row r="529" spans="3:6" x14ac:dyDescent="0.5">
      <c r="C529" s="1" t="str">
        <v>06-00-EP 3-'UTR_2389</v>
      </c>
      <c r="F529" s="1" t="str">
        <v>3-'UTR_1705</v>
      </c>
    </row>
    <row r="530" spans="3:6" x14ac:dyDescent="0.5">
      <c r="C530" s="1" t="str">
        <v>06-00-EQ 3-'UTR_2419</v>
      </c>
      <c r="F530" s="1" t="str">
        <v>3-'UTR_1708</v>
      </c>
    </row>
    <row r="531" spans="3:6" x14ac:dyDescent="0.5">
      <c r="C531" s="1" t="str">
        <v>06-00-ER 3-'UTR_2422</v>
      </c>
      <c r="F531" s="1" t="str">
        <v>3-'UTR_1714</v>
      </c>
    </row>
    <row r="532" spans="3:6" x14ac:dyDescent="0.5">
      <c r="C532" s="1" t="str">
        <v>06-00-ES CDS_437</v>
      </c>
      <c r="F532" s="1" t="str">
        <v>3-'UTR_1717</v>
      </c>
    </row>
    <row r="533" spans="3:6" x14ac:dyDescent="0.5">
      <c r="C533" s="1" t="str">
        <v>06-00-ET CDS_440</v>
      </c>
      <c r="F533" s="1" t="str">
        <v>3-'UTR_1720</v>
      </c>
    </row>
    <row r="534" spans="3:6" x14ac:dyDescent="0.5">
      <c r="C534" s="1" t="str">
        <v>06-00-EU CDS_443</v>
      </c>
      <c r="F534" s="1" t="str">
        <v>3-'UTR_1744</v>
      </c>
    </row>
    <row r="535" spans="3:6" x14ac:dyDescent="0.5">
      <c r="C535" s="1" t="str">
        <v>06-00-EV CDS_446</v>
      </c>
      <c r="F535" s="1" t="str">
        <v>3-'UTR_1747</v>
      </c>
    </row>
    <row r="536" spans="3:6" x14ac:dyDescent="0.5">
      <c r="C536" s="1" t="str">
        <v>06-00-EW CDS_449</v>
      </c>
      <c r="F536" s="1" t="str">
        <v>3-'UTR_1750</v>
      </c>
    </row>
    <row r="537" spans="3:6" x14ac:dyDescent="0.5">
      <c r="C537" s="1" t="str">
        <v>06-00-EX CDS_524</v>
      </c>
      <c r="F537" s="1" t="str">
        <v>3-'UTR_1753_ASO</v>
      </c>
    </row>
    <row r="538" spans="3:6" x14ac:dyDescent="0.5">
      <c r="C538" s="1" t="str">
        <v>06-00-EY CDS_527</v>
      </c>
      <c r="F538" s="1" t="str">
        <v>3-'UTR_1810</v>
      </c>
    </row>
    <row r="539" spans="3:6" x14ac:dyDescent="0.5">
      <c r="C539" s="1" t="str">
        <v>06-00-EZ CDS_530</v>
      </c>
      <c r="F539" s="1" t="str">
        <v>3-'UTR_1813</v>
      </c>
    </row>
    <row r="540" spans="3:6" x14ac:dyDescent="0.5">
      <c r="C540" s="1" t="str">
        <v>06-00-F0 CDS_533</v>
      </c>
      <c r="F540" s="1" t="str">
        <v>3-'UTR_1816</v>
      </c>
    </row>
    <row r="541" spans="3:6" x14ac:dyDescent="0.5">
      <c r="C541" s="1" t="str">
        <v>06-00-F1 CDS_536</v>
      </c>
      <c r="F541" s="1" t="str">
        <v>3-'UTR_1819</v>
      </c>
    </row>
    <row r="542" spans="3:6" x14ac:dyDescent="0.5">
      <c r="C542" s="1" t="str">
        <v>06-00-F2 CDS_539</v>
      </c>
      <c r="F542" s="1" t="str">
        <v>3-'UTR_1822</v>
      </c>
    </row>
    <row r="543" spans="3:6" x14ac:dyDescent="0.5">
      <c r="C543" s="1" t="str">
        <v>06-00-F3 CDS_557</v>
      </c>
      <c r="F543" s="1" t="str">
        <v>3-'UTR_1873</v>
      </c>
    </row>
    <row r="544" spans="3:6" x14ac:dyDescent="0.5">
      <c r="C544" s="1" t="str">
        <v>06-00-F4 CDS_560</v>
      </c>
      <c r="F544" s="1" t="str">
        <v>3-'UTR_1879</v>
      </c>
    </row>
    <row r="545" spans="3:6" x14ac:dyDescent="0.5">
      <c r="C545" s="1" t="str">
        <v>06-00-F5 CDS_563</v>
      </c>
      <c r="F545" s="1" t="str">
        <v>3-'UTR_1882</v>
      </c>
    </row>
    <row r="546" spans="3:6" x14ac:dyDescent="0.5">
      <c r="C546" s="1" t="str">
        <v>06-00-F6 CDS_566</v>
      </c>
      <c r="F546" s="1" t="str">
        <v>3-'UTR_1885</v>
      </c>
    </row>
    <row r="547" spans="3:6" x14ac:dyDescent="0.5">
      <c r="C547" s="1" t="str">
        <v>06-00-F7 CDS_569</v>
      </c>
      <c r="F547" s="1" t="str">
        <v>3-'UTR_1888</v>
      </c>
    </row>
    <row r="548" spans="3:6" x14ac:dyDescent="0.5">
      <c r="C548" s="1" t="str">
        <v>06-00-F8 CDS_572</v>
      </c>
      <c r="F548" s="1" t="str">
        <v>3-'UTR_1891</v>
      </c>
    </row>
    <row r="549" spans="3:6" x14ac:dyDescent="0.5">
      <c r="C549" s="1" t="str">
        <v>06-00-F9 CDS_605</v>
      </c>
      <c r="F549" s="1" t="str">
        <v>3-'UTR_1939</v>
      </c>
    </row>
    <row r="550" spans="3:6" x14ac:dyDescent="0.5">
      <c r="C550" s="1" t="str">
        <v>06-00-FA CDS_608</v>
      </c>
      <c r="F550" s="1" t="str">
        <v>3-'UTR_1942</v>
      </c>
    </row>
    <row r="551" spans="3:6" x14ac:dyDescent="0.5">
      <c r="C551" s="1" t="str">
        <v>06-00-FB CDS_626</v>
      </c>
      <c r="F551" s="1" t="str">
        <v>3-'UTR_1963</v>
      </c>
    </row>
    <row r="552" spans="3:6" x14ac:dyDescent="0.5">
      <c r="C552" s="1" t="str">
        <v>06-00-FC CDS_629</v>
      </c>
      <c r="F552" s="1" t="str">
        <v>3-'UTR_1984</v>
      </c>
    </row>
    <row r="553" spans="3:6" x14ac:dyDescent="0.5">
      <c r="C553" s="1" t="str">
        <v>06-00-FD CDS_632</v>
      </c>
      <c r="F553" s="1" t="str">
        <v>3-'UTR_1987</v>
      </c>
    </row>
    <row r="554" spans="3:6" x14ac:dyDescent="0.5">
      <c r="C554" s="1" t="str">
        <v>06-00-FE CDS_635</v>
      </c>
      <c r="F554" s="1" t="str">
        <v>3-'UTR_1990</v>
      </c>
    </row>
    <row r="555" spans="3:6" x14ac:dyDescent="0.5">
      <c r="C555" s="1" t="str">
        <v>06-00-FF CDS_638</v>
      </c>
      <c r="F555" s="1" t="str">
        <v>3-'UTR_1993</v>
      </c>
    </row>
    <row r="556" spans="3:6" x14ac:dyDescent="0.5">
      <c r="C556" s="1" t="str">
        <v>06-00-FG CDS_641</v>
      </c>
      <c r="F556" s="1" t="str">
        <v>3-'UTR_2065</v>
      </c>
    </row>
    <row r="557" spans="3:6" x14ac:dyDescent="0.5">
      <c r="C557" s="1" t="str">
        <v>06-00-FH CDS_680</v>
      </c>
      <c r="F557" s="1" t="str">
        <v>3-'UTR_2068</v>
      </c>
    </row>
    <row r="558" spans="3:6" x14ac:dyDescent="0.5">
      <c r="C558" s="1" t="str">
        <v>06-00-FI CDS_692</v>
      </c>
      <c r="F558" s="1" t="str">
        <v>3-'UTR_2071</v>
      </c>
    </row>
    <row r="559" spans="3:6" x14ac:dyDescent="0.5">
      <c r="C559" s="1" t="str">
        <v>06-00-FJ CDS_695</v>
      </c>
      <c r="F559" s="1" t="str">
        <v>3-'UTR_2074</v>
      </c>
    </row>
    <row r="560" spans="3:6" x14ac:dyDescent="0.5">
      <c r="C560" s="1" t="str">
        <v>06-00-FK CDS_701</v>
      </c>
      <c r="F560" s="1" t="str">
        <v>3-'UTR_2077</v>
      </c>
    </row>
    <row r="561" spans="3:6" x14ac:dyDescent="0.5">
      <c r="C561" s="1" t="str">
        <v>06-00-FL CDS_704</v>
      </c>
      <c r="F561" s="1" t="str">
        <v>3-'UTR_2080</v>
      </c>
    </row>
    <row r="562" spans="3:6" x14ac:dyDescent="0.5">
      <c r="C562" s="1" t="str">
        <v>06-00-FM CDS_707</v>
      </c>
      <c r="F562" s="1" t="str">
        <v>3-'UTR_2083</v>
      </c>
    </row>
    <row r="563" spans="3:6" x14ac:dyDescent="0.5">
      <c r="C563" s="1" t="str">
        <v>06-00-FN CDS_725</v>
      </c>
      <c r="F563" s="1" t="str">
        <v>3-'UTR_2149</v>
      </c>
    </row>
    <row r="564" spans="3:6" x14ac:dyDescent="0.5">
      <c r="C564" s="1" t="str">
        <v>06-00-FO CDS_728</v>
      </c>
      <c r="F564" s="1" t="str">
        <v>3-'UTR_2155</v>
      </c>
    </row>
    <row r="565" spans="3:6" x14ac:dyDescent="0.5">
      <c r="C565" s="1" t="str">
        <v>06-00-FP CDS_734</v>
      </c>
      <c r="F565" s="1" t="str">
        <v>3-'UTR_2158</v>
      </c>
    </row>
    <row r="566" spans="3:6" x14ac:dyDescent="0.5">
      <c r="C566" s="1" t="str">
        <v>06-00-FQ CDS_737</v>
      </c>
      <c r="F566" s="1" t="str">
        <v>3-'UTR_2161</v>
      </c>
    </row>
    <row r="567" spans="3:6" x14ac:dyDescent="0.5">
      <c r="C567" s="1" t="str">
        <v>06-00-FR CDS_740</v>
      </c>
      <c r="F567" s="1" t="str">
        <v>3-'UTR_2164</v>
      </c>
    </row>
    <row r="568" spans="3:6" x14ac:dyDescent="0.5">
      <c r="C568" s="1" t="str">
        <v>06-00-FS CDS_743</v>
      </c>
      <c r="F568" s="1" t="str">
        <v>3-'UTR_2167</v>
      </c>
    </row>
    <row r="569" spans="3:6" x14ac:dyDescent="0.5">
      <c r="C569" s="1" t="str">
        <v>06-00-FT CDS_746</v>
      </c>
      <c r="F569" s="1" t="str">
        <v>3-'UTR_2170</v>
      </c>
    </row>
    <row r="570" spans="3:6" x14ac:dyDescent="0.5">
      <c r="C570" s="1" t="str">
        <v>06-00-FU CDS_749</v>
      </c>
      <c r="F570" s="1" t="str">
        <v>3-'UTR_2173</v>
      </c>
    </row>
    <row r="571" spans="3:6" x14ac:dyDescent="0.5">
      <c r="C571" s="1" t="str">
        <v>06-00-FV CDS_773</v>
      </c>
      <c r="F571" s="1" t="str">
        <v>3-'UTR_2245</v>
      </c>
    </row>
    <row r="572" spans="3:6" x14ac:dyDescent="0.5">
      <c r="C572" s="1" t="str">
        <v>06-00-FW CDS_776</v>
      </c>
      <c r="F572" s="1" t="str">
        <v>3-'UTR_2356</v>
      </c>
    </row>
    <row r="573" spans="3:6" x14ac:dyDescent="0.5">
      <c r="C573" s="1" t="str">
        <v>06-00-FX CDS_779</v>
      </c>
      <c r="F573" s="1" t="str">
        <v>3-'UTR_2377</v>
      </c>
    </row>
    <row r="574" spans="3:6" x14ac:dyDescent="0.5">
      <c r="C574" s="1" t="str">
        <v>06-00-FY CDS_782</v>
      </c>
      <c r="F574" s="1" t="str">
        <v>3-'UTR_2380</v>
      </c>
    </row>
    <row r="575" spans="3:6" x14ac:dyDescent="0.5">
      <c r="C575" s="1" t="str">
        <v>06-00-FZ CDS_785</v>
      </c>
      <c r="F575" s="1" t="str">
        <v>3-'UTR_2383</v>
      </c>
    </row>
    <row r="576" spans="3:6" x14ac:dyDescent="0.5">
      <c r="C576" s="1" t="str">
        <v>06-00-G0 CDS_788</v>
      </c>
      <c r="F576" s="1" t="str">
        <v>3-'UTR_2386</v>
      </c>
    </row>
    <row r="577" spans="3:6" x14ac:dyDescent="0.5">
      <c r="C577" s="1" t="str">
        <v>06-00-G1 CDS_791</v>
      </c>
      <c r="F577" s="1" t="str">
        <v>3-'UTR_2389</v>
      </c>
    </row>
    <row r="578" spans="3:6" x14ac:dyDescent="0.5">
      <c r="C578" s="1" t="str">
        <v>06-00-G2 CDS_794</v>
      </c>
      <c r="F578" s="1" t="str">
        <v>3-'UTR_2419</v>
      </c>
    </row>
    <row r="579" spans="3:6" x14ac:dyDescent="0.5">
      <c r="C579" s="1" t="str">
        <v>06-00-G3 CDS_797</v>
      </c>
      <c r="F579" s="1" t="str">
        <v>3-'UTR_2422</v>
      </c>
    </row>
    <row r="580" spans="3:6" x14ac:dyDescent="0.5">
      <c r="C580" s="1" t="str">
        <v>06-00-G4 CDS_800</v>
      </c>
      <c r="F580" s="1" t="str">
        <v>CDS_437</v>
      </c>
    </row>
    <row r="581" spans="3:6" x14ac:dyDescent="0.5">
      <c r="C581" s="1" t="str">
        <v>06-00-G5 CDS_803</v>
      </c>
      <c r="F581" s="1" t="str">
        <v>CDS_440</v>
      </c>
    </row>
    <row r="582" spans="3:6" x14ac:dyDescent="0.5">
      <c r="C582" s="1" t="str">
        <v>06-00-G6 CDS_845</v>
      </c>
      <c r="F582" s="1" t="str">
        <v>CDS_443</v>
      </c>
    </row>
    <row r="583" spans="3:6" x14ac:dyDescent="0.5">
      <c r="C583" s="1" t="str">
        <v>06-00-G7 CDS_893</v>
      </c>
      <c r="F583" s="1" t="str">
        <v>CDS_446</v>
      </c>
    </row>
    <row r="584" spans="3:6" x14ac:dyDescent="0.5">
      <c r="C584" s="1" t="str">
        <v>06-00-G8 CDS_896</v>
      </c>
      <c r="F584" s="1" t="str">
        <v>CDS_449</v>
      </c>
    </row>
    <row r="585" spans="3:6" x14ac:dyDescent="0.5">
      <c r="C585" s="1" t="str">
        <v>06-00-G9 CDS_899</v>
      </c>
      <c r="F585" s="1" t="str">
        <v>CDS_524</v>
      </c>
    </row>
    <row r="586" spans="3:6" x14ac:dyDescent="0.5">
      <c r="C586" s="1" t="str">
        <v>06-00-GA CDS_902</v>
      </c>
      <c r="F586" s="1" t="str">
        <v>CDS_527</v>
      </c>
    </row>
    <row r="587" spans="3:6" x14ac:dyDescent="0.5">
      <c r="C587" s="1" t="str">
        <v>06-00-GB CDS_905</v>
      </c>
      <c r="F587" s="1" t="str">
        <v>CDS_530</v>
      </c>
    </row>
    <row r="588" spans="3:6" x14ac:dyDescent="0.5">
      <c r="C588" s="1" t="str">
        <v>06-00-GC CDS_908</v>
      </c>
      <c r="F588" s="1" t="str">
        <v>CDS_533</v>
      </c>
    </row>
    <row r="589" spans="3:6" x14ac:dyDescent="0.5">
      <c r="C589" s="1" t="str">
        <v>06-00-GD CDS_911</v>
      </c>
      <c r="F589" s="1" t="str">
        <v>CDS_536</v>
      </c>
    </row>
    <row r="590" spans="3:6" x14ac:dyDescent="0.5">
      <c r="C590" s="1" t="str">
        <v>06-00-GE CDS_914</v>
      </c>
      <c r="F590" s="1" t="str">
        <v>CDS_539</v>
      </c>
    </row>
    <row r="591" spans="3:6" x14ac:dyDescent="0.5">
      <c r="C591" s="1" t="str">
        <v>06-00-GF CDS_920</v>
      </c>
      <c r="F591" s="1" t="str">
        <v>CDS_557</v>
      </c>
    </row>
    <row r="592" spans="3:6" x14ac:dyDescent="0.5">
      <c r="C592" s="1" t="str">
        <v>06-00-GG CDS_923</v>
      </c>
      <c r="F592" s="1" t="str">
        <v>CDS_560</v>
      </c>
    </row>
    <row r="593" spans="3:6" x14ac:dyDescent="0.5">
      <c r="C593" s="1" t="str">
        <v>06-00-GH CDS_932</v>
      </c>
      <c r="F593" s="1" t="str">
        <v>CDS_563</v>
      </c>
    </row>
    <row r="594" spans="3:6" x14ac:dyDescent="0.5">
      <c r="C594" s="1" t="str">
        <v>06-00-GI CDS_935</v>
      </c>
      <c r="F594" s="1" t="str">
        <v>CDS_566</v>
      </c>
    </row>
    <row r="595" spans="3:6" x14ac:dyDescent="0.5">
      <c r="C595" s="1" t="str">
        <v>06-00-GJ CDS_938</v>
      </c>
      <c r="F595" s="1" t="str">
        <v>CDS_569</v>
      </c>
    </row>
    <row r="596" spans="3:6" x14ac:dyDescent="0.5">
      <c r="C596" s="1" t="str">
        <v>06-00-GK CDS_941</v>
      </c>
      <c r="F596" s="1" t="str">
        <v>CDS_572</v>
      </c>
    </row>
    <row r="597" spans="3:6" x14ac:dyDescent="0.5">
      <c r="C597" s="1" t="str">
        <v>06-00-GL CDS_947</v>
      </c>
      <c r="F597" s="1" t="str">
        <v>CDS_605</v>
      </c>
    </row>
    <row r="598" spans="3:6" x14ac:dyDescent="0.5">
      <c r="C598" s="1" t="str">
        <v>06-00-GM CDS_950</v>
      </c>
      <c r="F598" s="1" t="str">
        <v>CDS_608</v>
      </c>
    </row>
    <row r="599" spans="3:6" x14ac:dyDescent="0.5">
      <c r="C599" s="1" t="str">
        <v>06-00-GN CDS_953</v>
      </c>
      <c r="F599" s="1" t="str">
        <v>CDS_626</v>
      </c>
    </row>
    <row r="600" spans="3:6" x14ac:dyDescent="0.5">
      <c r="C600" s="1" t="str">
        <v>06-00-GO CDS_1016</v>
      </c>
      <c r="F600" s="1" t="str">
        <v>CDS_629</v>
      </c>
    </row>
    <row r="601" spans="3:6" x14ac:dyDescent="0.5">
      <c r="C601" s="1" t="str">
        <v>06-00-GP CDS_1025</v>
      </c>
      <c r="F601" s="1" t="str">
        <v>CDS_632</v>
      </c>
    </row>
    <row r="602" spans="3:6" x14ac:dyDescent="0.5">
      <c r="C602" s="1" t="str">
        <v>06-00-GQ CDS_1040</v>
      </c>
      <c r="F602" s="1" t="str">
        <v>CDS_635</v>
      </c>
    </row>
    <row r="603" spans="3:6" x14ac:dyDescent="0.5">
      <c r="C603" s="1" t="str">
        <v>06-00-GR CDS_1043</v>
      </c>
      <c r="F603" s="1" t="str">
        <v>CDS_638</v>
      </c>
    </row>
    <row r="604" spans="3:6" x14ac:dyDescent="0.5">
      <c r="C604" s="1" t="str">
        <v>06-00-GS CDS_1046</v>
      </c>
      <c r="F604" s="1" t="str">
        <v>CDS_641</v>
      </c>
    </row>
    <row r="605" spans="3:6" x14ac:dyDescent="0.5">
      <c r="C605" s="1" t="str">
        <v>06-00-GT CDS_1049</v>
      </c>
      <c r="F605" s="1" t="str">
        <v>CDS_680</v>
      </c>
    </row>
    <row r="606" spans="3:6" x14ac:dyDescent="0.5">
      <c r="C606" s="1" t="str">
        <v>06-00-GU CDS_1052</v>
      </c>
      <c r="F606" s="1" t="str">
        <v>CDS_692</v>
      </c>
    </row>
    <row r="607" spans="3:6" x14ac:dyDescent="0.5">
      <c r="C607" s="1" t="str">
        <v>06-00-GV CDS_1055</v>
      </c>
      <c r="F607" s="1" t="str">
        <v>CDS_695</v>
      </c>
    </row>
    <row r="608" spans="3:6" x14ac:dyDescent="0.5">
      <c r="C608" s="1" t="str">
        <v>06-00-GW CDS_1058</v>
      </c>
      <c r="F608" s="1" t="str">
        <v>CDS_701</v>
      </c>
    </row>
    <row r="609" spans="3:6" x14ac:dyDescent="0.5">
      <c r="C609" s="1" t="str">
        <v>06-00-GX CDS_1061</v>
      </c>
      <c r="F609" s="1" t="str">
        <v>CDS_704</v>
      </c>
    </row>
    <row r="610" spans="3:6" x14ac:dyDescent="0.5">
      <c r="C610" s="1" t="str">
        <v>06-00-GY CDS_1064</v>
      </c>
      <c r="F610" s="1" t="str">
        <v>CDS_707</v>
      </c>
    </row>
    <row r="611" spans="3:6" x14ac:dyDescent="0.5">
      <c r="C611" s="1" t="str">
        <v>06-00-GZ CDS_1067</v>
      </c>
      <c r="F611" s="1" t="str">
        <v>CDS_725</v>
      </c>
    </row>
    <row r="612" spans="3:6" x14ac:dyDescent="0.5">
      <c r="C612" s="1" t="str">
        <v>06-00-H0 CDS_1073</v>
      </c>
      <c r="F612" s="1" t="str">
        <v>CDS_728</v>
      </c>
    </row>
    <row r="613" spans="3:6" x14ac:dyDescent="0.5">
      <c r="C613" s="1" t="str">
        <v>06-00-H1 CDS_1076</v>
      </c>
      <c r="F613" s="1" t="str">
        <v>CDS_734</v>
      </c>
    </row>
    <row r="614" spans="3:6" x14ac:dyDescent="0.5">
      <c r="C614" s="1" t="str">
        <v>06-00-H2 CDS_1079</v>
      </c>
      <c r="F614" s="1" t="str">
        <v>CDS_737</v>
      </c>
    </row>
    <row r="615" spans="3:6" x14ac:dyDescent="0.5">
      <c r="C615" s="1" t="str">
        <v>06-00-H3 CDS_1082</v>
      </c>
      <c r="F615" s="1" t="str">
        <v>CDS_740</v>
      </c>
    </row>
    <row r="616" spans="3:6" x14ac:dyDescent="0.5">
      <c r="C616" s="1" t="str">
        <v>06-00-H4 CDS_1085</v>
      </c>
      <c r="F616" s="1" t="str">
        <v>CDS_743</v>
      </c>
    </row>
    <row r="617" spans="3:6" x14ac:dyDescent="0.5">
      <c r="C617" s="1" t="str">
        <v>06-00-H5 CDS_1094</v>
      </c>
      <c r="F617" s="1" t="str">
        <v>CDS_746</v>
      </c>
    </row>
    <row r="618" spans="3:6" x14ac:dyDescent="0.5">
      <c r="C618" s="1" t="str">
        <v>06-00-H6 CDS_1097</v>
      </c>
      <c r="F618" s="1" t="str">
        <v>CDS_749</v>
      </c>
    </row>
    <row r="619" spans="3:6" x14ac:dyDescent="0.5">
      <c r="C619" s="1" t="str">
        <v>06-00-H7 CDS_1100</v>
      </c>
      <c r="F619" s="1" t="str">
        <v>CDS_773</v>
      </c>
    </row>
    <row r="620" spans="3:6" x14ac:dyDescent="0.5">
      <c r="C620" s="1" t="str">
        <v>06-00-H8 CDS_1103</v>
      </c>
      <c r="F620" s="1" t="str">
        <v>CDS_776</v>
      </c>
    </row>
    <row r="621" spans="3:6" x14ac:dyDescent="0.5">
      <c r="C621" s="1" t="str">
        <v>06-00-H9 CDS_1106</v>
      </c>
      <c r="F621" s="1" t="str">
        <v>CDS_779</v>
      </c>
    </row>
    <row r="622" spans="3:6" x14ac:dyDescent="0.5">
      <c r="C622" s="1" t="str">
        <v>06-00-HA CDS_1109</v>
      </c>
      <c r="F622" s="1" t="str">
        <v>CDS_782</v>
      </c>
    </row>
    <row r="623" spans="3:6" x14ac:dyDescent="0.5">
      <c r="C623" s="1" t="str">
        <v>06-00-HB CDS_1136</v>
      </c>
      <c r="F623" s="1" t="str">
        <v>CDS_785</v>
      </c>
    </row>
    <row r="624" spans="3:6" x14ac:dyDescent="0.5">
      <c r="C624" s="1" t="str">
        <v>06-00-HC CDS_1139</v>
      </c>
      <c r="F624" s="1" t="str">
        <v>CDS_788</v>
      </c>
    </row>
    <row r="625" spans="3:6" x14ac:dyDescent="0.5">
      <c r="C625" s="1" t="str">
        <v>06-00-HD CDS_1142</v>
      </c>
      <c r="F625" s="1" t="str">
        <v>CDS_791</v>
      </c>
    </row>
    <row r="626" spans="3:6" x14ac:dyDescent="0.5">
      <c r="C626" s="1" t="str">
        <v>06-00-HE CDS_1145</v>
      </c>
      <c r="F626" s="1" t="str">
        <v>CDS_794</v>
      </c>
    </row>
    <row r="627" spans="3:6" x14ac:dyDescent="0.5">
      <c r="C627" s="1" t="str">
        <v>06-00-HF CDS_1151</v>
      </c>
      <c r="F627" s="1" t="str">
        <v>CDS_797</v>
      </c>
    </row>
    <row r="628" spans="3:6" x14ac:dyDescent="0.5">
      <c r="C628" s="1" t="str">
        <v>06-00-HG CDS_1154</v>
      </c>
      <c r="F628" s="1" t="str">
        <v>CDS_800</v>
      </c>
    </row>
    <row r="629" spans="3:6" x14ac:dyDescent="0.5">
      <c r="C629" s="1" t="str">
        <v>06-00-HH CDS_1193</v>
      </c>
      <c r="F629" s="1" t="str">
        <v>CDS_803</v>
      </c>
    </row>
    <row r="630" spans="3:6" x14ac:dyDescent="0.5">
      <c r="C630" s="1" t="str">
        <v>06-00-HI CDS_1196</v>
      </c>
      <c r="F630" s="1" t="str">
        <v>CDS_845</v>
      </c>
    </row>
    <row r="631" spans="3:6" x14ac:dyDescent="0.5">
      <c r="C631" s="1" t="str">
        <v>06-00-HJ CDS_1199</v>
      </c>
      <c r="F631" s="1" t="str">
        <v>CDS_893</v>
      </c>
    </row>
    <row r="632" spans="3:6" x14ac:dyDescent="0.5">
      <c r="C632" s="1" t="str">
        <v>06-00-HK CDS_1202</v>
      </c>
      <c r="F632" s="1" t="str">
        <v>CDS_896</v>
      </c>
    </row>
    <row r="633" spans="3:6" x14ac:dyDescent="0.5">
      <c r="C633" s="1" t="str">
        <v>06-00-HL CDS_1241</v>
      </c>
      <c r="F633" s="1" t="str">
        <v>CDS_899</v>
      </c>
    </row>
    <row r="634" spans="3:6" x14ac:dyDescent="0.5">
      <c r="C634" s="1" t="str">
        <v>06-00-HM CDS_1244_ASO</v>
      </c>
      <c r="F634" s="1" t="str">
        <v>CDS_902</v>
      </c>
    </row>
    <row r="635" spans="3:6" x14ac:dyDescent="0.5">
      <c r="C635" s="1" t="str">
        <v>06-00-HN CDS_1247</v>
      </c>
      <c r="F635" s="1" t="str">
        <v>CDS_905</v>
      </c>
    </row>
    <row r="636" spans="3:6" x14ac:dyDescent="0.5">
      <c r="C636" s="1" t="str">
        <v>06-00-HO CDS_1250</v>
      </c>
      <c r="F636" s="1" t="str">
        <v>CDS_908</v>
      </c>
    </row>
    <row r="637" spans="3:6" x14ac:dyDescent="0.5">
      <c r="C637" s="1" t="str">
        <v>06-00-HP CDS_1253</v>
      </c>
      <c r="F637" s="1" t="str">
        <v>CDS_911</v>
      </c>
    </row>
    <row r="638" spans="3:6" x14ac:dyDescent="0.5">
      <c r="C638" s="1" t="str">
        <v>06-00-HQ CDS_1301</v>
      </c>
      <c r="F638" s="1" t="str">
        <v>CDS_914</v>
      </c>
    </row>
    <row r="639" spans="3:6" x14ac:dyDescent="0.5">
      <c r="C639" s="1" t="str">
        <v>06-00-HR CDS_1304</v>
      </c>
      <c r="F639" s="1" t="str">
        <v>CDS_920</v>
      </c>
    </row>
    <row r="640" spans="3:6" x14ac:dyDescent="0.5">
      <c r="C640" s="1" t="str">
        <v>06-00-HS CDS_1307</v>
      </c>
      <c r="F640" s="1" t="str">
        <v>CDS_923</v>
      </c>
    </row>
    <row r="641" spans="3:6" x14ac:dyDescent="0.5">
      <c r="C641" s="1" t="str">
        <v>06-00-HT CDS_1310</v>
      </c>
      <c r="F641" s="1" t="str">
        <v>CDS_932</v>
      </c>
    </row>
    <row r="642" spans="3:6" x14ac:dyDescent="0.5">
      <c r="C642" s="1" t="str">
        <v>06-00-HU CDS_1313</v>
      </c>
      <c r="F642" s="1" t="str">
        <v>CDS_935</v>
      </c>
    </row>
    <row r="643" spans="3:6" x14ac:dyDescent="0.5">
      <c r="C643" s="1" t="str">
        <v>06-00-HV CDS_1316</v>
      </c>
      <c r="F643" s="1" t="str">
        <v>CDS_938</v>
      </c>
    </row>
    <row r="644" spans="3:6" x14ac:dyDescent="0.5">
      <c r="C644" s="1" t="str">
        <v>06-00-HW CDS_1352</v>
      </c>
      <c r="F644" s="1" t="str">
        <v>CDS_941</v>
      </c>
    </row>
    <row r="645" spans="3:6" x14ac:dyDescent="0.5">
      <c r="C645" s="1" t="str">
        <v>06-00-HX CDS_1376</v>
      </c>
      <c r="F645" s="1" t="str">
        <v>CDS_947</v>
      </c>
    </row>
    <row r="646" spans="3:6" x14ac:dyDescent="0.5">
      <c r="C646" s="1" t="str">
        <v>06-00-HY CDS_1379</v>
      </c>
      <c r="F646" s="1" t="str">
        <v>CDS_950</v>
      </c>
    </row>
    <row r="647" spans="3:6" x14ac:dyDescent="0.5">
      <c r="C647" s="1" t="str">
        <v>06-00-HZ PS300_ASO</v>
      </c>
      <c r="F647" s="1" t="str">
        <v>CDS_953</v>
      </c>
    </row>
    <row r="648" spans="3:6" x14ac:dyDescent="0.5">
      <c r="C648" s="1" t="str">
        <v>06-00-I0 PS300_SO</v>
      </c>
      <c r="F648" s="1" t="str">
        <v>CDS_1016</v>
      </c>
    </row>
    <row r="649" spans="3:6" x14ac:dyDescent="0.5">
      <c r="C649" s="1" t="str">
        <v>06-00-I1 PS327_ASO</v>
      </c>
      <c r="F649" s="1" t="str">
        <v>CDS_1025</v>
      </c>
    </row>
    <row r="650" spans="3:6" x14ac:dyDescent="0.5">
      <c r="C650" s="1" t="str">
        <v>06-00-I2 PS327_SO</v>
      </c>
      <c r="F650" s="1" t="str">
        <v>CDS_1040</v>
      </c>
    </row>
    <row r="651" spans="3:6" x14ac:dyDescent="0.5">
      <c r="C651" s="1" t="str">
        <v>06-00-I3 SOX2 5'-UTR_187_SO</v>
      </c>
      <c r="F651" s="1" t="str">
        <v>CDS_1043</v>
      </c>
    </row>
    <row r="652" spans="3:6" x14ac:dyDescent="0.5">
      <c r="C652" s="1" t="str">
        <v>06-00-I4 SOX2 CDS_1244_SO</v>
      </c>
      <c r="F652" s="1" t="str">
        <v>CDS_1046</v>
      </c>
    </row>
    <row r="653" spans="3:6" x14ac:dyDescent="0.5">
      <c r="C653" s="1" t="str">
        <v>06-00-I5 SOX2 3-'UTR_1435_SO</v>
      </c>
      <c r="F653" s="1" t="str">
        <v>CDS_1049</v>
      </c>
    </row>
    <row r="654" spans="3:6" x14ac:dyDescent="0.5">
      <c r="C654" s="1" t="str">
        <v>06-00-I6 SOX2 3-'UTR_1462_SO</v>
      </c>
      <c r="F654" s="1" t="str">
        <v>CDS_1052</v>
      </c>
    </row>
    <row r="655" spans="3:6" x14ac:dyDescent="0.5">
      <c r="C655" s="1" t="str">
        <v>06-00-I7 SOX2 3-'UTR_1753_SO</v>
      </c>
      <c r="F655" s="1" t="str">
        <v>CDS_1055</v>
      </c>
    </row>
    <row r="656" spans="3:6" x14ac:dyDescent="0.5">
      <c r="C656" s="1" t="str">
        <v>06-00-I8 ue_test</v>
      </c>
      <c r="F656" s="1" t="str">
        <v>CDS_1058</v>
      </c>
    </row>
    <row r="657" spans="3:6" x14ac:dyDescent="0.5">
      <c r="C657" s="1" t="str">
        <v>06-00-I9 Cd40-ASO 103 MOE</v>
      </c>
      <c r="F657" s="1" t="str">
        <v>CDS_1061</v>
      </c>
    </row>
    <row r="658" spans="3:6" x14ac:dyDescent="0.5">
      <c r="C658" s="1" t="str">
        <v>06-00-IA Cd40-ASO 105 MOE</v>
      </c>
      <c r="F658" s="1" t="str">
        <v>CDS_1064</v>
      </c>
    </row>
    <row r="659" spans="3:6" x14ac:dyDescent="0.5">
      <c r="C659" s="1" t="str">
        <v>06-00-IB Cd40-ASO 107 MOE</v>
      </c>
      <c r="F659" s="1" t="str">
        <v>CDS_1067</v>
      </c>
    </row>
    <row r="660" spans="3:6" x14ac:dyDescent="0.5">
      <c r="C660" s="1" t="str">
        <v>06-00-IC Cd40-ASO 108 MOE</v>
      </c>
      <c r="F660" s="1" t="str">
        <v>CDS_1073</v>
      </c>
    </row>
    <row r="661" spans="3:6" x14ac:dyDescent="0.5">
      <c r="C661" s="1" t="str">
        <v>06-00-ID Cd40-ASO 109 MOE</v>
      </c>
      <c r="F661" s="1" t="str">
        <v>CDS_1076</v>
      </c>
    </row>
    <row r="662" spans="3:6" x14ac:dyDescent="0.5">
      <c r="C662" s="1" t="str">
        <v>06-00-IE Cd40-ASO 110 MOE</v>
      </c>
      <c r="F662" s="1" t="str">
        <v>CDS_1079</v>
      </c>
    </row>
    <row r="663" spans="3:6" x14ac:dyDescent="0.5">
      <c r="C663" s="1" t="str">
        <v>06-00-IF Cd40-ASO 202 MOE</v>
      </c>
      <c r="F663" s="1" t="str">
        <v>CDS_1082</v>
      </c>
    </row>
    <row r="664" spans="3:6" x14ac:dyDescent="0.5">
      <c r="C664" s="1" t="str">
        <v>06-00-IG Cd40-ASO 203 MOE</v>
      </c>
      <c r="F664" s="1" t="str">
        <v>CDS_1085</v>
      </c>
    </row>
    <row r="665" spans="3:6" x14ac:dyDescent="0.5">
      <c r="C665" s="1" t="str">
        <v>06-00-IH Cd40-ASO 204 MOE</v>
      </c>
      <c r="F665" s="1" t="str">
        <v>CDS_1094</v>
      </c>
    </row>
    <row r="666" spans="3:6" x14ac:dyDescent="0.5">
      <c r="C666" s="1" t="str">
        <v>06-00-II Cd40-ASO 205 MOE</v>
      </c>
      <c r="F666" s="1" t="str">
        <v>CDS_1097</v>
      </c>
    </row>
    <row r="667" spans="3:6" x14ac:dyDescent="0.5">
      <c r="C667" s="1" t="str">
        <v>06-00-IJ Cd40-ASO 209 MOE</v>
      </c>
      <c r="F667" s="1" t="str">
        <v>CDS_1100</v>
      </c>
    </row>
    <row r="668" spans="3:6" x14ac:dyDescent="0.5">
      <c r="C668" s="1" t="str">
        <v>06-00-IK Cd40-ASO 210 MOE</v>
      </c>
      <c r="F668" s="1" t="str">
        <v>CDS_1103</v>
      </c>
    </row>
    <row r="669" spans="3:6" x14ac:dyDescent="0.5">
      <c r="C669" s="1" t="str">
        <v>06-00-IL Cd40-ASO 217 MOE</v>
      </c>
      <c r="F669" s="1" t="str">
        <v>CDS_1106</v>
      </c>
    </row>
    <row r="670" spans="3:6" x14ac:dyDescent="0.5">
      <c r="C670" s="1" t="str">
        <v>06-00-IM Cd40-ASO 218 MOE</v>
      </c>
      <c r="F670" s="1" t="str">
        <v>CDS_1109</v>
      </c>
    </row>
    <row r="671" spans="3:6" x14ac:dyDescent="0.5">
      <c r="C671" s="1" t="str">
        <v>06-00-IN Cd40-ASO 219 MOE</v>
      </c>
      <c r="F671" s="1" t="str">
        <v>CDS_1136</v>
      </c>
    </row>
    <row r="672" spans="3:6" x14ac:dyDescent="0.5">
      <c r="C672" s="1" t="str">
        <v>06-00-IO Cd40-ASO 220 MOE</v>
      </c>
      <c r="F672" s="1" t="str">
        <v>CDS_1139</v>
      </c>
    </row>
    <row r="673" spans="3:6" x14ac:dyDescent="0.5">
      <c r="C673" s="1" t="str">
        <v>06-00-IP Cd40-ASO 222 MOE</v>
      </c>
      <c r="F673" s="1" t="str">
        <v>CDS_1142</v>
      </c>
    </row>
    <row r="674" spans="3:6" x14ac:dyDescent="0.5">
      <c r="C674" s="1" t="str">
        <v>06-00-IQ Cd40-ASO 223 MOE</v>
      </c>
      <c r="F674" s="1" t="str">
        <v>CDS_1145</v>
      </c>
    </row>
    <row r="675" spans="3:6" x14ac:dyDescent="0.5">
      <c r="C675" s="1" t="str">
        <v>06-00-IR Cd40-ASO 224 MOE</v>
      </c>
      <c r="F675" s="1" t="str">
        <v>CDS_1151</v>
      </c>
    </row>
    <row r="676" spans="3:6" x14ac:dyDescent="0.5">
      <c r="C676" s="1" t="str">
        <v>06-00-IS Cd40-ASO 233 MOE</v>
      </c>
      <c r="F676" s="1" t="str">
        <v>CDS_1154</v>
      </c>
    </row>
    <row r="677" spans="3:6" x14ac:dyDescent="0.5">
      <c r="C677" s="1" t="str">
        <v>06-00-IT Cd40-ASO 234 MOE</v>
      </c>
      <c r="F677" s="1" t="str">
        <v>CDS_1193</v>
      </c>
    </row>
    <row r="678" spans="3:6" x14ac:dyDescent="0.5">
      <c r="C678" s="1" t="str">
        <v>06-00-IU Cd40-ASO 235 MOE</v>
      </c>
      <c r="F678" s="1" t="str">
        <v>CDS_1196</v>
      </c>
    </row>
    <row r="679" spans="3:6" x14ac:dyDescent="0.5">
      <c r="C679" s="1" t="str">
        <v>06-00-IV Cd40-ASO 238 MOE</v>
      </c>
      <c r="F679" s="1" t="str">
        <v>CDS_1199</v>
      </c>
    </row>
    <row r="680" spans="3:6" x14ac:dyDescent="0.5">
      <c r="C680" s="1" t="str">
        <v>06-00-IW Cd40-ASO 247 MOE</v>
      </c>
      <c r="F680" s="1" t="str">
        <v>CDS_1202</v>
      </c>
    </row>
    <row r="681" spans="3:6" x14ac:dyDescent="0.5">
      <c r="C681" s="1" t="str">
        <v>06-00-IX Cd40-ASO 248 MOE</v>
      </c>
      <c r="F681" s="1" t="str">
        <v>CDS_1241</v>
      </c>
    </row>
    <row r="682" spans="3:6" x14ac:dyDescent="0.5">
      <c r="C682" s="1" t="str">
        <v>06-00-IY Cd40-ASO 249 MOE</v>
      </c>
      <c r="F682" s="1" t="str">
        <v>CDS_1244_ASO</v>
      </c>
    </row>
    <row r="683" spans="3:6" x14ac:dyDescent="0.5">
      <c r="C683" s="1" t="str">
        <v>06-00-IZ Cd40-ASO 250 MOE</v>
      </c>
      <c r="F683" s="1" t="str">
        <v>CDS_1247</v>
      </c>
    </row>
    <row r="684" spans="3:6" x14ac:dyDescent="0.5">
      <c r="C684" s="1" t="str">
        <v>06-00-J0 Cd40-ASO 252 MOE</v>
      </c>
      <c r="F684" s="1" t="str">
        <v>CDS_1250</v>
      </c>
    </row>
    <row r="685" spans="3:6" x14ac:dyDescent="0.5">
      <c r="C685" s="1" t="str">
        <v>06-00-J1 Cd40-ASO 253 MOE</v>
      </c>
      <c r="F685" s="1" t="str">
        <v>CDS_1253</v>
      </c>
    </row>
    <row r="686" spans="3:6" x14ac:dyDescent="0.5">
      <c r="C686" s="1" t="str">
        <v>06-00-J2 Cd40-ASO 255 MOE</v>
      </c>
      <c r="F686" s="1" t="str">
        <v>CDS_1301</v>
      </c>
    </row>
    <row r="687" spans="3:6" x14ac:dyDescent="0.5">
      <c r="C687" s="1" t="str">
        <v>06-00-J3 Cd40-ASO 342 MOE</v>
      </c>
      <c r="F687" s="1" t="str">
        <v>CDS_1304</v>
      </c>
    </row>
    <row r="688" spans="3:6" x14ac:dyDescent="0.5">
      <c r="C688" s="1" t="str">
        <v>06-00-J4 Cd40-ASO 343 MOE</v>
      </c>
      <c r="F688" s="1" t="str">
        <v>CDS_1307</v>
      </c>
    </row>
    <row r="689" spans="3:6" x14ac:dyDescent="0.5">
      <c r="C689" s="1" t="str">
        <v>06-00-J5 Cd40-ASO 344 MOE</v>
      </c>
      <c r="F689" s="1" t="str">
        <v>CDS_1310</v>
      </c>
    </row>
    <row r="690" spans="3:6" x14ac:dyDescent="0.5">
      <c r="C690" s="1" t="str">
        <v>06-00-J6 Cd40-ASO 345 MOE</v>
      </c>
      <c r="F690" s="1" t="str">
        <v>CDS_1313</v>
      </c>
    </row>
    <row r="691" spans="3:6" x14ac:dyDescent="0.5">
      <c r="C691" s="1" t="str">
        <v>06-00-J7 Cd40-ASO 347 MOE</v>
      </c>
      <c r="F691" s="1" t="str">
        <v>CDS_1316</v>
      </c>
    </row>
    <row r="692" spans="3:6" x14ac:dyDescent="0.5">
      <c r="C692" s="1" t="str">
        <v>06-00-J8 Cd40-ASO 348 MOE</v>
      </c>
      <c r="F692" s="1" t="str">
        <v>CDS_1352</v>
      </c>
    </row>
    <row r="693" spans="3:6" x14ac:dyDescent="0.5">
      <c r="C693" s="1" t="str">
        <v>06-00-J9 Cd40-ASO 349 MOE</v>
      </c>
      <c r="F693" s="1" t="str">
        <v>CDS_1376</v>
      </c>
    </row>
    <row r="694" spans="3:6" x14ac:dyDescent="0.5">
      <c r="C694" s="1" t="str">
        <v>06-00-JA Cd40-ASO 350 MOE</v>
      </c>
      <c r="F694" s="1" t="str">
        <v>CDS_1379</v>
      </c>
    </row>
    <row r="695" spans="3:6" x14ac:dyDescent="0.5">
      <c r="C695" s="1" t="str">
        <v>06-00-JB Cd40-ASO 447 MOE</v>
      </c>
      <c r="F695" s="1" t="str">
        <v>PS300_ASO</v>
      </c>
    </row>
    <row r="696" spans="3:6" x14ac:dyDescent="0.5">
      <c r="C696" s="1" t="str">
        <v>06-00-JC Cd40-ASO 448 MOE</v>
      </c>
      <c r="F696" s="1" t="str">
        <v>PS300_SO</v>
      </c>
    </row>
    <row r="697" spans="3:6" x14ac:dyDescent="0.5">
      <c r="C697" s="1" t="str">
        <v>06-00-JD Cd40-ASO 449 MOE</v>
      </c>
      <c r="F697" s="1" t="str">
        <v>PS327_ASO</v>
      </c>
    </row>
    <row r="698" spans="3:6" x14ac:dyDescent="0.5">
      <c r="C698" s="1" t="str">
        <v>06-00-JE Cd40-ASO 462 MOE</v>
      </c>
      <c r="F698" s="1" t="str">
        <v>PS327_SO</v>
      </c>
    </row>
    <row r="699" spans="3:6" x14ac:dyDescent="0.5">
      <c r="C699" s="1" t="str">
        <v>06-00-JF Cd40-ASO 463 MOE</v>
      </c>
      <c r="F699" s="1" t="str">
        <v>Mecp2-33-SO(All-DNA)</v>
      </c>
    </row>
    <row r="700" spans="3:6" x14ac:dyDescent="0.5">
      <c r="C700" s="1" t="str">
        <v>06-00-JG Cd40-ASO 464 MOE</v>
      </c>
      <c r="F700" s="1" t="str">
        <v>SOX2 5'-UTR_187_SO</v>
      </c>
    </row>
    <row r="701" spans="3:6" x14ac:dyDescent="0.5">
      <c r="C701" s="1" t="str">
        <v>06-00-JH Cd40-ASO 465 MOE</v>
      </c>
      <c r="F701" s="1" t="str">
        <v>SOX2 CDS_1244_SO</v>
      </c>
    </row>
    <row r="702" spans="3:6" x14ac:dyDescent="0.5">
      <c r="C702" s="1" t="str">
        <v>06-00-JI Cd40-ASO 467 MOE</v>
      </c>
      <c r="F702" s="1" t="str">
        <v>SOX2 3-'UTR_1435_SO</v>
      </c>
    </row>
    <row r="703" spans="3:6" x14ac:dyDescent="0.5">
      <c r="C703" s="1" t="str">
        <v>06-00-JJ Cd40-ASO 468 MOE</v>
      </c>
      <c r="F703" s="1" t="str">
        <v>SOX2 3-'UTR_1462_SO</v>
      </c>
    </row>
    <row r="704" spans="3:6" x14ac:dyDescent="0.5">
      <c r="C704" s="1" t="str">
        <v>06-00-JK Cd40-ASO 469 MOE</v>
      </c>
      <c r="F704" s="1" t="str">
        <v>SOX2 3-'UTR_1753_SO</v>
      </c>
    </row>
    <row r="705" spans="3:6" x14ac:dyDescent="0.5">
      <c r="C705" s="1" t="str">
        <v>06-00-JL Cd40-ASO 470 MOE</v>
      </c>
      <c r="F705" s="1" t="str">
        <v>ue_test</v>
      </c>
    </row>
    <row r="706" spans="3:6" x14ac:dyDescent="0.5">
      <c r="C706" s="1" t="str">
        <v>06-00-JM Cd40-ASO 538 MOE</v>
      </c>
      <c r="F706" s="1" t="str">
        <v>Cd40-ASO 103 MOE</v>
      </c>
    </row>
    <row r="707" spans="3:6" x14ac:dyDescent="0.5">
      <c r="C707" s="1" t="str">
        <v>06-00-JN Cd40-ASO 539 MOE</v>
      </c>
      <c r="F707" s="1" t="str">
        <v>Cd40-ASO 105 MOE</v>
      </c>
    </row>
    <row r="708" spans="3:6" x14ac:dyDescent="0.5">
      <c r="C708" s="1" t="str">
        <v>06-00-JO Cd40-ASO 544 MOE</v>
      </c>
      <c r="F708" s="1" t="str">
        <v>Cd40-ASO 107 MOE</v>
      </c>
    </row>
    <row r="709" spans="3:6" x14ac:dyDescent="0.5">
      <c r="C709" s="1" t="str">
        <v>06-00-JP Cd40-ASO 545 MOE</v>
      </c>
      <c r="F709" s="1" t="str">
        <v>Cd40-ASO 108 MOE</v>
      </c>
    </row>
    <row r="710" spans="3:6" x14ac:dyDescent="0.5">
      <c r="C710" s="1" t="str">
        <v>06-00-JQ Cd40-ASO 552 MOE</v>
      </c>
      <c r="F710" s="1" t="str">
        <v>Cd40-ASO 109 MOE</v>
      </c>
    </row>
    <row r="711" spans="3:6" x14ac:dyDescent="0.5">
      <c r="C711" s="1" t="str">
        <v>06-00-JR Cd40-ASO 554 MOE3</v>
      </c>
      <c r="F711" s="1" t="str">
        <v>Cd40-ASO 110 MOE</v>
      </c>
    </row>
    <row r="712" spans="3:6" x14ac:dyDescent="0.5">
      <c r="C712" s="1" t="str">
        <v>06-00-JS Cd40-ASO 555 MOE</v>
      </c>
      <c r="F712" s="1" t="str">
        <v>Cd40-ASO 202 MOE</v>
      </c>
    </row>
    <row r="713" spans="3:6" x14ac:dyDescent="0.5">
      <c r="C713" s="1" t="str">
        <v>06-00-JT Cd40-ASO 557 MOE</v>
      </c>
      <c r="F713" s="1" t="str">
        <v>Cd40-ASO 203 MOE</v>
      </c>
    </row>
    <row r="714" spans="3:6" x14ac:dyDescent="0.5">
      <c r="C714" s="1" t="str">
        <v>06-00-JU Cd40-ASO 558 MOE</v>
      </c>
      <c r="F714" s="1" t="str">
        <v>Cd40-ASO 204 MOE</v>
      </c>
    </row>
    <row r="715" spans="3:6" x14ac:dyDescent="0.5">
      <c r="C715" s="1" t="str">
        <v>06-00-JV Cd40-ASO 559 MOE</v>
      </c>
      <c r="F715" s="1" t="str">
        <v>Cd40-ASO 205 MOE</v>
      </c>
    </row>
    <row r="716" spans="3:6" x14ac:dyDescent="0.5">
      <c r="C716" s="1" t="str">
        <v>06-00-JW Cd40-ASO 604 MOE</v>
      </c>
      <c r="F716" s="1" t="str">
        <v>Cd40-ASO 209 MOE</v>
      </c>
    </row>
    <row r="717" spans="3:6" x14ac:dyDescent="0.5">
      <c r="C717" s="1" t="str">
        <v>06-00-JX Cd40-ASO 605 MOE</v>
      </c>
      <c r="F717" s="1" t="str">
        <v>Cd40-ASO 210 MOE</v>
      </c>
    </row>
    <row r="718" spans="3:6" x14ac:dyDescent="0.5">
      <c r="C718" s="1" t="str">
        <v>06-00-JY Cd40-ASO 728 MOE</v>
      </c>
      <c r="F718" s="1" t="str">
        <v>Cd40-ASO 217 MOE</v>
      </c>
    </row>
    <row r="719" spans="3:6" x14ac:dyDescent="0.5">
      <c r="C719" s="1" t="str">
        <v>06-00-JZ Cd40-ASO 729 MOE</v>
      </c>
      <c r="F719" s="1" t="str">
        <v>Cd40-ASO 218 MOE</v>
      </c>
    </row>
    <row r="720" spans="3:6" x14ac:dyDescent="0.5">
      <c r="C720" s="1" t="str">
        <v>06-00-K0 Cd40-ASO 730 MOE</v>
      </c>
      <c r="F720" s="1" t="str">
        <v>Cd40-ASO 219 MOE</v>
      </c>
    </row>
    <row r="721" spans="3:6" x14ac:dyDescent="0.5">
      <c r="C721" s="1" t="str">
        <v>06-00-K1 Cd40-ASO 732 MOE</v>
      </c>
      <c r="F721" s="1" t="str">
        <v>Cd40-ASO 220 MOE</v>
      </c>
    </row>
    <row r="722" spans="3:6" x14ac:dyDescent="0.5">
      <c r="C722" s="1" t="str">
        <v>06-00-K2 Cd40-ASO 733 MOE</v>
      </c>
      <c r="F722" s="1" t="str">
        <v>Cd40-ASO 222 MOE</v>
      </c>
    </row>
    <row r="723" spans="3:6" x14ac:dyDescent="0.5">
      <c r="C723" s="1" t="str">
        <v>06-00-K3 Cd40-ASO 734 MOE</v>
      </c>
      <c r="F723" s="1" t="str">
        <v>Cd40-ASO 223 MOE</v>
      </c>
    </row>
    <row r="724" spans="3:6" x14ac:dyDescent="0.5">
      <c r="C724" s="1" t="str">
        <v>06-00-K4 Cd40-ASO 752 MOE</v>
      </c>
      <c r="F724" s="1" t="str">
        <v>Cd40-ASO 224 MOE</v>
      </c>
    </row>
    <row r="725" spans="3:6" x14ac:dyDescent="0.5">
      <c r="C725" s="1" t="str">
        <v>06-00-K5 Cd40-ASO 753 MOE</v>
      </c>
      <c r="F725" s="1" t="str">
        <v>Cd40-ASO 233 MOE</v>
      </c>
    </row>
    <row r="726" spans="3:6" x14ac:dyDescent="0.5">
      <c r="C726" s="1" t="str">
        <v>06-00-K6 Cd40-ASO 755 MOE</v>
      </c>
      <c r="F726" s="1" t="str">
        <v>Cd40-ASO 234 MOE</v>
      </c>
    </row>
    <row r="727" spans="3:6" x14ac:dyDescent="0.5">
      <c r="C727" s="1" t="str">
        <v>06-00-K7 Cd40-ASO 759 MOE</v>
      </c>
      <c r="F727" s="1" t="str">
        <v>Cd40-ASO 235 MOE</v>
      </c>
    </row>
    <row r="728" spans="3:6" x14ac:dyDescent="0.5">
      <c r="C728" s="1" t="str">
        <v>06-00-K8 Cd40-ASO 767 MOE</v>
      </c>
      <c r="F728" s="1" t="str">
        <v>Cd40-ASO 238 MOE</v>
      </c>
    </row>
    <row r="729" spans="3:6" x14ac:dyDescent="0.5">
      <c r="C729" s="1" t="str">
        <v>06-00-K9 Cd40-ASO 768 MOE</v>
      </c>
      <c r="F729" s="1" t="str">
        <v>Cd40-ASO 247 MOE</v>
      </c>
    </row>
    <row r="730" spans="3:6" x14ac:dyDescent="0.5">
      <c r="C730" s="1" t="str">
        <v>06-00-KA Cd40-ASO 769 MOE</v>
      </c>
      <c r="F730" s="1" t="str">
        <v>Cd40-ASO 248 MOE</v>
      </c>
    </row>
    <row r="731" spans="3:6" x14ac:dyDescent="0.5">
      <c r="C731" s="1" t="str">
        <v>06-00-KB Cd40-ASO 770 MOE</v>
      </c>
      <c r="F731" s="1" t="str">
        <v>Cd40-ASO 249 MOE</v>
      </c>
    </row>
    <row r="732" spans="3:6" x14ac:dyDescent="0.5">
      <c r="C732" s="1" t="str">
        <v>06-00-KC Cd40-ASO 772 MOE</v>
      </c>
      <c r="F732" s="1" t="str">
        <v>Cd40-ASO 250 MOE</v>
      </c>
    </row>
    <row r="733" spans="3:6" x14ac:dyDescent="0.5">
      <c r="C733" s="1" t="str">
        <v>06-00-KD Cd40-ASO 773 MOE</v>
      </c>
      <c r="F733" s="1" t="str">
        <v>Cd40-ASO 252 MOE</v>
      </c>
    </row>
    <row r="734" spans="3:6" x14ac:dyDescent="0.5">
      <c r="C734" s="1" t="str">
        <v>06-00-KE Cd40-ASO 777 MOE</v>
      </c>
      <c r="F734" s="1" t="str">
        <v>Cd40-ASO 253 MOE</v>
      </c>
    </row>
    <row r="735" spans="3:6" x14ac:dyDescent="0.5">
      <c r="C735" s="1" t="str">
        <v>06-00-KF Cd40-ASO 779 MOE</v>
      </c>
      <c r="F735" s="1" t="str">
        <v>Cd40-ASO 255 MOE</v>
      </c>
    </row>
    <row r="736" spans="3:6" x14ac:dyDescent="0.5">
      <c r="C736" s="1" t="str">
        <v>06-00-KG Cd40-ASO 780 MOE</v>
      </c>
      <c r="F736" s="1" t="str">
        <v>Cd40-ASO 342 MOE</v>
      </c>
    </row>
    <row r="737" spans="3:6" x14ac:dyDescent="0.5">
      <c r="C737" s="1" t="str">
        <v>06-00-KH Cd40-ASO 783 MOE</v>
      </c>
      <c r="F737" s="1" t="str">
        <v>Cd40-ASO 343 MOE</v>
      </c>
    </row>
    <row r="738" spans="3:6" x14ac:dyDescent="0.5">
      <c r="C738" s="1" t="str">
        <v>06-00-KI Cd40-ASO 784 MOE</v>
      </c>
      <c r="F738" s="1" t="str">
        <v>Cd40-ASO 344 MOE</v>
      </c>
    </row>
    <row r="739" spans="3:6" x14ac:dyDescent="0.5">
      <c r="C739" s="1" t="str">
        <v>06-00-KJ Cd40-ASO 785 MOE</v>
      </c>
      <c r="F739" s="1" t="str">
        <v>Cd40-ASO 345 MOE</v>
      </c>
    </row>
    <row r="740" spans="3:6" x14ac:dyDescent="0.5">
      <c r="C740" s="1" t="str">
        <v>06-00-KK Cd40-ASO 787 MOE</v>
      </c>
      <c r="F740" s="1" t="str">
        <v>Cd40-ASO 347 MOE</v>
      </c>
    </row>
    <row r="741" spans="3:6" x14ac:dyDescent="0.5">
      <c r="C741" s="1" t="str">
        <v>06-00-KL Cd40-ASO 788 MOE</v>
      </c>
      <c r="F741" s="1" t="str">
        <v>Cd40-ASO 348 MOE</v>
      </c>
    </row>
    <row r="742" spans="3:6" x14ac:dyDescent="0.5">
      <c r="C742" s="1" t="str">
        <v>06-00-KM Cd40-ASO 789 MOE</v>
      </c>
      <c r="F742" s="1" t="str">
        <v>Cd40-ASO 349 MOE</v>
      </c>
    </row>
    <row r="743" spans="3:6" x14ac:dyDescent="0.5">
      <c r="C743" s="1" t="str">
        <v>06-00-KN Cd40-ASO 790 MOE</v>
      </c>
      <c r="F743" s="1" t="str">
        <v>Cd40-ASO 350 MOE</v>
      </c>
    </row>
    <row r="744" spans="3:6" x14ac:dyDescent="0.5">
      <c r="C744" s="1" t="str">
        <v>06-00-KO Cd40-ASO 792 MOE</v>
      </c>
      <c r="F744" s="1" t="str">
        <v>Cd40-ASO 447 MOE</v>
      </c>
    </row>
    <row r="745" spans="3:6" x14ac:dyDescent="0.5">
      <c r="C745" s="1" t="str">
        <v>06-00-KP Cd40-ASO 793 MOE</v>
      </c>
      <c r="F745" s="1" t="str">
        <v>Cd40-ASO 448 MOE</v>
      </c>
    </row>
    <row r="746" spans="3:6" x14ac:dyDescent="0.5">
      <c r="C746" s="1" t="str">
        <v>06-00-KQ Cd40-ASO 794 MOE</v>
      </c>
      <c r="F746" s="1" t="str">
        <v>Cd40-ASO 449 MOE</v>
      </c>
    </row>
    <row r="747" spans="3:6" x14ac:dyDescent="0.5">
      <c r="C747" s="1" t="str">
        <v>06-00-KR Cd40-ASO 795 MOE</v>
      </c>
      <c r="F747" s="1" t="str">
        <v>Cd40-ASO 462 MOE</v>
      </c>
    </row>
    <row r="748" spans="3:6" x14ac:dyDescent="0.5">
      <c r="C748" s="1" t="str">
        <v>06-00-KS Cd40-ASO 797 MOE</v>
      </c>
      <c r="F748" s="1" t="str">
        <v>Cd40-ASO 463 MOE</v>
      </c>
    </row>
    <row r="749" spans="3:6" x14ac:dyDescent="0.5">
      <c r="C749" s="1" t="str">
        <v>06-00-KT Cd40-ASO 812 MOE</v>
      </c>
      <c r="F749" s="1" t="str">
        <v>Cd40-ASO 464 MOE</v>
      </c>
    </row>
    <row r="750" spans="3:6" x14ac:dyDescent="0.5">
      <c r="C750" s="1" t="str">
        <v>06-00-KU Cd40-ASO 814 MOE</v>
      </c>
      <c r="F750" s="1" t="str">
        <v>Cd40-ASO 465 MOE</v>
      </c>
    </row>
    <row r="751" spans="3:6" x14ac:dyDescent="0.5">
      <c r="C751" s="1" t="str">
        <v>06-00-KV Cd40-ASO 815 MOE</v>
      </c>
      <c r="F751" s="1" t="str">
        <v>Cd40-ASO 467 MOE</v>
      </c>
    </row>
    <row r="752" spans="3:6" x14ac:dyDescent="0.5">
      <c r="C752" s="1" t="str">
        <v>06-00-KW Cd40-ASO 817 MOE</v>
      </c>
      <c r="F752" s="1" t="str">
        <v>Cd40-ASO 468 MOE</v>
      </c>
    </row>
    <row r="753" spans="3:6" x14ac:dyDescent="0.5">
      <c r="C753" s="1" t="str">
        <v>06-00-KX Cd40-ASO 818 MOE</v>
      </c>
      <c r="F753" s="1" t="str">
        <v>Cd40-ASO 469 MOE</v>
      </c>
    </row>
    <row r="754" spans="3:6" x14ac:dyDescent="0.5">
      <c r="C754" s="1" t="str">
        <v>06-00-KY Cd40-ASO 819 MOE</v>
      </c>
      <c r="F754" s="1" t="str">
        <v>Cd40-ASO 470 MOE</v>
      </c>
    </row>
    <row r="755" spans="3:6" x14ac:dyDescent="0.5">
      <c r="C755" s="1" t="str">
        <v>06-00-KZ Cd40-ASO 820 MOE</v>
      </c>
      <c r="F755" s="1" t="str">
        <v>Cd40-ASO 538 MOE</v>
      </c>
    </row>
    <row r="756" spans="3:6" x14ac:dyDescent="0.5">
      <c r="C756" s="1" t="str">
        <v>06-00-L0 Cd40-ASO 822 MOE</v>
      </c>
      <c r="F756" s="1" t="str">
        <v>Cd40-ASO 539 MOE</v>
      </c>
    </row>
    <row r="757" spans="3:6" x14ac:dyDescent="0.5">
      <c r="C757" s="1" t="str">
        <v>06-00-L1 Cd40-ASO 823 MOE</v>
      </c>
      <c r="F757" s="1" t="str">
        <v>Cd40-ASO 544 MOE</v>
      </c>
    </row>
    <row r="758" spans="3:6" x14ac:dyDescent="0.5">
      <c r="C758" s="1" t="str">
        <v>06-00-L2 Cd40-ASO 824 MOE</v>
      </c>
      <c r="F758" s="1" t="str">
        <v>Cd40-ASO 545 MOE</v>
      </c>
    </row>
    <row r="759" spans="3:6" x14ac:dyDescent="0.5">
      <c r="C759" s="1" t="str">
        <v>06-00-L3 Cd40-ASO 825 MOE</v>
      </c>
      <c r="F759" s="1" t="str">
        <v>Cd40-ASO 552 MOE</v>
      </c>
    </row>
    <row r="760" spans="3:6" x14ac:dyDescent="0.5">
      <c r="C760" s="1" t="str">
        <v>06-00-L4 Cd40-ASO 827 MOE</v>
      </c>
      <c r="F760" s="1" t="str">
        <v>Cd40-ASO 554 MOE3</v>
      </c>
    </row>
    <row r="761" spans="3:6" x14ac:dyDescent="0.5">
      <c r="C761" s="1" t="str">
        <v>06-00-L5 Cd40-ASO 828 MOE</v>
      </c>
      <c r="F761" s="1" t="str">
        <v>Cd40-ASO 555 MOE</v>
      </c>
    </row>
    <row r="762" spans="3:6" x14ac:dyDescent="0.5">
      <c r="C762" s="1" t="str">
        <v>06-00-L6 Cd40-ASO 829 MOE</v>
      </c>
      <c r="F762" s="1" t="str">
        <v>Cd40-ASO 557 MOE</v>
      </c>
    </row>
    <row r="763" spans="3:6" x14ac:dyDescent="0.5">
      <c r="C763" s="1" t="str">
        <v>06-00-L7 Cd40-ASO 830 MOE</v>
      </c>
      <c r="F763" s="1" t="str">
        <v>Cd40-ASO 558 MOE</v>
      </c>
    </row>
    <row r="764" spans="3:6" x14ac:dyDescent="0.5">
      <c r="C764" s="1" t="str">
        <v>06-00-L8 Cd40-ASO 832 MOE</v>
      </c>
      <c r="F764" s="1" t="str">
        <v>Cd40-ASO 559 MOE</v>
      </c>
    </row>
    <row r="765" spans="3:6" x14ac:dyDescent="0.5">
      <c r="C765" s="1" t="str">
        <v>06-00-L9 Cd40-ASO 833 MOE</v>
      </c>
      <c r="F765" s="1" t="str">
        <v>Cd40-ASO 604 MOE</v>
      </c>
    </row>
    <row r="766" spans="3:6" x14ac:dyDescent="0.5">
      <c r="C766" s="1" t="str">
        <v>06-00-LA Cd40-ASO 834 MOE</v>
      </c>
      <c r="F766" s="1" t="str">
        <v>Cd40-ASO 605 MOE</v>
      </c>
    </row>
    <row r="767" spans="3:6" x14ac:dyDescent="0.5">
      <c r="C767" s="1" t="str">
        <v>06-00-LB Cd40-ASO 835 MOE</v>
      </c>
      <c r="F767" s="1" t="str">
        <v>Cd40-ASO 728 MOE</v>
      </c>
    </row>
    <row r="768" spans="3:6" x14ac:dyDescent="0.5">
      <c r="C768" s="1" t="str">
        <v>06-00-LC Cd40-ASO 837 MOE</v>
      </c>
      <c r="F768" s="1" t="str">
        <v>Cd40-ASO 729 MOE</v>
      </c>
    </row>
    <row r="769" spans="3:6" x14ac:dyDescent="0.5">
      <c r="C769" s="1" t="str">
        <v>06-00-LD Cd40-ASO 838 MOE</v>
      </c>
      <c r="F769" s="1" t="str">
        <v>Cd40-ASO 730 MOE</v>
      </c>
    </row>
    <row r="770" spans="3:6" x14ac:dyDescent="0.5">
      <c r="C770" s="1" t="str">
        <v>06-00-LE b2a2 BCR::ABL-SO</v>
      </c>
      <c r="F770" s="1" t="str">
        <v>Cd40-ASO 732 MOE</v>
      </c>
    </row>
    <row r="771" spans="3:6" x14ac:dyDescent="0.5">
      <c r="C771" s="1" t="str">
        <v>06-00-LF b2a2 BCR::ABL-ASO</v>
      </c>
      <c r="F771" s="1" t="str">
        <v>Cd40-ASO 733 MOE</v>
      </c>
    </row>
    <row r="772" spans="3:6" x14ac:dyDescent="0.5">
      <c r="C772" s="1" t="str">
        <v>06-00-LG b3a2 BCR::ABL-SO</v>
      </c>
      <c r="F772" s="1" t="str">
        <v>Cd40-ASO 734 MOE</v>
      </c>
    </row>
    <row r="773" spans="3:6" x14ac:dyDescent="0.5">
      <c r="C773" s="1" t="str">
        <v>06-00-LH b3a2 BCR::ABL-ASO</v>
      </c>
      <c r="F773" s="1" t="str">
        <v>Cd40-ASO 752 MOE</v>
      </c>
    </row>
    <row r="774" spans="3:6" x14ac:dyDescent="0.5">
      <c r="C774" s="1" t="str">
        <v xml:space="preserve"> PS300_ASO_01</v>
      </c>
      <c r="F774" s="1" t="str">
        <v>Cd40-ASO 753 MOE</v>
      </c>
    </row>
    <row r="775" spans="3:6" x14ac:dyDescent="0.5">
      <c r="C775" s="1" t="str">
        <v xml:space="preserve"> PS300_SO_01</v>
      </c>
      <c r="F775" s="1" t="str">
        <v>Cd40-ASO 755 MOE</v>
      </c>
    </row>
    <row r="776" spans="3:6" x14ac:dyDescent="0.5">
      <c r="C776" s="1" t="str">
        <v>06-00-LK PS300_SO_02</v>
      </c>
      <c r="F776" s="1" t="str">
        <v>Cd40-ASO 759 MOE</v>
      </c>
    </row>
    <row r="777" spans="3:6" x14ac:dyDescent="0.5">
      <c r="C777" s="1" t="str">
        <v>06-00-LL PS300_SO_03</v>
      </c>
      <c r="F777" s="1" t="str">
        <v>Cd40-ASO 767 MOE</v>
      </c>
    </row>
    <row r="778" spans="3:6" x14ac:dyDescent="0.5">
      <c r="C778" s="1" t="str">
        <v>06-00-LM PS300_SO_04</v>
      </c>
      <c r="F778" s="1" t="str">
        <v>Cd40-ASO 768 MOE</v>
      </c>
    </row>
    <row r="779" spans="3:6" x14ac:dyDescent="0.5">
      <c r="C779" s="1" t="str">
        <v>06-00-LN PS300_SO_05</v>
      </c>
      <c r="F779" s="1" t="str">
        <v>Cd40-ASO 769 MOE</v>
      </c>
    </row>
    <row r="780" spans="3:6" x14ac:dyDescent="0.5">
      <c r="C780" s="1" t="str">
        <v>06-00-LO PS300_SO_06</v>
      </c>
      <c r="F780" s="1" t="str">
        <v>Cd40-ASO 770 MOE</v>
      </c>
    </row>
    <row r="781" spans="3:6" x14ac:dyDescent="0.5">
      <c r="C781" s="1" t="str">
        <v>06-00-LP PS300_SO_07</v>
      </c>
      <c r="F781" s="1" t="str">
        <v>Cd40-ASO 772 MOE</v>
      </c>
    </row>
    <row r="782" spans="3:6" x14ac:dyDescent="0.5">
      <c r="C782" s="1" t="str">
        <v>06-00-LQ PS300_SO_08</v>
      </c>
      <c r="F782" s="1" t="str">
        <v>Cd40-ASO 773 MOE</v>
      </c>
    </row>
    <row r="783" spans="3:6" x14ac:dyDescent="0.5">
      <c r="C783" s="1" t="str">
        <v>06-00-LR dT 20mer</v>
      </c>
      <c r="F783" s="1" t="str">
        <v>Cd40-ASO 777 MOE</v>
      </c>
    </row>
    <row r="784" spans="3:6" x14ac:dyDescent="0.5">
      <c r="C784" s="1" t="str">
        <v>06-00-LS rU 20mer</v>
      </c>
      <c r="F784" s="1" t="str">
        <v>Cd40-ASO 779 MOE</v>
      </c>
    </row>
    <row r="785" spans="3:6" x14ac:dyDescent="0.5">
      <c r="C785" s="1" t="str">
        <v>06-00-LT 17mer ApoB</v>
      </c>
      <c r="F785" s="1" t="str">
        <v>Cd40-ASO 780 MOE</v>
      </c>
    </row>
    <row r="786" spans="3:6" x14ac:dyDescent="0.5">
      <c r="C786" s="1" t="str">
        <v xml:space="preserve"> malat1-hm-02</v>
      </c>
      <c r="F786" s="1" t="str">
        <v>Cd40-ASO 783 MOE</v>
      </c>
    </row>
    <row r="787" spans="3:6" x14ac:dyDescent="0.5">
      <c r="C787" s="1" t="str">
        <v xml:space="preserve"> PS300_SO_allDNA_T</v>
      </c>
      <c r="F787" s="1" t="str">
        <v>Cd40-ASO 784 MOE</v>
      </c>
    </row>
    <row r="788" spans="3:6" x14ac:dyDescent="0.5">
      <c r="C788" s="1" t="str">
        <v xml:space="preserve"> PS300_SO_allDNA_T+mC</v>
      </c>
      <c r="F788" s="1" t="str">
        <v>Cd40-ASO 785 MOE</v>
      </c>
    </row>
    <row r="789" spans="3:6" x14ac:dyDescent="0.5">
      <c r="C789" s="1" t="str">
        <v>06-00-LY Casimersen_ASO</v>
      </c>
      <c r="F789" s="1" t="str">
        <v>Cd40-ASO 787 MOE</v>
      </c>
    </row>
    <row r="790" spans="3:6" x14ac:dyDescent="0.5">
      <c r="C790" s="1" t="str">
        <v>06-00-LZ Exon23_ASO</v>
      </c>
      <c r="F790" s="1" t="str">
        <v>Cd40-ASO 788 MOE</v>
      </c>
    </row>
    <row r="791" spans="3:6" x14ac:dyDescent="0.5">
      <c r="C791" s="1" t="str">
        <v>06-00-M0 Cd40-SO 821 MOE</v>
      </c>
      <c r="F791" s="1" t="str">
        <v>Cd40-ASO 789 MOE</v>
      </c>
    </row>
    <row r="792" spans="3:6" x14ac:dyDescent="0.5">
      <c r="C792" s="1" t="str">
        <v>06-00-M1 Cd40-SO 829 MOE</v>
      </c>
      <c r="F792" s="1" t="str">
        <v>Cd40-ASO 790 MOE</v>
      </c>
    </row>
    <row r="793" spans="3:6" x14ac:dyDescent="0.5">
      <c r="C793" s="1" t="str">
        <v>06-00-M2 Cd40-SO 823 MOE</v>
      </c>
      <c r="F793" s="1" t="str">
        <v>Cd40-ASO 792 MOE</v>
      </c>
    </row>
    <row r="794" spans="3:6" x14ac:dyDescent="0.5">
      <c r="C794" s="1" t="str">
        <v>06-00-M3 Cd40-SO 826 MOE</v>
      </c>
      <c r="F794" s="1" t="str">
        <v>Cd40-ASO 793 MOE</v>
      </c>
    </row>
    <row r="795" spans="3:6" x14ac:dyDescent="0.5">
      <c r="C795" s="1" t="str">
        <v>06-00-M4 Cd40-SO 827 MOE</v>
      </c>
      <c r="F795" s="1" t="str">
        <v>Cd40-ASO 794 MOE</v>
      </c>
    </row>
    <row r="796" spans="3:6" x14ac:dyDescent="0.5">
      <c r="C796" s="1" t="str">
        <v>06-00-M5 Cd40-SO 831 MOE</v>
      </c>
      <c r="F796" s="1" t="str">
        <v>Cd40-ASO 795 MOE</v>
      </c>
    </row>
    <row r="797" spans="3:6" x14ac:dyDescent="0.5">
      <c r="C797" s="1" t="str">
        <v>06-00-M6 Cd40-SO 832 MOE</v>
      </c>
      <c r="F797" s="1" t="str">
        <v>Cd40-ASO 797 MOE</v>
      </c>
    </row>
    <row r="798" spans="3:6" x14ac:dyDescent="0.5">
      <c r="C798" s="1" t="str">
        <v>06-00-M7 Cd40-SO 833 MOE</v>
      </c>
      <c r="F798" s="1" t="str">
        <v>Cd40-ASO 812 MOE</v>
      </c>
    </row>
    <row r="799" spans="3:6" x14ac:dyDescent="0.5">
      <c r="C799" s="1" t="str">
        <v>06-00-M8 PS327_SO_3'(-10)</v>
      </c>
      <c r="F799" s="1" t="str">
        <v>Cd40-ASO 814 MOE</v>
      </c>
    </row>
    <row r="800" spans="3:6" x14ac:dyDescent="0.5">
      <c r="C800" s="1" t="str">
        <v>06-00-M9 PS327_SO_3'(+10)</v>
      </c>
      <c r="F800" s="1" t="str">
        <v>Cd40-ASO 815 MOE</v>
      </c>
    </row>
    <row r="801" spans="3:6" x14ac:dyDescent="0.5">
      <c r="C801" s="1" t="str">
        <v>06-00-MA Malat1_hmSO_5'(-10)(395251)</v>
      </c>
      <c r="F801" s="1" t="str">
        <v>Cd40-ASO 817 MOE</v>
      </c>
    </row>
    <row r="802" spans="3:6" x14ac:dyDescent="0.5">
      <c r="C802" s="1" t="str">
        <v>06-00-MB Malat1_hmSO_5'(+10)(395251)</v>
      </c>
      <c r="F802" s="1" t="str">
        <v>Cd40-ASO 818 MOE</v>
      </c>
    </row>
    <row r="803" spans="3:6" x14ac:dyDescent="0.5">
      <c r="C803" s="1" t="str">
        <v>06-00-MC 487b_SO</v>
      </c>
      <c r="F803" s="1" t="str">
        <v>Cd40-ASO 819 MOE</v>
      </c>
    </row>
    <row r="804" spans="3:6" x14ac:dyDescent="0.5">
      <c r="C804" s="1" t="str">
        <v>06-00-MD 487b_ASO</v>
      </c>
      <c r="F804" s="1" t="str">
        <v>Cd40-ASO 820 MOE</v>
      </c>
    </row>
    <row r="805" spans="3:6" x14ac:dyDescent="0.5">
      <c r="C805" s="1" t="str">
        <v>06-00-ME 127_SO</v>
      </c>
      <c r="F805" s="1" t="str">
        <v>Cd40-ASO 822 MOE</v>
      </c>
    </row>
    <row r="806" spans="3:6" x14ac:dyDescent="0.5">
      <c r="C806" s="1" t="str">
        <v>06-00-MF 127_ASO</v>
      </c>
      <c r="F806" s="1" t="str">
        <v>Cd40-ASO 823 MOE</v>
      </c>
    </row>
    <row r="807" spans="3:6" x14ac:dyDescent="0.5">
      <c r="C807" s="1" t="str">
        <v>06-00-MG Casimersen_SO</v>
      </c>
      <c r="F807" s="1" t="str">
        <v>Cd40-ASO 824 MOE</v>
      </c>
    </row>
    <row r="808" spans="3:6" x14ac:dyDescent="0.5">
      <c r="C808" s="1" t="str">
        <v>06-00-MH Cd40-SO 467 MOE</v>
      </c>
      <c r="F808" s="1" t="str">
        <v>Cd40-ASO 825 MOE</v>
      </c>
    </row>
    <row r="809" spans="3:6" x14ac:dyDescent="0.5">
      <c r="F809" s="1" t="str">
        <v>Cd40-ASO 827 MOE</v>
      </c>
    </row>
    <row r="810" spans="3:6" x14ac:dyDescent="0.5">
      <c r="F810" s="1" t="str">
        <v>Cd40-ASO 828 MOE</v>
      </c>
    </row>
    <row r="811" spans="3:6" x14ac:dyDescent="0.5">
      <c r="F811" s="1" t="str">
        <v>Cd40-ASO 829 MOE</v>
      </c>
    </row>
    <row r="812" spans="3:6" x14ac:dyDescent="0.5">
      <c r="F812" s="1" t="str">
        <v>Cd40-ASO 830 MOE</v>
      </c>
    </row>
    <row r="813" spans="3:6" x14ac:dyDescent="0.5">
      <c r="F813" s="1" t="str">
        <v>Cd40-ASO 832 MOE</v>
      </c>
    </row>
    <row r="814" spans="3:6" x14ac:dyDescent="0.5">
      <c r="F814" s="1" t="str">
        <v>Cd40-ASO 833 MOE</v>
      </c>
    </row>
    <row r="815" spans="3:6" x14ac:dyDescent="0.5">
      <c r="F815" s="1" t="str">
        <v>Cd40-ASO 834 MOE</v>
      </c>
    </row>
    <row r="816" spans="3:6" x14ac:dyDescent="0.5">
      <c r="F816" s="1" t="str">
        <v>Cd40-ASO 835 MOE</v>
      </c>
    </row>
    <row r="817" spans="6:6" x14ac:dyDescent="0.5">
      <c r="F817" s="1" t="str">
        <v>Cd40-ASO 837 MOE</v>
      </c>
    </row>
    <row r="818" spans="6:6" x14ac:dyDescent="0.5">
      <c r="F818" s="1" t="str">
        <v>Cd40-ASO 838 MOE</v>
      </c>
    </row>
    <row r="819" spans="6:6" x14ac:dyDescent="0.5">
      <c r="F819" s="1" t="str">
        <v>b2a2 BCR::ABL-SO</v>
      </c>
    </row>
    <row r="820" spans="6:6" x14ac:dyDescent="0.5">
      <c r="F820" s="1" t="str">
        <v>b2a2 BCR::ABL-ASO</v>
      </c>
    </row>
    <row r="821" spans="6:6" x14ac:dyDescent="0.5">
      <c r="F821" s="1" t="str">
        <v>b3a2 BCR::ABL-SO</v>
      </c>
    </row>
    <row r="822" spans="6:6" x14ac:dyDescent="0.5">
      <c r="F822" s="1" t="str">
        <v>b3a2 BCR::ABL-ASO</v>
      </c>
    </row>
    <row r="823" spans="6:6" x14ac:dyDescent="0.5">
      <c r="F823" s="1" t="str">
        <v>&gt;07-00-JM</v>
      </c>
    </row>
    <row r="824" spans="6:6" x14ac:dyDescent="0.5">
      <c r="F824" s="1" t="str">
        <v>PS300_ASO_wMOE/g2OMe</v>
      </c>
    </row>
    <row r="825" spans="6:6" x14ac:dyDescent="0.5">
      <c r="F825" s="1" t="str">
        <v>PS300_ASO_all2OMe</v>
      </c>
    </row>
    <row r="826" spans="6:6" x14ac:dyDescent="0.5">
      <c r="F826" s="1" t="str">
        <v>&gt;07-00-JN</v>
      </c>
    </row>
    <row r="827" spans="6:6" x14ac:dyDescent="0.5">
      <c r="F827" s="1" t="str">
        <v>PS300_SO_allRNA</v>
      </c>
    </row>
    <row r="828" spans="6:6" x14ac:dyDescent="0.5">
      <c r="F828" s="1" t="str">
        <v>PS300_SO_w2OMe/gRNA-I</v>
      </c>
    </row>
    <row r="829" spans="6:6" x14ac:dyDescent="0.5">
      <c r="F829" s="1" t="str">
        <v>PS300_SO_w2OMe/gRNA-dI</v>
      </c>
    </row>
    <row r="830" spans="6:6" x14ac:dyDescent="0.5">
      <c r="F830" s="1" t="str">
        <v>PS300_SO_w2OMe/gDNA(dU)</v>
      </c>
    </row>
    <row r="831" spans="6:6" x14ac:dyDescent="0.5">
      <c r="F831" s="1" t="str">
        <v>PS300_SO_allDNA(dU)</v>
      </c>
    </row>
    <row r="832" spans="6:6" x14ac:dyDescent="0.5">
      <c r="F832" s="1" t="str">
        <v>PS300_SO_w2OMe/gDNA(dU)-I</v>
      </c>
    </row>
    <row r="833" spans="6:6" x14ac:dyDescent="0.5">
      <c r="F833" s="1" t="str">
        <v>PS300_SO_3'(-5)</v>
      </c>
    </row>
    <row r="834" spans="6:6" x14ac:dyDescent="0.5">
      <c r="F834" s="1" t="str">
        <v>PS300_SO_3'(-10)</v>
      </c>
    </row>
    <row r="835" spans="6:6" x14ac:dyDescent="0.5">
      <c r="F835" s="1" t="str">
        <v>PS300_SO_3'(-10)/gDNA(dU)</v>
      </c>
    </row>
    <row r="836" spans="6:6" x14ac:dyDescent="0.5">
      <c r="F836" s="1" t="str">
        <v>PS300_SO_5'(-5)</v>
      </c>
    </row>
    <row r="837" spans="6:6" x14ac:dyDescent="0.5">
      <c r="F837" s="1" t="str">
        <v>PS300_SO_5'(-10)</v>
      </c>
    </row>
    <row r="838" spans="6:6" x14ac:dyDescent="0.5">
      <c r="F838" s="1" t="str">
        <v>PS300_SO_5'(-10)/gDNA(dU)</v>
      </c>
    </row>
    <row r="839" spans="6:6" x14ac:dyDescent="0.5">
      <c r="F839" s="1" t="str">
        <v>PS300_SO_3'(+10)</v>
      </c>
    </row>
    <row r="840" spans="6:6" x14ac:dyDescent="0.5">
      <c r="F840" s="1" t="str">
        <v>PS300_SO_3'(+10)/gDNA(dU)</v>
      </c>
    </row>
    <row r="841" spans="6:6" x14ac:dyDescent="0.5">
      <c r="F841" s="1" t="str">
        <v>PS300_SO_5'(+10)</v>
      </c>
    </row>
    <row r="842" spans="6:6" x14ac:dyDescent="0.5">
      <c r="F842" s="1" t="str">
        <v>PS300_SO_5'(+10)/gDNA(dU)</v>
      </c>
    </row>
    <row r="843" spans="6:6" x14ac:dyDescent="0.5">
      <c r="F843" s="1" t="str">
        <v>PS300_SO_LNA_NegaCont</v>
      </c>
    </row>
    <row r="844" spans="6:6" x14ac:dyDescent="0.5">
      <c r="F844" s="1" t="str">
        <v xml:space="preserve">dT 20mer </v>
      </c>
    </row>
    <row r="845" spans="6:6" x14ac:dyDescent="0.5">
      <c r="F845" s="1" t="str">
        <v>rU 20mer</v>
      </c>
    </row>
    <row r="846" spans="6:6" x14ac:dyDescent="0.5">
      <c r="F846" s="1" t="str">
        <v>U(O) 5mer rU10mer U(O) 5mer</v>
      </c>
    </row>
    <row r="847" spans="6:6" x14ac:dyDescent="0.5">
      <c r="F847" s="1" t="str">
        <v>U(O) 5mer rU10mer U(O) 3mer 2mer(PS)</v>
      </c>
    </row>
    <row r="848" spans="6:6" x14ac:dyDescent="0.5">
      <c r="F848" s="1" t="str">
        <v>U(O) 5mer(PS) rU10mer U(O) 5mer(PS)</v>
      </c>
    </row>
    <row r="849" spans="6:6" x14ac:dyDescent="0.5">
      <c r="F849" s="1" t="str">
        <v>Cd40-hm-ASO (5',3'-2merPS)</v>
      </c>
    </row>
    <row r="850" spans="6:6" x14ac:dyDescent="0.5">
      <c r="F850" s="1" t="str">
        <v>Cd40-hm-ASO (5'-1merPS, 3'-2merPS)</v>
      </c>
    </row>
    <row r="851" spans="6:6" x14ac:dyDescent="0.5">
      <c r="F851" s="1" t="str">
        <v>Cd40-hm-SO (5'-2mer PS)</v>
      </c>
    </row>
    <row r="852" spans="6:6" x14ac:dyDescent="0.5">
      <c r="F852" s="1" t="str">
        <v>Cd40-hm-SO (3'-2mer PS)</v>
      </c>
    </row>
    <row r="853" spans="6:6" x14ac:dyDescent="0.5">
      <c r="F853" s="1" t="str">
        <v>ApoB-ASO (17mer, 5'-4merPO)</v>
      </c>
    </row>
    <row r="854" spans="6:6" x14ac:dyDescent="0.5">
      <c r="F854" s="1" t="str">
        <v>ApoB-ASO (17mer, PS)</v>
      </c>
    </row>
    <row r="855" spans="6:6" x14ac:dyDescent="0.5">
      <c r="F855" s="1" t="str">
        <v>malat1-hm-ASO-(mC)</v>
      </c>
    </row>
    <row r="856" spans="6:6" x14ac:dyDescent="0.5">
      <c r="F856" s="1" t="str">
        <v>PS300_SO_allDNA</v>
      </c>
    </row>
    <row r="857" spans="6:6" x14ac:dyDescent="0.5">
      <c r="F857" s="1" t="str">
        <v>PS300_SO_allDNA(mC)</v>
      </c>
    </row>
    <row r="858" spans="6:6" x14ac:dyDescent="0.5">
      <c r="F858" s="1" t="str">
        <v>Casimersen_ASO_ENA-Ome-gap</v>
      </c>
    </row>
    <row r="859" spans="6:6" x14ac:dyDescent="0.5">
      <c r="F859" s="1" t="str">
        <v>Casimersen_ASO_ENA-Ome-ren</v>
      </c>
    </row>
    <row r="860" spans="6:6" x14ac:dyDescent="0.5">
      <c r="F860" s="1" t="str">
        <v>Exon23_ASO_ENA-Ome-gap</v>
      </c>
    </row>
    <row r="861" spans="6:6" x14ac:dyDescent="0.5">
      <c r="F861" s="1" t="str">
        <v>Exon23_ASO_ENA-Ome-ren</v>
      </c>
    </row>
    <row r="862" spans="6:6" x14ac:dyDescent="0.5">
      <c r="F862" s="1" t="str">
        <v>Cd40-SO 821 MOE</v>
      </c>
    </row>
    <row r="863" spans="6:6" x14ac:dyDescent="0.5">
      <c r="F863" s="1" t="str">
        <v>Cd40-SO 829 MOE</v>
      </c>
    </row>
    <row r="864" spans="6:6" x14ac:dyDescent="0.5">
      <c r="F864" s="1" t="str">
        <v>malat1-hm-ASO_Goos</v>
      </c>
    </row>
    <row r="865" spans="6:6" x14ac:dyDescent="0.5">
      <c r="F865" s="1" t="str">
        <v>malat1-hm-ASO_Wsoo</v>
      </c>
    </row>
    <row r="866" spans="6:6" x14ac:dyDescent="0.5">
      <c r="F866" s="1" t="str">
        <v>malat1-hm-ASO_Wsos</v>
      </c>
    </row>
    <row r="867" spans="6:6" x14ac:dyDescent="0.5">
      <c r="F867" s="1" t="str">
        <v>malat1-hm-ASO_Wsso</v>
      </c>
    </row>
    <row r="868" spans="6:6" x14ac:dyDescent="0.5">
      <c r="F868" s="1" t="str">
        <v>malat1-hm-ASO_WsosGoos</v>
      </c>
    </row>
    <row r="869" spans="6:6" x14ac:dyDescent="0.5">
      <c r="F869" s="1" t="str">
        <v>malat1-hm-ASO_Wooo</v>
      </c>
    </row>
    <row r="870" spans="6:6" x14ac:dyDescent="0.5">
      <c r="F870" s="1" t="str">
        <v>malat1-hm-ASO_FullPO</v>
      </c>
    </row>
    <row r="871" spans="6:6" x14ac:dyDescent="0.5">
      <c r="F871" s="1" t="str">
        <v>malat1-hm-SO_Wsso</v>
      </c>
    </row>
    <row r="872" spans="6:6" x14ac:dyDescent="0.5">
      <c r="F872" s="1" t="str">
        <v>malat1-hm-SO_Wsoo</v>
      </c>
    </row>
    <row r="873" spans="6:6" x14ac:dyDescent="0.5">
      <c r="F873" s="1" t="str">
        <v>malat1-hm-SO_FullPO</v>
      </c>
    </row>
    <row r="874" spans="6:6" x14ac:dyDescent="0.5">
      <c r="F874" s="1" t="str">
        <v>malat1-hm-SO_GDNA</v>
      </c>
    </row>
    <row r="875" spans="6:6" x14ac:dyDescent="0.5">
      <c r="F875" s="1" t="str">
        <v>Cd40-SO 823 MOE</v>
      </c>
    </row>
    <row r="876" spans="6:6" x14ac:dyDescent="0.5">
      <c r="F876" s="1" t="str">
        <v>Cd40-SO 826 MOE</v>
      </c>
    </row>
    <row r="877" spans="6:6" x14ac:dyDescent="0.5">
      <c r="F877" s="1" t="str">
        <v>Cd40-SO 827 MOE</v>
      </c>
    </row>
    <row r="878" spans="6:6" x14ac:dyDescent="0.5">
      <c r="F878" s="1" t="str">
        <v>Cd40-SO 831 MOE</v>
      </c>
    </row>
    <row r="879" spans="6:6" x14ac:dyDescent="0.5">
      <c r="F879" s="1" t="str">
        <v>Cd40-SO 832 MOE</v>
      </c>
    </row>
    <row r="880" spans="6:6" x14ac:dyDescent="0.5">
      <c r="F880" s="1" t="str">
        <v>Cd40-SO 833 MOE</v>
      </c>
    </row>
    <row r="881" spans="6:6" x14ac:dyDescent="0.5">
      <c r="F881" s="1" t="str">
        <v>PS327_ASO_wMOE/g2OMe</v>
      </c>
    </row>
    <row r="882" spans="6:6" x14ac:dyDescent="0.5">
      <c r="F882" s="1" t="str">
        <v>PS327_SO_w2OMe/gRNA-I</v>
      </c>
    </row>
    <row r="883" spans="6:6" x14ac:dyDescent="0.5">
      <c r="F883" s="1" t="str">
        <v>PS327_SO_allDNA</v>
      </c>
    </row>
    <row r="884" spans="6:6" x14ac:dyDescent="0.5">
      <c r="F884" s="1" t="str">
        <v>PS327_SO_w2OMe/gDNA-I</v>
      </c>
    </row>
    <row r="885" spans="6:6" x14ac:dyDescent="0.5">
      <c r="F885" s="1" t="str">
        <v>PS327_SO_3'(-10)/gDNA</v>
      </c>
    </row>
    <row r="886" spans="6:6" x14ac:dyDescent="0.5">
      <c r="F886" s="1" t="str">
        <v>PS327_SO_3'(+10)/gDNA</v>
      </c>
    </row>
    <row r="887" spans="6:6" x14ac:dyDescent="0.5">
      <c r="F887" s="1" t="str">
        <v>Malat1-hmSO(395251)_allDNA</v>
      </c>
    </row>
    <row r="888" spans="6:6" x14ac:dyDescent="0.5">
      <c r="F888" s="1" t="str">
        <v>Malat1-hmSO(395251)_5'(-10)/allRNA/PO</v>
      </c>
    </row>
    <row r="889" spans="6:6" x14ac:dyDescent="0.5">
      <c r="F889" s="1" t="str">
        <v>Malat1-hmSO(395251)_5'(+10)/gDNA</v>
      </c>
    </row>
    <row r="890" spans="6:6" x14ac:dyDescent="0.5">
      <c r="F890" s="1" t="str">
        <v>PS300_ASO_allMOE</v>
      </c>
    </row>
    <row r="891" spans="6:6" x14ac:dyDescent="0.5">
      <c r="F891" s="1" t="str">
        <v>PS327_ASO_allMOE</v>
      </c>
    </row>
    <row r="892" spans="6:6" x14ac:dyDescent="0.5">
      <c r="F892" s="1" t="str">
        <v>Casimersen_ASO_ENA-Ome-gap(U)</v>
      </c>
    </row>
    <row r="893" spans="6:6" x14ac:dyDescent="0.5">
      <c r="F893" s="1" t="str">
        <v>Casimersen_ASO_ENA-Ome-ren(U)</v>
      </c>
    </row>
    <row r="894" spans="6:6" x14ac:dyDescent="0.5">
      <c r="F894" s="1" t="str">
        <v>Exon23_ASO_ENA-Ome-gap(U)</v>
      </c>
    </row>
    <row r="895" spans="6:6" x14ac:dyDescent="0.5">
      <c r="F895" s="1" t="str">
        <v>Exon23_ASO_ENA-Ome-ren(U)</v>
      </c>
    </row>
    <row r="896" spans="6:6" x14ac:dyDescent="0.5">
      <c r="F896" s="1" t="str">
        <v>PS327_SO_w2OMe/gDNA</v>
      </c>
    </row>
    <row r="897" spans="6:6" x14ac:dyDescent="0.5">
      <c r="F897" s="1" t="str">
        <v>PS300_SO_w2OMe/gDNA</v>
      </c>
    </row>
    <row r="898" spans="6:6" x14ac:dyDescent="0.5">
      <c r="F898" s="1" t="str">
        <v>487b_SO</v>
      </c>
    </row>
    <row r="899" spans="6:6" x14ac:dyDescent="0.5">
      <c r="F899" s="1" t="str">
        <v>487b_ASO</v>
      </c>
    </row>
    <row r="900" spans="6:6" x14ac:dyDescent="0.5">
      <c r="F900" s="1" t="str">
        <v>127_SO</v>
      </c>
    </row>
    <row r="901" spans="6:6" x14ac:dyDescent="0.5">
      <c r="F901" s="1" t="str">
        <v>127_ASO</v>
      </c>
    </row>
    <row r="902" spans="6:6" x14ac:dyDescent="0.5">
      <c r="F902" s="1" t="str">
        <v>Casimersen_SO</v>
      </c>
    </row>
    <row r="903" spans="6:6" x14ac:dyDescent="0.5">
      <c r="F903" s="1" t="str">
        <v>Cd40-SO 467 MOE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A0FF-9469-4198-BD3B-BD30D9E4821E}">
  <dimension ref="A1:K981"/>
  <sheetViews>
    <sheetView tabSelected="1" topLeftCell="A792" workbookViewId="0">
      <selection activeCell="C811" sqref="C811"/>
    </sheetView>
  </sheetViews>
  <sheetFormatPr defaultColWidth="9" defaultRowHeight="17.399999999999999" x14ac:dyDescent="0.45"/>
  <cols>
    <col min="1" max="1" width="10.5" style="1" bestFit="1" customWidth="1"/>
    <col min="2" max="2" width="7.59765625" style="1" bestFit="1" customWidth="1"/>
    <col min="3" max="3" width="31.3984375" style="1" bestFit="1" customWidth="1"/>
    <col min="4" max="4" width="40.8984375" style="1" bestFit="1" customWidth="1"/>
    <col min="5" max="5" width="9.3984375" style="1" bestFit="1" customWidth="1"/>
    <col min="6" max="6" width="9.296875" style="1" bestFit="1" customWidth="1"/>
    <col min="7" max="7" width="8.796875" style="1" bestFit="1" customWidth="1"/>
    <col min="8" max="8" width="56.296875" style="1" bestFit="1" customWidth="1"/>
    <col min="9" max="9" width="8.796875" style="1" bestFit="1" customWidth="1"/>
    <col min="10" max="10" width="16.296875" style="1" bestFit="1" customWidth="1"/>
    <col min="11" max="11" width="12" style="1" bestFit="1" customWidth="1"/>
    <col min="12" max="12" width="12.69921875" style="1" bestFit="1" customWidth="1"/>
    <col min="13" max="16384" width="9" style="1"/>
  </cols>
  <sheetData>
    <row r="1" spans="1:11" x14ac:dyDescent="0.45">
      <c r="A1" s="1" t="s">
        <v>107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78</v>
      </c>
      <c r="H1" s="1" t="s">
        <v>26</v>
      </c>
      <c r="I1" s="1" t="s">
        <v>137</v>
      </c>
      <c r="J1" s="1" t="s">
        <v>27</v>
      </c>
      <c r="K1" s="1" t="s">
        <v>28</v>
      </c>
    </row>
    <row r="2" spans="1:11" x14ac:dyDescent="0.45">
      <c r="A2" s="1" t="s">
        <v>79</v>
      </c>
      <c r="B2" s="1">
        <v>1</v>
      </c>
      <c r="C2" s="12" t="s">
        <v>138</v>
      </c>
      <c r="D2" s="1" t="s">
        <v>36</v>
      </c>
      <c r="E2" s="1">
        <v>17</v>
      </c>
      <c r="F2" s="1" t="s">
        <v>29</v>
      </c>
      <c r="G2" s="1" t="b">
        <v>1</v>
      </c>
      <c r="I2" s="1" t="s">
        <v>139</v>
      </c>
      <c r="K2" s="3">
        <v>44853</v>
      </c>
    </row>
    <row r="3" spans="1:11" x14ac:dyDescent="0.45">
      <c r="A3" s="1" t="s">
        <v>80</v>
      </c>
      <c r="B3" s="1">
        <v>2</v>
      </c>
      <c r="C3" s="12" t="s">
        <v>140</v>
      </c>
      <c r="D3" s="1" t="s">
        <v>38</v>
      </c>
      <c r="E3" s="1">
        <v>18</v>
      </c>
      <c r="F3" s="1" t="s">
        <v>29</v>
      </c>
      <c r="G3" s="1" t="b">
        <v>1</v>
      </c>
      <c r="I3" s="1" t="s">
        <v>139</v>
      </c>
      <c r="K3" s="3">
        <v>44853</v>
      </c>
    </row>
    <row r="4" spans="1:11" x14ac:dyDescent="0.45">
      <c r="A4" s="1" t="s">
        <v>81</v>
      </c>
      <c r="B4" s="1">
        <v>3</v>
      </c>
      <c r="C4" s="12" t="s">
        <v>141</v>
      </c>
      <c r="D4" s="1" t="s">
        <v>44</v>
      </c>
      <c r="E4" s="1">
        <v>16</v>
      </c>
      <c r="F4" s="1" t="s">
        <v>29</v>
      </c>
      <c r="G4" s="1" t="b">
        <v>1</v>
      </c>
      <c r="I4" s="1" t="s">
        <v>139</v>
      </c>
      <c r="K4" s="3">
        <v>44853</v>
      </c>
    </row>
    <row r="5" spans="1:11" x14ac:dyDescent="0.45">
      <c r="A5" s="1" t="s">
        <v>82</v>
      </c>
      <c r="B5" s="1">
        <v>4</v>
      </c>
      <c r="C5" s="12" t="s">
        <v>142</v>
      </c>
      <c r="D5" s="1" t="s">
        <v>46</v>
      </c>
      <c r="E5" s="1">
        <v>16</v>
      </c>
      <c r="F5" s="1" t="s">
        <v>29</v>
      </c>
      <c r="G5" s="1" t="b">
        <v>1</v>
      </c>
      <c r="I5" s="1" t="s">
        <v>139</v>
      </c>
      <c r="K5" s="3">
        <v>44853</v>
      </c>
    </row>
    <row r="6" spans="1:11" x14ac:dyDescent="0.45">
      <c r="A6" s="1" t="s">
        <v>83</v>
      </c>
      <c r="B6" s="1">
        <v>5</v>
      </c>
      <c r="C6" s="12" t="s">
        <v>143</v>
      </c>
      <c r="D6" s="1" t="s">
        <v>3</v>
      </c>
      <c r="E6" s="1">
        <v>16</v>
      </c>
      <c r="F6" s="1" t="s">
        <v>29</v>
      </c>
      <c r="G6" s="1" t="b">
        <v>1</v>
      </c>
      <c r="I6" s="1" t="s">
        <v>139</v>
      </c>
      <c r="K6" s="3">
        <v>44853</v>
      </c>
    </row>
    <row r="7" spans="1:11" x14ac:dyDescent="0.45">
      <c r="A7" s="1" t="s">
        <v>84</v>
      </c>
      <c r="B7" s="1">
        <v>6</v>
      </c>
      <c r="C7" s="12" t="s">
        <v>144</v>
      </c>
      <c r="D7" s="1" t="s">
        <v>50</v>
      </c>
      <c r="E7" s="1">
        <v>17</v>
      </c>
      <c r="F7" s="1" t="s">
        <v>29</v>
      </c>
      <c r="G7" s="1" t="b">
        <v>1</v>
      </c>
      <c r="I7" s="1" t="s">
        <v>139</v>
      </c>
      <c r="K7" s="3">
        <v>44853</v>
      </c>
    </row>
    <row r="8" spans="1:11" x14ac:dyDescent="0.45">
      <c r="A8" s="1" t="s">
        <v>85</v>
      </c>
      <c r="B8" s="1">
        <v>7</v>
      </c>
      <c r="C8" s="12" t="s">
        <v>145</v>
      </c>
      <c r="D8" s="1" t="s">
        <v>52</v>
      </c>
      <c r="E8" s="1">
        <v>16</v>
      </c>
      <c r="F8" s="1" t="s">
        <v>29</v>
      </c>
      <c r="G8" s="1" t="b">
        <v>1</v>
      </c>
      <c r="I8" s="1" t="s">
        <v>139</v>
      </c>
      <c r="K8" s="3">
        <v>44853</v>
      </c>
    </row>
    <row r="9" spans="1:11" x14ac:dyDescent="0.45">
      <c r="A9" s="1" t="s">
        <v>86</v>
      </c>
      <c r="B9" s="1">
        <v>8</v>
      </c>
      <c r="C9" s="12" t="s">
        <v>146</v>
      </c>
      <c r="D9" s="1" t="s">
        <v>63</v>
      </c>
      <c r="E9" s="1">
        <v>15</v>
      </c>
      <c r="F9" s="1" t="s">
        <v>29</v>
      </c>
      <c r="G9" s="1" t="b">
        <v>1</v>
      </c>
      <c r="H9" s="1" t="s">
        <v>47</v>
      </c>
      <c r="I9" s="1" t="s">
        <v>139</v>
      </c>
      <c r="J9" s="1" t="s">
        <v>40</v>
      </c>
      <c r="K9" s="3">
        <v>44853</v>
      </c>
    </row>
    <row r="10" spans="1:11" x14ac:dyDescent="0.45">
      <c r="A10" s="1" t="s">
        <v>87</v>
      </c>
      <c r="B10" s="1">
        <v>9</v>
      </c>
      <c r="C10" s="12" t="s">
        <v>147</v>
      </c>
      <c r="D10" s="1" t="s">
        <v>169</v>
      </c>
      <c r="E10" s="1">
        <v>14</v>
      </c>
      <c r="F10" s="1" t="s">
        <v>29</v>
      </c>
      <c r="G10" s="1" t="b">
        <v>1</v>
      </c>
      <c r="H10" s="1" t="s">
        <v>47</v>
      </c>
      <c r="I10" s="1" t="s">
        <v>139</v>
      </c>
      <c r="J10" s="1" t="s">
        <v>40</v>
      </c>
      <c r="K10" s="3">
        <v>44853</v>
      </c>
    </row>
    <row r="11" spans="1:11" x14ac:dyDescent="0.45">
      <c r="A11" s="1" t="s">
        <v>88</v>
      </c>
      <c r="B11" s="1">
        <v>10</v>
      </c>
      <c r="C11" s="12" t="s">
        <v>148</v>
      </c>
      <c r="D11" s="1" t="s">
        <v>65</v>
      </c>
      <c r="E11" s="1">
        <v>16</v>
      </c>
      <c r="F11" s="1" t="s">
        <v>29</v>
      </c>
      <c r="G11" s="1" t="b">
        <v>1</v>
      </c>
      <c r="H11" s="1" t="s">
        <v>66</v>
      </c>
      <c r="I11" s="1" t="s">
        <v>139</v>
      </c>
      <c r="J11" s="1" t="s">
        <v>67</v>
      </c>
      <c r="K11" s="3">
        <v>44853</v>
      </c>
    </row>
    <row r="12" spans="1:11" x14ac:dyDescent="0.45">
      <c r="A12" s="1" t="s">
        <v>89</v>
      </c>
      <c r="B12" s="1">
        <v>11</v>
      </c>
      <c r="C12" s="12" t="s">
        <v>149</v>
      </c>
      <c r="D12" s="1" t="s">
        <v>33</v>
      </c>
      <c r="E12" s="1">
        <v>13</v>
      </c>
      <c r="F12" s="1" t="s">
        <v>29</v>
      </c>
      <c r="G12" s="1" t="b">
        <v>1</v>
      </c>
      <c r="H12" s="1" t="s">
        <v>34</v>
      </c>
      <c r="I12" s="1" t="s">
        <v>139</v>
      </c>
      <c r="K12" s="3">
        <v>44853</v>
      </c>
    </row>
    <row r="13" spans="1:11" x14ac:dyDescent="0.45">
      <c r="A13" s="1" t="s">
        <v>90</v>
      </c>
      <c r="B13" s="1">
        <v>12</v>
      </c>
      <c r="C13" s="12" t="s">
        <v>150</v>
      </c>
      <c r="D13" s="1" t="s">
        <v>151</v>
      </c>
      <c r="E13" s="1">
        <v>18</v>
      </c>
      <c r="F13" s="1" t="s">
        <v>29</v>
      </c>
      <c r="G13" s="1" t="b">
        <v>1</v>
      </c>
      <c r="H13" s="1" t="s">
        <v>152</v>
      </c>
      <c r="I13" s="1" t="s">
        <v>139</v>
      </c>
      <c r="K13" s="3">
        <v>44853</v>
      </c>
    </row>
    <row r="14" spans="1:11" x14ac:dyDescent="0.45">
      <c r="A14" s="1" t="s">
        <v>91</v>
      </c>
      <c r="B14" s="1">
        <v>13</v>
      </c>
      <c r="C14" s="12" t="s">
        <v>153</v>
      </c>
      <c r="D14" s="1" t="s">
        <v>57</v>
      </c>
      <c r="E14" s="1">
        <v>18</v>
      </c>
      <c r="F14" s="1" t="s">
        <v>29</v>
      </c>
      <c r="G14" s="1" t="b">
        <v>1</v>
      </c>
      <c r="H14" s="1" t="s">
        <v>152</v>
      </c>
      <c r="I14" s="1" t="s">
        <v>139</v>
      </c>
      <c r="K14" s="3">
        <v>44853</v>
      </c>
    </row>
    <row r="15" spans="1:11" x14ac:dyDescent="0.45">
      <c r="A15" s="1" t="s">
        <v>92</v>
      </c>
      <c r="B15" s="1">
        <v>14</v>
      </c>
      <c r="C15" s="12" t="s">
        <v>154</v>
      </c>
      <c r="D15" s="1" t="s">
        <v>53</v>
      </c>
      <c r="E15" s="1">
        <v>21</v>
      </c>
      <c r="F15" s="1" t="s">
        <v>29</v>
      </c>
      <c r="G15" s="1" t="b">
        <v>1</v>
      </c>
      <c r="I15" s="1" t="s">
        <v>139</v>
      </c>
      <c r="K15" s="3">
        <v>44853</v>
      </c>
    </row>
    <row r="16" spans="1:11" x14ac:dyDescent="0.45">
      <c r="A16" s="1" t="s">
        <v>93</v>
      </c>
      <c r="B16" s="1">
        <v>15</v>
      </c>
      <c r="C16" s="12" t="s">
        <v>155</v>
      </c>
      <c r="D16" s="1" t="s">
        <v>54</v>
      </c>
      <c r="E16" s="1">
        <v>21</v>
      </c>
      <c r="F16" s="1" t="s">
        <v>29</v>
      </c>
      <c r="G16" s="1" t="b">
        <v>1</v>
      </c>
      <c r="I16" s="1" t="s">
        <v>139</v>
      </c>
      <c r="K16" s="3">
        <v>44853</v>
      </c>
    </row>
    <row r="17" spans="1:11" x14ac:dyDescent="0.45">
      <c r="A17" s="1" t="s">
        <v>94</v>
      </c>
      <c r="B17" s="1">
        <v>16</v>
      </c>
      <c r="C17" s="12" t="s">
        <v>156</v>
      </c>
      <c r="D17" s="1" t="s">
        <v>55</v>
      </c>
      <c r="E17" s="1">
        <v>21</v>
      </c>
      <c r="F17" s="1" t="s">
        <v>29</v>
      </c>
      <c r="G17" s="1" t="b">
        <v>1</v>
      </c>
      <c r="I17" s="1" t="s">
        <v>139</v>
      </c>
      <c r="K17" s="3">
        <v>44853</v>
      </c>
    </row>
    <row r="18" spans="1:11" x14ac:dyDescent="0.45">
      <c r="A18" s="1" t="s">
        <v>95</v>
      </c>
      <c r="B18" s="1">
        <v>17</v>
      </c>
      <c r="C18" s="12" t="s">
        <v>157</v>
      </c>
      <c r="D18" s="1" t="s">
        <v>56</v>
      </c>
      <c r="E18" s="1">
        <v>21</v>
      </c>
      <c r="F18" s="1" t="s">
        <v>29</v>
      </c>
      <c r="G18" s="1" t="b">
        <v>1</v>
      </c>
      <c r="I18" s="1" t="s">
        <v>139</v>
      </c>
      <c r="K18" s="3">
        <v>44853</v>
      </c>
    </row>
    <row r="19" spans="1:11" x14ac:dyDescent="0.45">
      <c r="A19" s="1" t="s">
        <v>96</v>
      </c>
      <c r="B19" s="1">
        <v>18</v>
      </c>
      <c r="C19" s="12" t="s">
        <v>158</v>
      </c>
      <c r="D19" s="1" t="s">
        <v>19</v>
      </c>
      <c r="E19" s="1">
        <v>13</v>
      </c>
      <c r="F19" s="1" t="s">
        <v>29</v>
      </c>
      <c r="G19" s="1" t="b">
        <v>1</v>
      </c>
      <c r="H19" s="1" t="s">
        <v>30</v>
      </c>
      <c r="I19" s="1" t="s">
        <v>139</v>
      </c>
      <c r="J19" s="1" t="s">
        <v>31</v>
      </c>
      <c r="K19" s="3">
        <v>44853</v>
      </c>
    </row>
    <row r="20" spans="1:11" x14ac:dyDescent="0.45">
      <c r="A20" s="1" t="s">
        <v>97</v>
      </c>
      <c r="B20" s="1">
        <v>19</v>
      </c>
      <c r="C20" s="12" t="s">
        <v>279</v>
      </c>
      <c r="D20" s="1" t="s">
        <v>45</v>
      </c>
      <c r="E20" s="1">
        <v>20</v>
      </c>
      <c r="F20" s="1" t="s">
        <v>29</v>
      </c>
      <c r="G20" s="1" t="b">
        <v>1</v>
      </c>
      <c r="I20" s="1" t="s">
        <v>139</v>
      </c>
      <c r="K20" s="3">
        <v>44853</v>
      </c>
    </row>
    <row r="21" spans="1:11" x14ac:dyDescent="0.45">
      <c r="A21" s="1" t="s">
        <v>98</v>
      </c>
      <c r="B21" s="1">
        <v>20</v>
      </c>
      <c r="C21" s="12" t="s">
        <v>159</v>
      </c>
      <c r="D21" s="1" t="s">
        <v>59</v>
      </c>
      <c r="E21" s="1">
        <v>16</v>
      </c>
      <c r="F21" s="1" t="s">
        <v>29</v>
      </c>
      <c r="G21" s="1" t="b">
        <v>1</v>
      </c>
      <c r="H21" s="1" t="s">
        <v>60</v>
      </c>
      <c r="I21" s="1" t="s">
        <v>139</v>
      </c>
      <c r="J21" s="1" t="s">
        <v>31</v>
      </c>
      <c r="K21" s="3">
        <v>44853</v>
      </c>
    </row>
    <row r="22" spans="1:11" x14ac:dyDescent="0.45">
      <c r="A22" s="1" t="s">
        <v>99</v>
      </c>
      <c r="B22" s="1">
        <v>21</v>
      </c>
      <c r="C22" s="12" t="s">
        <v>41</v>
      </c>
      <c r="D22" s="1" t="s">
        <v>42</v>
      </c>
      <c r="E22" s="1">
        <v>21</v>
      </c>
      <c r="F22" s="1" t="s">
        <v>29</v>
      </c>
      <c r="G22" s="1" t="b">
        <v>1</v>
      </c>
      <c r="I22" s="1" t="s">
        <v>139</v>
      </c>
      <c r="J22" s="1" t="s">
        <v>40</v>
      </c>
      <c r="K22" s="3">
        <v>44853</v>
      </c>
    </row>
    <row r="23" spans="1:11" x14ac:dyDescent="0.45">
      <c r="A23" s="1" t="s">
        <v>100</v>
      </c>
      <c r="B23" s="1">
        <v>22</v>
      </c>
      <c r="C23" s="12" t="s">
        <v>160</v>
      </c>
      <c r="D23" s="1" t="s">
        <v>39</v>
      </c>
      <c r="E23" s="1">
        <v>23</v>
      </c>
      <c r="F23" s="1" t="s">
        <v>29</v>
      </c>
      <c r="G23" s="1" t="b">
        <v>1</v>
      </c>
      <c r="I23" s="1" t="s">
        <v>139</v>
      </c>
      <c r="J23" s="1" t="s">
        <v>40</v>
      </c>
      <c r="K23" s="3">
        <v>44853</v>
      </c>
    </row>
    <row r="24" spans="1:11" x14ac:dyDescent="0.45">
      <c r="A24" s="1" t="s">
        <v>101</v>
      </c>
      <c r="B24" s="1">
        <v>23</v>
      </c>
      <c r="C24" s="12" t="s">
        <v>161</v>
      </c>
      <c r="D24" s="1" t="s">
        <v>12</v>
      </c>
      <c r="E24" s="1">
        <v>14</v>
      </c>
      <c r="F24" s="1" t="s">
        <v>29</v>
      </c>
      <c r="G24" s="1" t="b">
        <v>1</v>
      </c>
      <c r="H24" s="1" t="s">
        <v>61</v>
      </c>
      <c r="I24" s="1" t="s">
        <v>139</v>
      </c>
      <c r="J24" s="1" t="s">
        <v>31</v>
      </c>
      <c r="K24" s="3">
        <v>44853</v>
      </c>
    </row>
    <row r="25" spans="1:11" x14ac:dyDescent="0.45">
      <c r="A25" s="1" t="s">
        <v>102</v>
      </c>
      <c r="B25" s="1">
        <v>24</v>
      </c>
      <c r="C25" s="12" t="s">
        <v>162</v>
      </c>
      <c r="D25" s="1" t="s">
        <v>16</v>
      </c>
      <c r="E25" s="1">
        <v>14</v>
      </c>
      <c r="F25" s="1" t="s">
        <v>29</v>
      </c>
      <c r="G25" s="1" t="b">
        <v>1</v>
      </c>
      <c r="H25" s="1" t="s">
        <v>48</v>
      </c>
      <c r="I25" s="1" t="s">
        <v>139</v>
      </c>
      <c r="J25" s="1" t="s">
        <v>31</v>
      </c>
      <c r="K25" s="3">
        <v>44853</v>
      </c>
    </row>
    <row r="26" spans="1:11" x14ac:dyDescent="0.45">
      <c r="A26" s="1" t="s">
        <v>103</v>
      </c>
      <c r="B26" s="1">
        <v>25</v>
      </c>
      <c r="C26" s="12" t="s">
        <v>280</v>
      </c>
      <c r="D26" s="1" t="s">
        <v>17</v>
      </c>
      <c r="E26" s="1">
        <v>20</v>
      </c>
      <c r="F26" s="1" t="s">
        <v>29</v>
      </c>
      <c r="G26" s="1" t="b">
        <v>1</v>
      </c>
      <c r="I26" s="1" t="s">
        <v>139</v>
      </c>
      <c r="K26" s="3"/>
    </row>
    <row r="27" spans="1:11" x14ac:dyDescent="0.45">
      <c r="A27" s="1" t="s">
        <v>104</v>
      </c>
      <c r="B27" s="1">
        <v>26</v>
      </c>
      <c r="C27" s="12" t="s">
        <v>163</v>
      </c>
      <c r="D27" s="1" t="s">
        <v>21</v>
      </c>
      <c r="E27" s="1">
        <v>16</v>
      </c>
      <c r="F27" s="1" t="s">
        <v>29</v>
      </c>
      <c r="G27" s="1" t="b">
        <v>1</v>
      </c>
      <c r="H27" s="1" t="s">
        <v>105</v>
      </c>
      <c r="I27" s="1" t="s">
        <v>139</v>
      </c>
      <c r="J27" s="1" t="s">
        <v>106</v>
      </c>
      <c r="K27" s="3">
        <v>44950</v>
      </c>
    </row>
    <row r="28" spans="1:11" x14ac:dyDescent="0.45">
      <c r="A28" s="1" t="s">
        <v>164</v>
      </c>
      <c r="B28" s="1">
        <v>27</v>
      </c>
      <c r="C28" s="12" t="s">
        <v>3049</v>
      </c>
      <c r="D28" s="1" t="s">
        <v>165</v>
      </c>
      <c r="E28" s="1">
        <v>18</v>
      </c>
      <c r="F28" s="1" t="s">
        <v>29</v>
      </c>
      <c r="G28" s="1" t="b">
        <v>0</v>
      </c>
      <c r="H28" s="1" t="s">
        <v>152</v>
      </c>
      <c r="I28" s="1" t="s">
        <v>139</v>
      </c>
      <c r="K28" s="3">
        <v>44960</v>
      </c>
    </row>
    <row r="29" spans="1:11" x14ac:dyDescent="0.45">
      <c r="A29" s="1" t="s">
        <v>166</v>
      </c>
      <c r="B29" s="1">
        <v>28</v>
      </c>
      <c r="C29" s="12" t="s">
        <v>3050</v>
      </c>
      <c r="D29" s="1" t="s">
        <v>167</v>
      </c>
      <c r="E29" s="1">
        <v>18</v>
      </c>
      <c r="F29" s="1" t="s">
        <v>29</v>
      </c>
      <c r="G29" s="1" t="b">
        <v>0</v>
      </c>
      <c r="H29" s="1" t="s">
        <v>152</v>
      </c>
      <c r="I29" s="1" t="s">
        <v>139</v>
      </c>
      <c r="K29" s="3">
        <v>44960</v>
      </c>
    </row>
    <row r="30" spans="1:11" x14ac:dyDescent="0.45">
      <c r="A30" s="1" t="s">
        <v>210</v>
      </c>
      <c r="B30" s="1">
        <v>29</v>
      </c>
      <c r="C30" s="12" t="s">
        <v>211</v>
      </c>
      <c r="D30" s="1" t="s">
        <v>212</v>
      </c>
      <c r="E30" s="1">
        <v>16</v>
      </c>
      <c r="F30" s="1" t="s">
        <v>29</v>
      </c>
      <c r="G30" s="1" t="b">
        <v>1</v>
      </c>
      <c r="H30" s="1" t="s">
        <v>213</v>
      </c>
      <c r="I30" s="1" t="s">
        <v>139</v>
      </c>
      <c r="J30" s="1" t="s">
        <v>214</v>
      </c>
      <c r="K30" s="3">
        <v>44965</v>
      </c>
    </row>
    <row r="31" spans="1:11" x14ac:dyDescent="0.45">
      <c r="A31" s="1" t="s">
        <v>235</v>
      </c>
      <c r="B31" s="1">
        <v>30</v>
      </c>
      <c r="C31" s="12" t="s">
        <v>236</v>
      </c>
      <c r="D31" s="1" t="s">
        <v>237</v>
      </c>
      <c r="E31" s="1">
        <v>16</v>
      </c>
      <c r="F31" s="1" t="s">
        <v>29</v>
      </c>
      <c r="K31" s="3"/>
    </row>
    <row r="32" spans="1:11" x14ac:dyDescent="0.45">
      <c r="A32" s="1" t="s">
        <v>242</v>
      </c>
      <c r="B32" s="1">
        <v>31</v>
      </c>
      <c r="C32" s="12" t="s">
        <v>243</v>
      </c>
      <c r="D32" s="1" t="s">
        <v>244</v>
      </c>
      <c r="E32" s="1">
        <v>20</v>
      </c>
      <c r="F32" s="1" t="s">
        <v>29</v>
      </c>
      <c r="I32" s="1" t="s">
        <v>139</v>
      </c>
      <c r="K32" s="3">
        <v>45022</v>
      </c>
    </row>
    <row r="33" spans="1:11" x14ac:dyDescent="0.45">
      <c r="A33" s="1" t="s">
        <v>262</v>
      </c>
      <c r="B33" s="1">
        <v>32</v>
      </c>
      <c r="C33" s="12" t="s">
        <v>263</v>
      </c>
      <c r="D33" s="1" t="s">
        <v>264</v>
      </c>
      <c r="E33" s="1">
        <v>20</v>
      </c>
      <c r="F33" s="1" t="s">
        <v>29</v>
      </c>
      <c r="I33" s="1" t="s">
        <v>139</v>
      </c>
      <c r="K33" s="3">
        <v>45195</v>
      </c>
    </row>
    <row r="34" spans="1:11" x14ac:dyDescent="0.45">
      <c r="A34" s="1" t="s">
        <v>265</v>
      </c>
      <c r="B34" s="1">
        <v>33</v>
      </c>
      <c r="C34" s="12" t="s">
        <v>266</v>
      </c>
      <c r="D34" s="1" t="s">
        <v>267</v>
      </c>
      <c r="E34" s="1">
        <v>16</v>
      </c>
      <c r="F34" s="1" t="s">
        <v>29</v>
      </c>
      <c r="I34" s="1" t="s">
        <v>139</v>
      </c>
      <c r="K34" s="3">
        <v>45195</v>
      </c>
    </row>
    <row r="35" spans="1:11" x14ac:dyDescent="0.45">
      <c r="A35" s="1" t="s">
        <v>268</v>
      </c>
      <c r="B35" s="1">
        <v>34</v>
      </c>
      <c r="C35" s="12" t="s">
        <v>269</v>
      </c>
      <c r="D35" s="1" t="s">
        <v>270</v>
      </c>
      <c r="E35" s="1">
        <v>16</v>
      </c>
      <c r="F35" s="1" t="s">
        <v>29</v>
      </c>
      <c r="I35" s="1" t="s">
        <v>139</v>
      </c>
      <c r="K35" s="3">
        <v>45195</v>
      </c>
    </row>
    <row r="36" spans="1:11" x14ac:dyDescent="0.45">
      <c r="A36" s="1" t="s">
        <v>271</v>
      </c>
      <c r="B36" s="1">
        <v>35</v>
      </c>
      <c r="C36" s="12" t="s">
        <v>272</v>
      </c>
      <c r="D36" s="1" t="s">
        <v>273</v>
      </c>
      <c r="E36" s="1">
        <v>16</v>
      </c>
      <c r="F36" s="1" t="s">
        <v>29</v>
      </c>
      <c r="I36" s="1" t="s">
        <v>139</v>
      </c>
      <c r="K36" s="3">
        <v>45195</v>
      </c>
    </row>
    <row r="37" spans="1:11" x14ac:dyDescent="0.45">
      <c r="A37" s="1" t="s">
        <v>281</v>
      </c>
      <c r="B37" s="1">
        <v>36</v>
      </c>
      <c r="C37" s="12" t="s">
        <v>282</v>
      </c>
      <c r="D37" s="1" t="s">
        <v>283</v>
      </c>
      <c r="E37" s="1">
        <v>20</v>
      </c>
      <c r="F37" s="1" t="s">
        <v>29</v>
      </c>
      <c r="H37" s="1" t="s">
        <v>284</v>
      </c>
      <c r="I37" s="1" t="s">
        <v>139</v>
      </c>
      <c r="K37" s="3">
        <v>45195</v>
      </c>
    </row>
    <row r="38" spans="1:11" x14ac:dyDescent="0.45">
      <c r="A38" s="1" t="s">
        <v>285</v>
      </c>
      <c r="B38" s="1">
        <v>37</v>
      </c>
      <c r="C38" s="12" t="s">
        <v>286</v>
      </c>
      <c r="D38" s="1" t="s">
        <v>287</v>
      </c>
      <c r="E38" s="1">
        <v>18</v>
      </c>
      <c r="F38" s="1" t="s">
        <v>29</v>
      </c>
      <c r="K38" s="3">
        <v>45195</v>
      </c>
    </row>
    <row r="39" spans="1:11" x14ac:dyDescent="0.45">
      <c r="A39" s="1" t="s">
        <v>403</v>
      </c>
      <c r="B39" s="1">
        <v>38</v>
      </c>
      <c r="C39" s="12" t="s">
        <v>404</v>
      </c>
      <c r="D39" s="1" t="s">
        <v>405</v>
      </c>
      <c r="E39" s="1">
        <v>18</v>
      </c>
      <c r="F39" s="1" t="s">
        <v>29</v>
      </c>
      <c r="K39" s="3"/>
    </row>
    <row r="40" spans="1:11" x14ac:dyDescent="0.45">
      <c r="A40" s="1" t="s">
        <v>406</v>
      </c>
      <c r="B40" s="1">
        <v>39</v>
      </c>
      <c r="C40" s="12" t="s">
        <v>407</v>
      </c>
      <c r="D40" s="1" t="s">
        <v>420</v>
      </c>
      <c r="E40" s="1">
        <v>19</v>
      </c>
      <c r="F40" s="1" t="s">
        <v>29</v>
      </c>
      <c r="K40" s="3"/>
    </row>
    <row r="41" spans="1:11" x14ac:dyDescent="0.45">
      <c r="A41" s="1" t="s">
        <v>413</v>
      </c>
      <c r="B41" s="1">
        <v>40</v>
      </c>
      <c r="C41" s="12" t="s">
        <v>519</v>
      </c>
      <c r="D41" s="1" t="s">
        <v>414</v>
      </c>
      <c r="E41" s="1">
        <v>18</v>
      </c>
      <c r="F41" s="1" t="s">
        <v>29</v>
      </c>
      <c r="I41" s="1" t="s">
        <v>139</v>
      </c>
      <c r="J41" s="1" t="s">
        <v>415</v>
      </c>
      <c r="K41" s="3">
        <v>45239</v>
      </c>
    </row>
    <row r="42" spans="1:11" x14ac:dyDescent="0.45">
      <c r="A42" s="1" t="s">
        <v>421</v>
      </c>
      <c r="B42" s="1">
        <v>41</v>
      </c>
      <c r="C42" s="12" t="s">
        <v>109</v>
      </c>
      <c r="D42" s="1" t="s">
        <v>422</v>
      </c>
      <c r="E42" s="1">
        <v>16</v>
      </c>
      <c r="F42" s="1" t="s">
        <v>29</v>
      </c>
      <c r="K42" s="3"/>
    </row>
    <row r="43" spans="1:11" x14ac:dyDescent="0.45">
      <c r="A43" s="1" t="s">
        <v>423</v>
      </c>
      <c r="B43" s="1">
        <v>42</v>
      </c>
      <c r="C43" s="12" t="s">
        <v>110</v>
      </c>
      <c r="D43" s="1" t="s">
        <v>424</v>
      </c>
      <c r="E43" s="1">
        <v>16</v>
      </c>
      <c r="F43" s="1" t="s">
        <v>29</v>
      </c>
      <c r="K43" s="3"/>
    </row>
    <row r="44" spans="1:11" x14ac:dyDescent="0.45">
      <c r="A44" s="1" t="s">
        <v>425</v>
      </c>
      <c r="B44" s="1">
        <v>43</v>
      </c>
      <c r="C44" s="12" t="s">
        <v>8</v>
      </c>
      <c r="D44" s="1" t="s">
        <v>190</v>
      </c>
      <c r="E44" s="1">
        <v>16</v>
      </c>
      <c r="F44" s="1" t="s">
        <v>29</v>
      </c>
      <c r="K44" s="3"/>
    </row>
    <row r="45" spans="1:11" x14ac:dyDescent="0.45">
      <c r="A45" s="1" t="s">
        <v>426</v>
      </c>
      <c r="B45" s="1">
        <v>44</v>
      </c>
      <c r="C45" s="12" t="s">
        <v>111</v>
      </c>
      <c r="D45" s="1" t="s">
        <v>427</v>
      </c>
      <c r="E45" s="1">
        <v>17</v>
      </c>
      <c r="F45" s="1" t="s">
        <v>29</v>
      </c>
      <c r="K45" s="3"/>
    </row>
    <row r="46" spans="1:11" x14ac:dyDescent="0.45">
      <c r="A46" s="1" t="s">
        <v>428</v>
      </c>
      <c r="B46" s="1">
        <v>45</v>
      </c>
      <c r="C46" s="12" t="s">
        <v>112</v>
      </c>
      <c r="D46" s="1" t="s">
        <v>429</v>
      </c>
      <c r="E46" s="1">
        <v>16</v>
      </c>
      <c r="F46" s="1" t="s">
        <v>29</v>
      </c>
      <c r="K46" s="3"/>
    </row>
    <row r="47" spans="1:11" x14ac:dyDescent="0.45">
      <c r="A47" s="1" t="s">
        <v>430</v>
      </c>
      <c r="B47" s="1">
        <v>46</v>
      </c>
      <c r="C47" s="12" t="s">
        <v>114</v>
      </c>
      <c r="D47" s="1" t="s">
        <v>431</v>
      </c>
      <c r="E47" s="1">
        <v>15</v>
      </c>
      <c r="F47" s="1" t="s">
        <v>29</v>
      </c>
      <c r="K47" s="3"/>
    </row>
    <row r="48" spans="1:11" x14ac:dyDescent="0.45">
      <c r="A48" s="1" t="s">
        <v>432</v>
      </c>
      <c r="B48" s="1">
        <v>47</v>
      </c>
      <c r="C48" s="12" t="s">
        <v>117</v>
      </c>
      <c r="D48" s="1" t="s">
        <v>433</v>
      </c>
      <c r="E48" s="1">
        <v>14</v>
      </c>
      <c r="F48" s="1" t="s">
        <v>29</v>
      </c>
      <c r="K48" s="3"/>
    </row>
    <row r="49" spans="1:11" x14ac:dyDescent="0.45">
      <c r="A49" s="1" t="s">
        <v>434</v>
      </c>
      <c r="B49" s="1">
        <v>48</v>
      </c>
      <c r="C49" s="12" t="s">
        <v>118</v>
      </c>
      <c r="D49" s="1" t="s">
        <v>435</v>
      </c>
      <c r="E49" s="1">
        <v>16</v>
      </c>
      <c r="F49" s="1" t="s">
        <v>29</v>
      </c>
      <c r="K49" s="3"/>
    </row>
    <row r="50" spans="1:11" x14ac:dyDescent="0.45">
      <c r="A50" s="1" t="s">
        <v>436</v>
      </c>
      <c r="B50" s="1">
        <v>49</v>
      </c>
      <c r="C50" s="12" t="s">
        <v>120</v>
      </c>
      <c r="D50" s="1" t="s">
        <v>437</v>
      </c>
      <c r="E50" s="1">
        <v>13</v>
      </c>
      <c r="F50" s="1" t="s">
        <v>29</v>
      </c>
      <c r="K50" s="3"/>
    </row>
    <row r="51" spans="1:11" x14ac:dyDescent="0.45">
      <c r="A51" s="1" t="s">
        <v>438</v>
      </c>
      <c r="B51" s="1">
        <v>50</v>
      </c>
      <c r="C51" s="12" t="s">
        <v>128</v>
      </c>
      <c r="D51" s="1" t="s">
        <v>439</v>
      </c>
      <c r="E51" s="1">
        <v>16</v>
      </c>
      <c r="F51" s="1" t="s">
        <v>29</v>
      </c>
      <c r="K51" s="3"/>
    </row>
    <row r="52" spans="1:11" x14ac:dyDescent="0.45">
      <c r="A52" s="1" t="s">
        <v>440</v>
      </c>
      <c r="B52" s="1">
        <v>51</v>
      </c>
      <c r="C52" s="12" t="s">
        <v>132</v>
      </c>
      <c r="D52" s="1" t="s">
        <v>441</v>
      </c>
      <c r="E52" s="1">
        <v>14</v>
      </c>
      <c r="F52" s="1" t="s">
        <v>29</v>
      </c>
      <c r="K52" s="3"/>
    </row>
    <row r="53" spans="1:11" x14ac:dyDescent="0.45">
      <c r="A53" s="1" t="s">
        <v>442</v>
      </c>
      <c r="B53" s="1">
        <v>52</v>
      </c>
      <c r="C53" s="12" t="s">
        <v>133</v>
      </c>
      <c r="D53" s="1" t="s">
        <v>443</v>
      </c>
      <c r="E53" s="1">
        <v>14</v>
      </c>
      <c r="F53" s="1" t="s">
        <v>29</v>
      </c>
      <c r="K53" s="3"/>
    </row>
    <row r="54" spans="1:11" x14ac:dyDescent="0.45">
      <c r="A54" s="1" t="s">
        <v>444</v>
      </c>
      <c r="B54" s="1">
        <v>53</v>
      </c>
      <c r="C54" s="12" t="s">
        <v>445</v>
      </c>
      <c r="D54" s="1" t="s">
        <v>446</v>
      </c>
      <c r="E54" s="1">
        <v>16</v>
      </c>
      <c r="F54" s="1" t="s">
        <v>29</v>
      </c>
      <c r="K54" s="3"/>
    </row>
    <row r="55" spans="1:11" x14ac:dyDescent="0.45">
      <c r="A55" s="1" t="s">
        <v>447</v>
      </c>
      <c r="B55" s="1">
        <v>54</v>
      </c>
      <c r="C55" s="12" t="s">
        <v>240</v>
      </c>
      <c r="D55" s="1" t="s">
        <v>448</v>
      </c>
      <c r="E55" s="1">
        <v>16</v>
      </c>
      <c r="F55" s="1" t="s">
        <v>29</v>
      </c>
      <c r="K55" s="3"/>
    </row>
    <row r="56" spans="1:11" x14ac:dyDescent="0.45">
      <c r="A56" s="1" t="s">
        <v>449</v>
      </c>
      <c r="B56" s="1">
        <v>55</v>
      </c>
      <c r="C56" s="12" t="s">
        <v>450</v>
      </c>
      <c r="D56" s="1" t="s">
        <v>451</v>
      </c>
      <c r="E56" s="1">
        <v>20</v>
      </c>
      <c r="F56" s="1" t="s">
        <v>29</v>
      </c>
      <c r="K56" s="3"/>
    </row>
    <row r="57" spans="1:11" x14ac:dyDescent="0.45">
      <c r="A57" s="1" t="s">
        <v>452</v>
      </c>
      <c r="B57" s="1">
        <v>56</v>
      </c>
      <c r="C57" s="12" t="s">
        <v>258</v>
      </c>
      <c r="D57" s="1" t="s">
        <v>453</v>
      </c>
      <c r="E57" s="1">
        <v>18</v>
      </c>
      <c r="F57" s="1" t="s">
        <v>29</v>
      </c>
      <c r="K57" s="3"/>
    </row>
    <row r="58" spans="1:11" x14ac:dyDescent="0.45">
      <c r="A58" s="1" t="s">
        <v>454</v>
      </c>
      <c r="B58" s="1">
        <v>57</v>
      </c>
      <c r="C58" s="12" t="s">
        <v>260</v>
      </c>
      <c r="D58" s="1" t="s">
        <v>455</v>
      </c>
      <c r="E58" s="1">
        <v>18</v>
      </c>
      <c r="F58" s="1" t="s">
        <v>29</v>
      </c>
      <c r="K58" s="3"/>
    </row>
    <row r="59" spans="1:11" x14ac:dyDescent="0.45">
      <c r="A59" s="1" t="s">
        <v>456</v>
      </c>
      <c r="B59" s="1">
        <v>58</v>
      </c>
      <c r="C59" s="12" t="s">
        <v>3889</v>
      </c>
      <c r="D59" s="1" t="s">
        <v>457</v>
      </c>
      <c r="E59" s="1">
        <v>20</v>
      </c>
      <c r="F59" s="1" t="s">
        <v>29</v>
      </c>
      <c r="K59" s="3"/>
    </row>
    <row r="60" spans="1:11" x14ac:dyDescent="0.45">
      <c r="A60" s="1" t="s">
        <v>462</v>
      </c>
      <c r="B60" s="1">
        <v>59</v>
      </c>
      <c r="C60" s="12" t="s">
        <v>463</v>
      </c>
      <c r="D60" s="1" t="s">
        <v>464</v>
      </c>
      <c r="E60" s="1">
        <v>16</v>
      </c>
      <c r="F60" s="1" t="s">
        <v>29</v>
      </c>
      <c r="K60" s="3"/>
    </row>
    <row r="61" spans="1:11" x14ac:dyDescent="0.45">
      <c r="A61" s="1" t="s">
        <v>465</v>
      </c>
      <c r="B61" s="1">
        <v>60</v>
      </c>
      <c r="C61" s="12" t="s">
        <v>466</v>
      </c>
      <c r="D61" s="1" t="s">
        <v>467</v>
      </c>
      <c r="E61" s="1">
        <v>16</v>
      </c>
      <c r="F61" s="1" t="s">
        <v>29</v>
      </c>
      <c r="K61" s="3"/>
    </row>
    <row r="62" spans="1:11" x14ac:dyDescent="0.45">
      <c r="A62" s="1" t="s">
        <v>482</v>
      </c>
      <c r="B62" s="1">
        <v>61</v>
      </c>
      <c r="C62" s="12" t="s">
        <v>483</v>
      </c>
      <c r="D62" s="1" t="s">
        <v>484</v>
      </c>
      <c r="E62" s="1">
        <v>18</v>
      </c>
      <c r="F62" s="1" t="s">
        <v>29</v>
      </c>
      <c r="K62" s="3"/>
    </row>
    <row r="63" spans="1:11" x14ac:dyDescent="0.45">
      <c r="A63" s="1" t="s">
        <v>485</v>
      </c>
      <c r="B63" s="1">
        <v>62</v>
      </c>
      <c r="C63" s="12" t="s">
        <v>486</v>
      </c>
      <c r="D63" s="1" t="s">
        <v>487</v>
      </c>
      <c r="E63" s="1">
        <v>18</v>
      </c>
      <c r="F63" s="1" t="s">
        <v>29</v>
      </c>
      <c r="K63" s="3"/>
    </row>
    <row r="64" spans="1:11" x14ac:dyDescent="0.45">
      <c r="A64" s="1" t="s">
        <v>498</v>
      </c>
      <c r="B64" s="1">
        <v>63</v>
      </c>
      <c r="C64" s="12" t="s">
        <v>499</v>
      </c>
      <c r="D64" s="1" t="s">
        <v>500</v>
      </c>
      <c r="E64" s="1">
        <v>18</v>
      </c>
      <c r="F64" s="1" t="s">
        <v>29</v>
      </c>
      <c r="K64" s="3"/>
    </row>
    <row r="65" spans="1:11" x14ac:dyDescent="0.45">
      <c r="A65" s="1" t="s">
        <v>502</v>
      </c>
      <c r="B65" s="1">
        <v>64</v>
      </c>
      <c r="C65" s="12" t="s">
        <v>503</v>
      </c>
      <c r="D65" s="1" t="s">
        <v>504</v>
      </c>
      <c r="E65" s="1">
        <v>16</v>
      </c>
      <c r="F65" s="1" t="s">
        <v>29</v>
      </c>
      <c r="H65" s="1" t="s">
        <v>505</v>
      </c>
      <c r="K65" s="3"/>
    </row>
    <row r="66" spans="1:11" x14ac:dyDescent="0.45">
      <c r="A66" s="1" t="s">
        <v>506</v>
      </c>
      <c r="B66" s="1">
        <v>65</v>
      </c>
      <c r="C66" s="12" t="s">
        <v>507</v>
      </c>
      <c r="D66" s="1" t="s">
        <v>508</v>
      </c>
      <c r="E66" s="1">
        <v>16</v>
      </c>
      <c r="F66" s="1" t="s">
        <v>29</v>
      </c>
      <c r="H66" s="1" t="s">
        <v>505</v>
      </c>
      <c r="K66" s="3"/>
    </row>
    <row r="67" spans="1:11" x14ac:dyDescent="0.45">
      <c r="A67" s="1" t="s">
        <v>511</v>
      </c>
      <c r="B67" s="1">
        <v>66</v>
      </c>
      <c r="C67" s="12" t="s">
        <v>512</v>
      </c>
      <c r="D67" s="1" t="s">
        <v>515</v>
      </c>
      <c r="E67" s="1">
        <v>20</v>
      </c>
      <c r="F67" s="1" t="s">
        <v>29</v>
      </c>
      <c r="K67" s="3"/>
    </row>
    <row r="68" spans="1:11" x14ac:dyDescent="0.45">
      <c r="A68" s="1" t="s">
        <v>513</v>
      </c>
      <c r="B68" s="1">
        <v>67</v>
      </c>
      <c r="C68" s="12" t="s">
        <v>514</v>
      </c>
      <c r="D68" s="1" t="s">
        <v>516</v>
      </c>
      <c r="E68" s="1">
        <v>20</v>
      </c>
      <c r="F68" s="1" t="s">
        <v>29</v>
      </c>
      <c r="K68" s="3"/>
    </row>
    <row r="69" spans="1:11" x14ac:dyDescent="0.45">
      <c r="A69" s="1" t="s">
        <v>535</v>
      </c>
      <c r="B69" s="1">
        <v>68</v>
      </c>
      <c r="C69" s="12" t="s">
        <v>536</v>
      </c>
      <c r="D69" s="1" t="s">
        <v>537</v>
      </c>
      <c r="E69" s="1">
        <v>16</v>
      </c>
      <c r="F69" s="1" t="s">
        <v>29</v>
      </c>
      <c r="K69" s="3"/>
    </row>
    <row r="70" spans="1:11" x14ac:dyDescent="0.45">
      <c r="A70" s="1" t="s">
        <v>538</v>
      </c>
      <c r="B70" s="1">
        <v>69</v>
      </c>
      <c r="C70" s="12" t="s">
        <v>539</v>
      </c>
      <c r="D70" s="1" t="s">
        <v>540</v>
      </c>
      <c r="E70" s="1">
        <v>16</v>
      </c>
      <c r="F70" s="1" t="s">
        <v>29</v>
      </c>
      <c r="K70" s="3"/>
    </row>
    <row r="71" spans="1:11" x14ac:dyDescent="0.45">
      <c r="A71" s="1" t="s">
        <v>541</v>
      </c>
      <c r="B71" s="1">
        <v>70</v>
      </c>
      <c r="C71" s="12" t="s">
        <v>542</v>
      </c>
      <c r="D71" s="1" t="s">
        <v>543</v>
      </c>
      <c r="E71" s="1">
        <v>16</v>
      </c>
      <c r="F71" s="1" t="s">
        <v>29</v>
      </c>
      <c r="K71" s="3"/>
    </row>
    <row r="72" spans="1:11" x14ac:dyDescent="0.45">
      <c r="A72" s="1" t="s">
        <v>544</v>
      </c>
      <c r="B72" s="1">
        <v>71</v>
      </c>
      <c r="C72" s="12" t="s">
        <v>545</v>
      </c>
      <c r="D72" s="1" t="s">
        <v>546</v>
      </c>
      <c r="E72" s="1">
        <v>16</v>
      </c>
      <c r="F72" s="1" t="s">
        <v>29</v>
      </c>
      <c r="K72" s="3"/>
    </row>
    <row r="73" spans="1:11" x14ac:dyDescent="0.45">
      <c r="A73" s="1" t="s">
        <v>547</v>
      </c>
      <c r="B73" s="1">
        <v>72</v>
      </c>
      <c r="C73" s="12" t="s">
        <v>548</v>
      </c>
      <c r="D73" s="1" t="s">
        <v>549</v>
      </c>
      <c r="E73" s="1">
        <v>16</v>
      </c>
      <c r="F73" s="1" t="s">
        <v>29</v>
      </c>
      <c r="K73" s="3"/>
    </row>
    <row r="74" spans="1:11" x14ac:dyDescent="0.45">
      <c r="A74" s="1" t="s">
        <v>550</v>
      </c>
      <c r="B74" s="1">
        <v>73</v>
      </c>
      <c r="C74" s="12" t="s">
        <v>551</v>
      </c>
      <c r="D74" s="1" t="s">
        <v>552</v>
      </c>
      <c r="E74" s="1">
        <v>16</v>
      </c>
      <c r="F74" s="1" t="s">
        <v>29</v>
      </c>
      <c r="K74" s="3"/>
    </row>
    <row r="75" spans="1:11" x14ac:dyDescent="0.45">
      <c r="A75" s="1" t="s">
        <v>553</v>
      </c>
      <c r="B75" s="1">
        <v>74</v>
      </c>
      <c r="C75" s="12" t="s">
        <v>554</v>
      </c>
      <c r="D75" s="1" t="s">
        <v>555</v>
      </c>
      <c r="E75" s="1">
        <v>16</v>
      </c>
      <c r="F75" s="1" t="s">
        <v>29</v>
      </c>
      <c r="K75" s="3"/>
    </row>
    <row r="76" spans="1:11" x14ac:dyDescent="0.45">
      <c r="A76" s="1" t="s">
        <v>556</v>
      </c>
      <c r="B76" s="1">
        <v>75</v>
      </c>
      <c r="C76" s="12" t="s">
        <v>557</v>
      </c>
      <c r="D76" s="1" t="s">
        <v>558</v>
      </c>
      <c r="E76" s="1">
        <v>16</v>
      </c>
      <c r="F76" s="1" t="s">
        <v>29</v>
      </c>
      <c r="K76" s="3"/>
    </row>
    <row r="77" spans="1:11" x14ac:dyDescent="0.45">
      <c r="A77" s="1" t="s">
        <v>559</v>
      </c>
      <c r="B77" s="1">
        <v>76</v>
      </c>
      <c r="C77" s="12" t="s">
        <v>560</v>
      </c>
      <c r="D77" s="1" t="s">
        <v>561</v>
      </c>
      <c r="E77" s="1">
        <v>16</v>
      </c>
      <c r="F77" s="1" t="s">
        <v>29</v>
      </c>
      <c r="K77" s="3"/>
    </row>
    <row r="78" spans="1:11" x14ac:dyDescent="0.45">
      <c r="A78" s="1" t="s">
        <v>562</v>
      </c>
      <c r="B78" s="1">
        <v>77</v>
      </c>
      <c r="C78" s="12" t="s">
        <v>563</v>
      </c>
      <c r="D78" s="1" t="s">
        <v>564</v>
      </c>
      <c r="E78" s="1">
        <v>16</v>
      </c>
      <c r="F78" s="1" t="s">
        <v>29</v>
      </c>
      <c r="K78" s="3"/>
    </row>
    <row r="79" spans="1:11" x14ac:dyDescent="0.45">
      <c r="A79" s="1" t="s">
        <v>565</v>
      </c>
      <c r="B79" s="1">
        <v>78</v>
      </c>
      <c r="C79" s="12" t="s">
        <v>566</v>
      </c>
      <c r="D79" s="1" t="s">
        <v>567</v>
      </c>
      <c r="E79" s="1">
        <v>16</v>
      </c>
      <c r="F79" s="1" t="s">
        <v>29</v>
      </c>
      <c r="K79" s="3"/>
    </row>
    <row r="80" spans="1:11" x14ac:dyDescent="0.45">
      <c r="A80" s="1" t="s">
        <v>568</v>
      </c>
      <c r="B80" s="1">
        <v>79</v>
      </c>
      <c r="C80" s="12" t="s">
        <v>569</v>
      </c>
      <c r="D80" s="1" t="s">
        <v>570</v>
      </c>
      <c r="E80" s="1">
        <v>16</v>
      </c>
      <c r="F80" s="1" t="s">
        <v>29</v>
      </c>
      <c r="K80" s="3"/>
    </row>
    <row r="81" spans="1:11" x14ac:dyDescent="0.45">
      <c r="A81" s="1" t="s">
        <v>571</v>
      </c>
      <c r="B81" s="1">
        <v>80</v>
      </c>
      <c r="C81" s="12" t="s">
        <v>572</v>
      </c>
      <c r="D81" s="1" t="s">
        <v>573</v>
      </c>
      <c r="E81" s="1">
        <v>16</v>
      </c>
      <c r="F81" s="1" t="s">
        <v>29</v>
      </c>
      <c r="K81" s="3"/>
    </row>
    <row r="82" spans="1:11" x14ac:dyDescent="0.45">
      <c r="A82" s="1" t="s">
        <v>574</v>
      </c>
      <c r="B82" s="1">
        <v>81</v>
      </c>
      <c r="C82" s="12" t="s">
        <v>575</v>
      </c>
      <c r="D82" s="1" t="s">
        <v>576</v>
      </c>
      <c r="E82" s="1">
        <v>16</v>
      </c>
      <c r="F82" s="1" t="s">
        <v>29</v>
      </c>
      <c r="K82" s="3"/>
    </row>
    <row r="83" spans="1:11" x14ac:dyDescent="0.45">
      <c r="A83" s="1" t="s">
        <v>577</v>
      </c>
      <c r="B83" s="1">
        <v>82</v>
      </c>
      <c r="C83" s="12" t="s">
        <v>578</v>
      </c>
      <c r="D83" s="1" t="s">
        <v>579</v>
      </c>
      <c r="E83" s="1">
        <v>16</v>
      </c>
      <c r="F83" s="1" t="s">
        <v>29</v>
      </c>
      <c r="K83" s="3"/>
    </row>
    <row r="84" spans="1:11" x14ac:dyDescent="0.45">
      <c r="A84" s="1" t="s">
        <v>580</v>
      </c>
      <c r="B84" s="1">
        <v>83</v>
      </c>
      <c r="C84" s="12" t="s">
        <v>581</v>
      </c>
      <c r="D84" s="1" t="s">
        <v>582</v>
      </c>
      <c r="E84" s="1">
        <v>16</v>
      </c>
      <c r="F84" s="1" t="s">
        <v>29</v>
      </c>
      <c r="K84" s="3"/>
    </row>
    <row r="85" spans="1:11" x14ac:dyDescent="0.45">
      <c r="A85" s="1" t="s">
        <v>583</v>
      </c>
      <c r="B85" s="1">
        <v>84</v>
      </c>
      <c r="C85" s="12" t="s">
        <v>584</v>
      </c>
      <c r="D85" s="1" t="s">
        <v>585</v>
      </c>
      <c r="E85" s="1">
        <v>16</v>
      </c>
      <c r="F85" s="1" t="s">
        <v>29</v>
      </c>
      <c r="K85" s="3"/>
    </row>
    <row r="86" spans="1:11" x14ac:dyDescent="0.45">
      <c r="A86" s="1" t="s">
        <v>586</v>
      </c>
      <c r="B86" s="1">
        <v>85</v>
      </c>
      <c r="C86" s="12" t="s">
        <v>587</v>
      </c>
      <c r="D86" s="1" t="s">
        <v>588</v>
      </c>
      <c r="E86" s="1">
        <v>16</v>
      </c>
      <c r="F86" s="1" t="s">
        <v>29</v>
      </c>
      <c r="K86" s="3"/>
    </row>
    <row r="87" spans="1:11" x14ac:dyDescent="0.45">
      <c r="A87" s="1" t="s">
        <v>589</v>
      </c>
      <c r="B87" s="1">
        <v>86</v>
      </c>
      <c r="C87" s="12" t="s">
        <v>590</v>
      </c>
      <c r="D87" s="1" t="s">
        <v>591</v>
      </c>
      <c r="E87" s="1">
        <v>16</v>
      </c>
      <c r="F87" s="1" t="s">
        <v>29</v>
      </c>
      <c r="K87" s="3"/>
    </row>
    <row r="88" spans="1:11" x14ac:dyDescent="0.45">
      <c r="A88" s="1" t="s">
        <v>592</v>
      </c>
      <c r="B88" s="1">
        <v>87</v>
      </c>
      <c r="C88" s="12" t="s">
        <v>593</v>
      </c>
      <c r="D88" s="1" t="s">
        <v>594</v>
      </c>
      <c r="E88" s="1">
        <v>16</v>
      </c>
      <c r="F88" s="1" t="s">
        <v>29</v>
      </c>
      <c r="K88" s="3"/>
    </row>
    <row r="89" spans="1:11" x14ac:dyDescent="0.45">
      <c r="A89" s="1" t="s">
        <v>595</v>
      </c>
      <c r="B89" s="1">
        <v>88</v>
      </c>
      <c r="C89" s="12" t="s">
        <v>596</v>
      </c>
      <c r="D89" s="1" t="s">
        <v>597</v>
      </c>
      <c r="E89" s="1">
        <v>16</v>
      </c>
      <c r="F89" s="1" t="s">
        <v>29</v>
      </c>
      <c r="K89" s="3"/>
    </row>
    <row r="90" spans="1:11" x14ac:dyDescent="0.45">
      <c r="A90" s="1" t="s">
        <v>598</v>
      </c>
      <c r="B90" s="1">
        <v>89</v>
      </c>
      <c r="C90" s="12" t="s">
        <v>599</v>
      </c>
      <c r="D90" s="1" t="s">
        <v>600</v>
      </c>
      <c r="E90" s="1">
        <v>16</v>
      </c>
      <c r="F90" s="1" t="s">
        <v>29</v>
      </c>
      <c r="K90" s="3"/>
    </row>
    <row r="91" spans="1:11" x14ac:dyDescent="0.45">
      <c r="A91" s="1" t="s">
        <v>601</v>
      </c>
      <c r="B91" s="1">
        <v>90</v>
      </c>
      <c r="C91" s="12" t="s">
        <v>602</v>
      </c>
      <c r="D91" s="1" t="s">
        <v>603</v>
      </c>
      <c r="E91" s="1">
        <v>16</v>
      </c>
      <c r="F91" s="1" t="s">
        <v>29</v>
      </c>
      <c r="K91" s="3"/>
    </row>
    <row r="92" spans="1:11" x14ac:dyDescent="0.45">
      <c r="A92" s="1" t="s">
        <v>604</v>
      </c>
      <c r="B92" s="1">
        <v>91</v>
      </c>
      <c r="C92" s="12" t="s">
        <v>605</v>
      </c>
      <c r="D92" s="1" t="s">
        <v>606</v>
      </c>
      <c r="E92" s="1">
        <v>16</v>
      </c>
      <c r="F92" s="1" t="s">
        <v>29</v>
      </c>
      <c r="K92" s="3"/>
    </row>
    <row r="93" spans="1:11" x14ac:dyDescent="0.45">
      <c r="A93" s="1" t="s">
        <v>607</v>
      </c>
      <c r="B93" s="1">
        <v>92</v>
      </c>
      <c r="C93" s="12" t="s">
        <v>608</v>
      </c>
      <c r="D93" s="1" t="s">
        <v>609</v>
      </c>
      <c r="E93" s="1">
        <v>16</v>
      </c>
      <c r="F93" s="1" t="s">
        <v>29</v>
      </c>
      <c r="K93" s="3"/>
    </row>
    <row r="94" spans="1:11" x14ac:dyDescent="0.45">
      <c r="A94" s="1" t="s">
        <v>610</v>
      </c>
      <c r="B94" s="1">
        <v>93</v>
      </c>
      <c r="C94" s="12" t="s">
        <v>611</v>
      </c>
      <c r="D94" s="1" t="s">
        <v>612</v>
      </c>
      <c r="E94" s="1">
        <v>16</v>
      </c>
      <c r="F94" s="1" t="s">
        <v>29</v>
      </c>
      <c r="K94" s="3"/>
    </row>
    <row r="95" spans="1:11" x14ac:dyDescent="0.45">
      <c r="A95" s="1" t="s">
        <v>613</v>
      </c>
      <c r="B95" s="1">
        <v>94</v>
      </c>
      <c r="C95" s="12" t="s">
        <v>614</v>
      </c>
      <c r="D95" s="1" t="s">
        <v>615</v>
      </c>
      <c r="E95" s="1">
        <v>16</v>
      </c>
      <c r="F95" s="1" t="s">
        <v>29</v>
      </c>
      <c r="K95" s="3"/>
    </row>
    <row r="96" spans="1:11" x14ac:dyDescent="0.45">
      <c r="A96" s="1" t="s">
        <v>616</v>
      </c>
      <c r="B96" s="1">
        <v>95</v>
      </c>
      <c r="C96" s="12" t="s">
        <v>617</v>
      </c>
      <c r="D96" s="1" t="s">
        <v>618</v>
      </c>
      <c r="E96" s="1">
        <v>16</v>
      </c>
      <c r="F96" s="1" t="s">
        <v>29</v>
      </c>
      <c r="K96" s="3"/>
    </row>
    <row r="97" spans="1:11" x14ac:dyDescent="0.45">
      <c r="A97" s="1" t="s">
        <v>619</v>
      </c>
      <c r="B97" s="1">
        <v>96</v>
      </c>
      <c r="C97" s="12" t="s">
        <v>620</v>
      </c>
      <c r="D97" s="1" t="s">
        <v>621</v>
      </c>
      <c r="E97" s="1">
        <v>16</v>
      </c>
      <c r="F97" s="1" t="s">
        <v>29</v>
      </c>
      <c r="K97" s="3"/>
    </row>
    <row r="98" spans="1:11" x14ac:dyDescent="0.45">
      <c r="A98" s="1" t="s">
        <v>622</v>
      </c>
      <c r="B98" s="1">
        <v>97</v>
      </c>
      <c r="C98" s="12" t="s">
        <v>623</v>
      </c>
      <c r="D98" s="1" t="s">
        <v>624</v>
      </c>
      <c r="E98" s="1">
        <v>16</v>
      </c>
      <c r="F98" s="1" t="s">
        <v>29</v>
      </c>
      <c r="K98" s="3"/>
    </row>
    <row r="99" spans="1:11" x14ac:dyDescent="0.45">
      <c r="A99" s="1" t="s">
        <v>625</v>
      </c>
      <c r="B99" s="1">
        <v>98</v>
      </c>
      <c r="C99" s="12" t="s">
        <v>626</v>
      </c>
      <c r="D99" s="1" t="s">
        <v>627</v>
      </c>
      <c r="E99" s="1">
        <v>16</v>
      </c>
      <c r="F99" s="1" t="s">
        <v>29</v>
      </c>
      <c r="K99" s="3"/>
    </row>
    <row r="100" spans="1:11" x14ac:dyDescent="0.45">
      <c r="A100" s="1" t="s">
        <v>628</v>
      </c>
      <c r="B100" s="1">
        <v>99</v>
      </c>
      <c r="C100" s="12" t="s">
        <v>629</v>
      </c>
      <c r="D100" s="1" t="s">
        <v>630</v>
      </c>
      <c r="E100" s="1">
        <v>16</v>
      </c>
      <c r="F100" s="1" t="s">
        <v>29</v>
      </c>
      <c r="K100" s="3"/>
    </row>
    <row r="101" spans="1:11" x14ac:dyDescent="0.45">
      <c r="A101" s="1" t="s">
        <v>631</v>
      </c>
      <c r="B101" s="1">
        <v>100</v>
      </c>
      <c r="C101" s="12" t="s">
        <v>632</v>
      </c>
      <c r="D101" s="1" t="s">
        <v>633</v>
      </c>
      <c r="E101" s="1">
        <v>16</v>
      </c>
      <c r="F101" s="1" t="s">
        <v>29</v>
      </c>
      <c r="K101" s="3"/>
    </row>
    <row r="102" spans="1:11" x14ac:dyDescent="0.45">
      <c r="A102" s="1" t="s">
        <v>634</v>
      </c>
      <c r="B102" s="1">
        <v>101</v>
      </c>
      <c r="C102" s="12" t="s">
        <v>635</v>
      </c>
      <c r="D102" s="1" t="s">
        <v>636</v>
      </c>
      <c r="E102" s="1">
        <v>16</v>
      </c>
      <c r="F102" s="1" t="s">
        <v>29</v>
      </c>
      <c r="K102" s="3"/>
    </row>
    <row r="103" spans="1:11" x14ac:dyDescent="0.45">
      <c r="A103" s="1" t="s">
        <v>637</v>
      </c>
      <c r="B103" s="1">
        <v>102</v>
      </c>
      <c r="C103" s="12" t="s">
        <v>638</v>
      </c>
      <c r="D103" s="1" t="s">
        <v>639</v>
      </c>
      <c r="E103" s="1">
        <v>16</v>
      </c>
      <c r="F103" s="1" t="s">
        <v>29</v>
      </c>
      <c r="K103" s="3"/>
    </row>
    <row r="104" spans="1:11" x14ac:dyDescent="0.45">
      <c r="A104" s="1" t="s">
        <v>640</v>
      </c>
      <c r="B104" s="1">
        <v>103</v>
      </c>
      <c r="C104" s="12" t="s">
        <v>641</v>
      </c>
      <c r="D104" s="1" t="s">
        <v>642</v>
      </c>
      <c r="E104" s="1">
        <v>16</v>
      </c>
      <c r="F104" s="1" t="s">
        <v>29</v>
      </c>
      <c r="K104" s="3"/>
    </row>
    <row r="105" spans="1:11" x14ac:dyDescent="0.45">
      <c r="A105" s="1" t="s">
        <v>643</v>
      </c>
      <c r="B105" s="1">
        <v>104</v>
      </c>
      <c r="C105" s="12" t="s">
        <v>644</v>
      </c>
      <c r="D105" s="1" t="s">
        <v>645</v>
      </c>
      <c r="E105" s="1">
        <v>16</v>
      </c>
      <c r="F105" s="1" t="s">
        <v>29</v>
      </c>
      <c r="K105" s="3"/>
    </row>
    <row r="106" spans="1:11" x14ac:dyDescent="0.45">
      <c r="A106" s="1" t="s">
        <v>646</v>
      </c>
      <c r="B106" s="1">
        <v>105</v>
      </c>
      <c r="C106" s="12" t="s">
        <v>647</v>
      </c>
      <c r="D106" s="1" t="s">
        <v>648</v>
      </c>
      <c r="E106" s="1">
        <v>16</v>
      </c>
      <c r="F106" s="1" t="s">
        <v>29</v>
      </c>
      <c r="K106" s="3"/>
    </row>
    <row r="107" spans="1:11" x14ac:dyDescent="0.45">
      <c r="A107" s="1" t="s">
        <v>649</v>
      </c>
      <c r="B107" s="1">
        <v>106</v>
      </c>
      <c r="C107" s="12" t="s">
        <v>650</v>
      </c>
      <c r="D107" s="1" t="s">
        <v>651</v>
      </c>
      <c r="E107" s="1">
        <v>16</v>
      </c>
      <c r="F107" s="1" t="s">
        <v>29</v>
      </c>
      <c r="K107" s="3"/>
    </row>
    <row r="108" spans="1:11" x14ac:dyDescent="0.45">
      <c r="A108" s="1" t="s">
        <v>652</v>
      </c>
      <c r="B108" s="1">
        <v>107</v>
      </c>
      <c r="C108" s="12" t="s">
        <v>653</v>
      </c>
      <c r="D108" s="1" t="s">
        <v>654</v>
      </c>
      <c r="E108" s="1">
        <v>16</v>
      </c>
      <c r="F108" s="1" t="s">
        <v>29</v>
      </c>
      <c r="K108" s="3"/>
    </row>
    <row r="109" spans="1:11" x14ac:dyDescent="0.45">
      <c r="A109" s="1" t="s">
        <v>655</v>
      </c>
      <c r="B109" s="1">
        <v>108</v>
      </c>
      <c r="C109" s="12" t="s">
        <v>656</v>
      </c>
      <c r="D109" s="1" t="s">
        <v>657</v>
      </c>
      <c r="E109" s="1">
        <v>16</v>
      </c>
      <c r="F109" s="1" t="s">
        <v>29</v>
      </c>
      <c r="K109" s="3"/>
    </row>
    <row r="110" spans="1:11" x14ac:dyDescent="0.45">
      <c r="A110" s="1" t="s">
        <v>658</v>
      </c>
      <c r="B110" s="1">
        <v>109</v>
      </c>
      <c r="C110" s="12" t="s">
        <v>659</v>
      </c>
      <c r="D110" s="1" t="s">
        <v>660</v>
      </c>
      <c r="E110" s="1">
        <v>16</v>
      </c>
      <c r="F110" s="1" t="s">
        <v>29</v>
      </c>
      <c r="K110" s="3"/>
    </row>
    <row r="111" spans="1:11" x14ac:dyDescent="0.45">
      <c r="A111" s="1" t="s">
        <v>661</v>
      </c>
      <c r="B111" s="1">
        <v>110</v>
      </c>
      <c r="C111" s="12" t="s">
        <v>662</v>
      </c>
      <c r="D111" s="1" t="s">
        <v>663</v>
      </c>
      <c r="E111" s="1">
        <v>16</v>
      </c>
      <c r="F111" s="1" t="s">
        <v>29</v>
      </c>
      <c r="K111" s="3"/>
    </row>
    <row r="112" spans="1:11" x14ac:dyDescent="0.45">
      <c r="A112" s="1" t="s">
        <v>664</v>
      </c>
      <c r="B112" s="1">
        <v>111</v>
      </c>
      <c r="C112" s="12" t="s">
        <v>665</v>
      </c>
      <c r="D112" s="1" t="s">
        <v>666</v>
      </c>
      <c r="E112" s="1">
        <v>16</v>
      </c>
      <c r="F112" s="1" t="s">
        <v>29</v>
      </c>
      <c r="K112" s="3"/>
    </row>
    <row r="113" spans="1:11" x14ac:dyDescent="0.45">
      <c r="A113" s="1" t="s">
        <v>667</v>
      </c>
      <c r="B113" s="1">
        <v>112</v>
      </c>
      <c r="C113" s="12" t="s">
        <v>668</v>
      </c>
      <c r="D113" s="1" t="s">
        <v>669</v>
      </c>
      <c r="E113" s="1">
        <v>16</v>
      </c>
      <c r="F113" s="1" t="s">
        <v>29</v>
      </c>
      <c r="K113" s="3"/>
    </row>
    <row r="114" spans="1:11" x14ac:dyDescent="0.45">
      <c r="A114" s="1" t="s">
        <v>670</v>
      </c>
      <c r="B114" s="1">
        <v>113</v>
      </c>
      <c r="C114" s="12" t="s">
        <v>671</v>
      </c>
      <c r="D114" s="1" t="s">
        <v>672</v>
      </c>
      <c r="E114" s="1">
        <v>16</v>
      </c>
      <c r="F114" s="1" t="s">
        <v>29</v>
      </c>
      <c r="K114" s="3"/>
    </row>
    <row r="115" spans="1:11" x14ac:dyDescent="0.45">
      <c r="A115" s="1" t="s">
        <v>673</v>
      </c>
      <c r="B115" s="1">
        <v>114</v>
      </c>
      <c r="C115" s="12" t="s">
        <v>674</v>
      </c>
      <c r="D115" s="1" t="s">
        <v>675</v>
      </c>
      <c r="E115" s="1">
        <v>16</v>
      </c>
      <c r="F115" s="1" t="s">
        <v>29</v>
      </c>
      <c r="K115" s="3"/>
    </row>
    <row r="116" spans="1:11" x14ac:dyDescent="0.45">
      <c r="A116" s="1" t="s">
        <v>676</v>
      </c>
      <c r="B116" s="1">
        <v>115</v>
      </c>
      <c r="C116" s="12" t="s">
        <v>677</v>
      </c>
      <c r="D116" s="1" t="s">
        <v>678</v>
      </c>
      <c r="E116" s="1">
        <v>16</v>
      </c>
      <c r="F116" s="1" t="s">
        <v>29</v>
      </c>
      <c r="K116" s="3"/>
    </row>
    <row r="117" spans="1:11" x14ac:dyDescent="0.45">
      <c r="A117" s="1" t="s">
        <v>679</v>
      </c>
      <c r="B117" s="1">
        <v>116</v>
      </c>
      <c r="C117" s="12" t="s">
        <v>680</v>
      </c>
      <c r="D117" s="1" t="s">
        <v>681</v>
      </c>
      <c r="E117" s="1">
        <v>16</v>
      </c>
      <c r="F117" s="1" t="s">
        <v>29</v>
      </c>
      <c r="K117" s="3"/>
    </row>
    <row r="118" spans="1:11" x14ac:dyDescent="0.45">
      <c r="A118" s="1" t="s">
        <v>682</v>
      </c>
      <c r="B118" s="1">
        <v>117</v>
      </c>
      <c r="C118" s="12" t="s">
        <v>683</v>
      </c>
      <c r="D118" s="1" t="s">
        <v>684</v>
      </c>
      <c r="E118" s="1">
        <v>16</v>
      </c>
      <c r="F118" s="1" t="s">
        <v>29</v>
      </c>
      <c r="K118" s="3"/>
    </row>
    <row r="119" spans="1:11" x14ac:dyDescent="0.45">
      <c r="A119" s="1" t="s">
        <v>685</v>
      </c>
      <c r="B119" s="1">
        <v>118</v>
      </c>
      <c r="C119" s="12" t="s">
        <v>686</v>
      </c>
      <c r="D119" s="1" t="s">
        <v>687</v>
      </c>
      <c r="E119" s="1">
        <v>16</v>
      </c>
      <c r="F119" s="1" t="s">
        <v>29</v>
      </c>
      <c r="K119" s="3"/>
    </row>
    <row r="120" spans="1:11" x14ac:dyDescent="0.45">
      <c r="A120" s="1" t="s">
        <v>688</v>
      </c>
      <c r="B120" s="1">
        <v>119</v>
      </c>
      <c r="C120" s="12" t="s">
        <v>689</v>
      </c>
      <c r="D120" s="1" t="s">
        <v>690</v>
      </c>
      <c r="E120" s="1">
        <v>16</v>
      </c>
      <c r="F120" s="1" t="s">
        <v>29</v>
      </c>
      <c r="K120" s="3"/>
    </row>
    <row r="121" spans="1:11" x14ac:dyDescent="0.45">
      <c r="A121" s="1" t="s">
        <v>691</v>
      </c>
      <c r="B121" s="1">
        <v>120</v>
      </c>
      <c r="C121" s="12" t="s">
        <v>692</v>
      </c>
      <c r="D121" s="1" t="s">
        <v>693</v>
      </c>
      <c r="E121" s="1">
        <v>16</v>
      </c>
      <c r="F121" s="1" t="s">
        <v>29</v>
      </c>
      <c r="K121" s="3"/>
    </row>
    <row r="122" spans="1:11" x14ac:dyDescent="0.45">
      <c r="A122" s="1" t="s">
        <v>694</v>
      </c>
      <c r="B122" s="1">
        <v>121</v>
      </c>
      <c r="C122" s="12" t="s">
        <v>695</v>
      </c>
      <c r="D122" s="1" t="s">
        <v>696</v>
      </c>
      <c r="E122" s="1">
        <v>16</v>
      </c>
      <c r="F122" s="1" t="s">
        <v>29</v>
      </c>
      <c r="K122" s="3"/>
    </row>
    <row r="123" spans="1:11" x14ac:dyDescent="0.45">
      <c r="A123" s="1" t="s">
        <v>697</v>
      </c>
      <c r="B123" s="1">
        <v>122</v>
      </c>
      <c r="C123" s="12" t="s">
        <v>698</v>
      </c>
      <c r="D123" s="1" t="s">
        <v>699</v>
      </c>
      <c r="E123" s="1">
        <v>16</v>
      </c>
      <c r="F123" s="1" t="s">
        <v>29</v>
      </c>
      <c r="K123" s="3"/>
    </row>
    <row r="124" spans="1:11" x14ac:dyDescent="0.45">
      <c r="A124" s="1" t="s">
        <v>700</v>
      </c>
      <c r="B124" s="1">
        <v>123</v>
      </c>
      <c r="C124" s="12" t="s">
        <v>701</v>
      </c>
      <c r="D124" s="1" t="s">
        <v>702</v>
      </c>
      <c r="E124" s="1">
        <v>16</v>
      </c>
      <c r="F124" s="1" t="s">
        <v>29</v>
      </c>
      <c r="K124" s="3"/>
    </row>
    <row r="125" spans="1:11" x14ac:dyDescent="0.45">
      <c r="A125" s="1" t="s">
        <v>703</v>
      </c>
      <c r="B125" s="1">
        <v>124</v>
      </c>
      <c r="C125" s="12" t="s">
        <v>704</v>
      </c>
      <c r="D125" s="1" t="s">
        <v>705</v>
      </c>
      <c r="E125" s="1">
        <v>16</v>
      </c>
      <c r="F125" s="1" t="s">
        <v>29</v>
      </c>
      <c r="K125" s="3"/>
    </row>
    <row r="126" spans="1:11" x14ac:dyDescent="0.45">
      <c r="A126" s="1" t="s">
        <v>706</v>
      </c>
      <c r="B126" s="1">
        <v>125</v>
      </c>
      <c r="C126" s="12" t="s">
        <v>707</v>
      </c>
      <c r="D126" s="1" t="s">
        <v>708</v>
      </c>
      <c r="E126" s="1">
        <v>16</v>
      </c>
      <c r="F126" s="1" t="s">
        <v>29</v>
      </c>
      <c r="K126" s="3"/>
    </row>
    <row r="127" spans="1:11" x14ac:dyDescent="0.45">
      <c r="A127" s="1" t="s">
        <v>709</v>
      </c>
      <c r="B127" s="1">
        <v>126</v>
      </c>
      <c r="C127" s="12" t="s">
        <v>710</v>
      </c>
      <c r="D127" s="1" t="s">
        <v>711</v>
      </c>
      <c r="E127" s="1">
        <v>16</v>
      </c>
      <c r="F127" s="1" t="s">
        <v>29</v>
      </c>
      <c r="K127" s="3"/>
    </row>
    <row r="128" spans="1:11" x14ac:dyDescent="0.45">
      <c r="A128" s="1" t="s">
        <v>712</v>
      </c>
      <c r="B128" s="1">
        <v>127</v>
      </c>
      <c r="C128" s="12" t="s">
        <v>713</v>
      </c>
      <c r="D128" s="1" t="s">
        <v>714</v>
      </c>
      <c r="E128" s="1">
        <v>16</v>
      </c>
      <c r="F128" s="1" t="s">
        <v>29</v>
      </c>
      <c r="K128" s="3"/>
    </row>
    <row r="129" spans="1:11" x14ac:dyDescent="0.45">
      <c r="A129" s="1" t="s">
        <v>715</v>
      </c>
      <c r="B129" s="1">
        <v>128</v>
      </c>
      <c r="C129" s="12" t="s">
        <v>716</v>
      </c>
      <c r="D129" s="1" t="s">
        <v>717</v>
      </c>
      <c r="E129" s="1">
        <v>16</v>
      </c>
      <c r="F129" s="1" t="s">
        <v>29</v>
      </c>
      <c r="K129" s="3"/>
    </row>
    <row r="130" spans="1:11" x14ac:dyDescent="0.45">
      <c r="A130" s="1" t="s">
        <v>718</v>
      </c>
      <c r="B130" s="1">
        <v>129</v>
      </c>
      <c r="C130" s="12" t="s">
        <v>719</v>
      </c>
      <c r="D130" s="1" t="s">
        <v>720</v>
      </c>
      <c r="E130" s="1">
        <v>16</v>
      </c>
      <c r="F130" s="1" t="s">
        <v>29</v>
      </c>
      <c r="K130" s="3"/>
    </row>
    <row r="131" spans="1:11" x14ac:dyDescent="0.45">
      <c r="A131" s="1" t="s">
        <v>721</v>
      </c>
      <c r="B131" s="1">
        <v>130</v>
      </c>
      <c r="C131" s="12" t="s">
        <v>722</v>
      </c>
      <c r="D131" s="1" t="s">
        <v>723</v>
      </c>
      <c r="E131" s="1">
        <v>16</v>
      </c>
      <c r="F131" s="1" t="s">
        <v>29</v>
      </c>
      <c r="K131" s="3"/>
    </row>
    <row r="132" spans="1:11" x14ac:dyDescent="0.45">
      <c r="A132" s="1" t="s">
        <v>724</v>
      </c>
      <c r="B132" s="1">
        <v>131</v>
      </c>
      <c r="C132" s="12" t="s">
        <v>725</v>
      </c>
      <c r="D132" s="1" t="s">
        <v>726</v>
      </c>
      <c r="E132" s="1">
        <v>16</v>
      </c>
      <c r="F132" s="1" t="s">
        <v>29</v>
      </c>
      <c r="K132" s="3"/>
    </row>
    <row r="133" spans="1:11" x14ac:dyDescent="0.45">
      <c r="A133" s="1" t="s">
        <v>727</v>
      </c>
      <c r="B133" s="1">
        <v>132</v>
      </c>
      <c r="C133" s="12" t="s">
        <v>728</v>
      </c>
      <c r="D133" s="1" t="s">
        <v>729</v>
      </c>
      <c r="E133" s="1">
        <v>16</v>
      </c>
      <c r="F133" s="1" t="s">
        <v>29</v>
      </c>
      <c r="K133" s="3"/>
    </row>
    <row r="134" spans="1:11" x14ac:dyDescent="0.45">
      <c r="A134" s="1" t="s">
        <v>730</v>
      </c>
      <c r="B134" s="1">
        <v>133</v>
      </c>
      <c r="C134" s="12" t="s">
        <v>731</v>
      </c>
      <c r="D134" s="1" t="s">
        <v>732</v>
      </c>
      <c r="E134" s="1">
        <v>16</v>
      </c>
      <c r="F134" s="1" t="s">
        <v>29</v>
      </c>
      <c r="K134" s="3"/>
    </row>
    <row r="135" spans="1:11" x14ac:dyDescent="0.45">
      <c r="A135" s="1" t="s">
        <v>733</v>
      </c>
      <c r="B135" s="1">
        <v>134</v>
      </c>
      <c r="C135" s="12" t="s">
        <v>734</v>
      </c>
      <c r="D135" s="1" t="s">
        <v>735</v>
      </c>
      <c r="E135" s="1">
        <v>16</v>
      </c>
      <c r="F135" s="1" t="s">
        <v>29</v>
      </c>
      <c r="K135" s="3"/>
    </row>
    <row r="136" spans="1:11" x14ac:dyDescent="0.45">
      <c r="A136" s="1" t="s">
        <v>736</v>
      </c>
      <c r="B136" s="1">
        <v>135</v>
      </c>
      <c r="C136" s="12" t="s">
        <v>737</v>
      </c>
      <c r="D136" s="1" t="s">
        <v>738</v>
      </c>
      <c r="E136" s="1">
        <v>16</v>
      </c>
      <c r="F136" s="1" t="s">
        <v>29</v>
      </c>
      <c r="K136" s="3"/>
    </row>
    <row r="137" spans="1:11" x14ac:dyDescent="0.45">
      <c r="A137" s="1" t="s">
        <v>739</v>
      </c>
      <c r="B137" s="1">
        <v>136</v>
      </c>
      <c r="C137" s="12" t="s">
        <v>740</v>
      </c>
      <c r="D137" s="1" t="s">
        <v>741</v>
      </c>
      <c r="E137" s="1">
        <v>16</v>
      </c>
      <c r="F137" s="1" t="s">
        <v>29</v>
      </c>
      <c r="K137" s="3"/>
    </row>
    <row r="138" spans="1:11" x14ac:dyDescent="0.45">
      <c r="A138" s="1" t="s">
        <v>742</v>
      </c>
      <c r="B138" s="1">
        <v>137</v>
      </c>
      <c r="C138" s="12" t="s">
        <v>743</v>
      </c>
      <c r="D138" s="1" t="s">
        <v>744</v>
      </c>
      <c r="E138" s="1">
        <v>16</v>
      </c>
      <c r="F138" s="1" t="s">
        <v>29</v>
      </c>
      <c r="K138" s="3"/>
    </row>
    <row r="139" spans="1:11" x14ac:dyDescent="0.45">
      <c r="A139" s="1" t="s">
        <v>745</v>
      </c>
      <c r="B139" s="1">
        <v>138</v>
      </c>
      <c r="C139" s="12" t="s">
        <v>746</v>
      </c>
      <c r="D139" s="1" t="s">
        <v>747</v>
      </c>
      <c r="E139" s="1">
        <v>16</v>
      </c>
      <c r="F139" s="1" t="s">
        <v>29</v>
      </c>
      <c r="K139" s="3"/>
    </row>
    <row r="140" spans="1:11" x14ac:dyDescent="0.45">
      <c r="A140" s="1" t="s">
        <v>748</v>
      </c>
      <c r="B140" s="1">
        <v>139</v>
      </c>
      <c r="C140" s="12" t="s">
        <v>749</v>
      </c>
      <c r="D140" s="1" t="s">
        <v>750</v>
      </c>
      <c r="E140" s="1">
        <v>16</v>
      </c>
      <c r="F140" s="1" t="s">
        <v>29</v>
      </c>
      <c r="K140" s="3"/>
    </row>
    <row r="141" spans="1:11" x14ac:dyDescent="0.45">
      <c r="A141" s="1" t="s">
        <v>751</v>
      </c>
      <c r="B141" s="1">
        <v>140</v>
      </c>
      <c r="C141" s="12" t="s">
        <v>752</v>
      </c>
      <c r="D141" s="1" t="s">
        <v>753</v>
      </c>
      <c r="E141" s="1">
        <v>16</v>
      </c>
      <c r="F141" s="1" t="s">
        <v>29</v>
      </c>
      <c r="K141" s="3"/>
    </row>
    <row r="142" spans="1:11" x14ac:dyDescent="0.45">
      <c r="A142" s="1" t="s">
        <v>754</v>
      </c>
      <c r="B142" s="1">
        <v>141</v>
      </c>
      <c r="C142" s="12" t="s">
        <v>755</v>
      </c>
      <c r="D142" s="1" t="s">
        <v>756</v>
      </c>
      <c r="E142" s="1">
        <v>16</v>
      </c>
      <c r="F142" s="1" t="s">
        <v>29</v>
      </c>
      <c r="K142" s="3"/>
    </row>
    <row r="143" spans="1:11" x14ac:dyDescent="0.45">
      <c r="A143" s="1" t="s">
        <v>757</v>
      </c>
      <c r="B143" s="1">
        <v>142</v>
      </c>
      <c r="C143" s="12" t="s">
        <v>758</v>
      </c>
      <c r="D143" s="1" t="s">
        <v>759</v>
      </c>
      <c r="E143" s="1">
        <v>16</v>
      </c>
      <c r="F143" s="1" t="s">
        <v>29</v>
      </c>
      <c r="K143" s="3"/>
    </row>
    <row r="144" spans="1:11" x14ac:dyDescent="0.45">
      <c r="A144" s="1" t="s">
        <v>760</v>
      </c>
      <c r="B144" s="1">
        <v>143</v>
      </c>
      <c r="C144" s="12" t="s">
        <v>761</v>
      </c>
      <c r="D144" s="1" t="s">
        <v>762</v>
      </c>
      <c r="E144" s="1">
        <v>16</v>
      </c>
      <c r="F144" s="1" t="s">
        <v>29</v>
      </c>
      <c r="K144" s="3"/>
    </row>
    <row r="145" spans="1:11" x14ac:dyDescent="0.45">
      <c r="A145" s="1" t="s">
        <v>763</v>
      </c>
      <c r="B145" s="1">
        <v>144</v>
      </c>
      <c r="C145" s="12" t="s">
        <v>764</v>
      </c>
      <c r="D145" s="1" t="s">
        <v>765</v>
      </c>
      <c r="E145" s="1">
        <v>16</v>
      </c>
      <c r="F145" s="1" t="s">
        <v>29</v>
      </c>
      <c r="K145" s="3"/>
    </row>
    <row r="146" spans="1:11" x14ac:dyDescent="0.45">
      <c r="A146" s="1" t="s">
        <v>766</v>
      </c>
      <c r="B146" s="1">
        <v>145</v>
      </c>
      <c r="C146" s="12" t="s">
        <v>767</v>
      </c>
      <c r="D146" s="1" t="s">
        <v>768</v>
      </c>
      <c r="E146" s="1">
        <v>16</v>
      </c>
      <c r="F146" s="1" t="s">
        <v>29</v>
      </c>
      <c r="K146" s="3"/>
    </row>
    <row r="147" spans="1:11" x14ac:dyDescent="0.45">
      <c r="A147" s="1" t="s">
        <v>769</v>
      </c>
      <c r="B147" s="1">
        <v>146</v>
      </c>
      <c r="C147" s="12" t="s">
        <v>770</v>
      </c>
      <c r="D147" s="1" t="s">
        <v>771</v>
      </c>
      <c r="E147" s="1">
        <v>16</v>
      </c>
      <c r="F147" s="1" t="s">
        <v>29</v>
      </c>
      <c r="K147" s="3"/>
    </row>
    <row r="148" spans="1:11" x14ac:dyDescent="0.45">
      <c r="A148" s="1" t="s">
        <v>772</v>
      </c>
      <c r="B148" s="1">
        <v>147</v>
      </c>
      <c r="C148" s="12" t="s">
        <v>773</v>
      </c>
      <c r="D148" s="1" t="s">
        <v>774</v>
      </c>
      <c r="E148" s="1">
        <v>16</v>
      </c>
      <c r="F148" s="1" t="s">
        <v>29</v>
      </c>
      <c r="K148" s="3"/>
    </row>
    <row r="149" spans="1:11" x14ac:dyDescent="0.45">
      <c r="A149" s="1" t="s">
        <v>775</v>
      </c>
      <c r="B149" s="1">
        <v>148</v>
      </c>
      <c r="C149" s="12" t="s">
        <v>776</v>
      </c>
      <c r="D149" s="1" t="s">
        <v>777</v>
      </c>
      <c r="E149" s="1">
        <v>16</v>
      </c>
      <c r="F149" s="1" t="s">
        <v>29</v>
      </c>
      <c r="K149" s="3"/>
    </row>
    <row r="150" spans="1:11" x14ac:dyDescent="0.45">
      <c r="A150" s="1" t="s">
        <v>778</v>
      </c>
      <c r="B150" s="1">
        <v>149</v>
      </c>
      <c r="C150" s="12" t="s">
        <v>779</v>
      </c>
      <c r="D150" s="1" t="s">
        <v>780</v>
      </c>
      <c r="E150" s="1">
        <v>16</v>
      </c>
      <c r="F150" s="1" t="s">
        <v>29</v>
      </c>
      <c r="K150" s="3"/>
    </row>
    <row r="151" spans="1:11" x14ac:dyDescent="0.45">
      <c r="A151" s="1" t="s">
        <v>781</v>
      </c>
      <c r="B151" s="1">
        <v>150</v>
      </c>
      <c r="C151" s="12" t="s">
        <v>782</v>
      </c>
      <c r="D151" s="1" t="s">
        <v>783</v>
      </c>
      <c r="E151" s="1">
        <v>16</v>
      </c>
      <c r="F151" s="1" t="s">
        <v>29</v>
      </c>
      <c r="K151" s="3"/>
    </row>
    <row r="152" spans="1:11" x14ac:dyDescent="0.45">
      <c r="A152" s="1" t="s">
        <v>784</v>
      </c>
      <c r="B152" s="1">
        <v>151</v>
      </c>
      <c r="C152" s="12" t="s">
        <v>785</v>
      </c>
      <c r="D152" s="1" t="s">
        <v>786</v>
      </c>
      <c r="E152" s="1">
        <v>16</v>
      </c>
      <c r="F152" s="1" t="s">
        <v>29</v>
      </c>
      <c r="K152" s="3"/>
    </row>
    <row r="153" spans="1:11" x14ac:dyDescent="0.45">
      <c r="A153" s="1" t="s">
        <v>787</v>
      </c>
      <c r="B153" s="1">
        <v>152</v>
      </c>
      <c r="C153" s="12" t="s">
        <v>788</v>
      </c>
      <c r="D153" s="1" t="s">
        <v>789</v>
      </c>
      <c r="E153" s="1">
        <v>16</v>
      </c>
      <c r="F153" s="1" t="s">
        <v>29</v>
      </c>
      <c r="K153" s="3"/>
    </row>
    <row r="154" spans="1:11" x14ac:dyDescent="0.45">
      <c r="A154" s="1" t="s">
        <v>790</v>
      </c>
      <c r="B154" s="1">
        <v>153</v>
      </c>
      <c r="C154" s="12" t="s">
        <v>791</v>
      </c>
      <c r="D154" s="1" t="s">
        <v>792</v>
      </c>
      <c r="E154" s="1">
        <v>16</v>
      </c>
      <c r="F154" s="1" t="s">
        <v>29</v>
      </c>
      <c r="K154" s="3"/>
    </row>
    <row r="155" spans="1:11" x14ac:dyDescent="0.45">
      <c r="A155" s="1" t="s">
        <v>793</v>
      </c>
      <c r="B155" s="1">
        <v>154</v>
      </c>
      <c r="C155" s="12" t="s">
        <v>794</v>
      </c>
      <c r="D155" s="1" t="s">
        <v>795</v>
      </c>
      <c r="E155" s="1">
        <v>16</v>
      </c>
      <c r="F155" s="1" t="s">
        <v>29</v>
      </c>
      <c r="K155" s="3"/>
    </row>
    <row r="156" spans="1:11" x14ac:dyDescent="0.45">
      <c r="A156" s="1" t="s">
        <v>796</v>
      </c>
      <c r="B156" s="1">
        <v>155</v>
      </c>
      <c r="C156" s="12" t="s">
        <v>797</v>
      </c>
      <c r="D156" s="1" t="s">
        <v>798</v>
      </c>
      <c r="E156" s="1">
        <v>16</v>
      </c>
      <c r="F156" s="1" t="s">
        <v>29</v>
      </c>
      <c r="K156" s="3"/>
    </row>
    <row r="157" spans="1:11" x14ac:dyDescent="0.45">
      <c r="A157" s="1" t="s">
        <v>799</v>
      </c>
      <c r="B157" s="1">
        <v>156</v>
      </c>
      <c r="C157" s="12" t="s">
        <v>800</v>
      </c>
      <c r="D157" s="1" t="s">
        <v>801</v>
      </c>
      <c r="E157" s="1">
        <v>16</v>
      </c>
      <c r="F157" s="1" t="s">
        <v>29</v>
      </c>
      <c r="K157" s="3"/>
    </row>
    <row r="158" spans="1:11" x14ac:dyDescent="0.45">
      <c r="A158" s="1" t="s">
        <v>802</v>
      </c>
      <c r="B158" s="1">
        <v>157</v>
      </c>
      <c r="C158" s="12" t="s">
        <v>803</v>
      </c>
      <c r="D158" s="1" t="s">
        <v>804</v>
      </c>
      <c r="E158" s="1">
        <v>16</v>
      </c>
      <c r="F158" s="1" t="s">
        <v>29</v>
      </c>
      <c r="K158" s="3"/>
    </row>
    <row r="159" spans="1:11" x14ac:dyDescent="0.45">
      <c r="A159" s="1" t="s">
        <v>805</v>
      </c>
      <c r="B159" s="1">
        <v>158</v>
      </c>
      <c r="C159" s="12" t="s">
        <v>806</v>
      </c>
      <c r="D159" s="1" t="s">
        <v>807</v>
      </c>
      <c r="E159" s="1">
        <v>16</v>
      </c>
      <c r="F159" s="1" t="s">
        <v>29</v>
      </c>
      <c r="K159" s="3"/>
    </row>
    <row r="160" spans="1:11" x14ac:dyDescent="0.45">
      <c r="A160" s="1" t="s">
        <v>808</v>
      </c>
      <c r="B160" s="1">
        <v>159</v>
      </c>
      <c r="C160" s="12" t="s">
        <v>809</v>
      </c>
      <c r="D160" s="1" t="s">
        <v>810</v>
      </c>
      <c r="E160" s="1">
        <v>16</v>
      </c>
      <c r="F160" s="1" t="s">
        <v>29</v>
      </c>
      <c r="K160" s="3"/>
    </row>
    <row r="161" spans="1:11" x14ac:dyDescent="0.45">
      <c r="A161" s="1" t="s">
        <v>811</v>
      </c>
      <c r="B161" s="1">
        <v>160</v>
      </c>
      <c r="C161" s="12" t="s">
        <v>812</v>
      </c>
      <c r="D161" s="1" t="s">
        <v>813</v>
      </c>
      <c r="E161" s="1">
        <v>16</v>
      </c>
      <c r="F161" s="1" t="s">
        <v>29</v>
      </c>
      <c r="K161" s="3"/>
    </row>
    <row r="162" spans="1:11" x14ac:dyDescent="0.45">
      <c r="A162" s="1" t="s">
        <v>814</v>
      </c>
      <c r="B162" s="1">
        <v>161</v>
      </c>
      <c r="C162" s="12" t="s">
        <v>815</v>
      </c>
      <c r="D162" s="1" t="s">
        <v>816</v>
      </c>
      <c r="E162" s="1">
        <v>16</v>
      </c>
      <c r="F162" s="1" t="s">
        <v>29</v>
      </c>
      <c r="K162" s="3"/>
    </row>
    <row r="163" spans="1:11" x14ac:dyDescent="0.45">
      <c r="A163" s="1" t="s">
        <v>817</v>
      </c>
      <c r="B163" s="1">
        <v>162</v>
      </c>
      <c r="C163" s="12" t="s">
        <v>818</v>
      </c>
      <c r="D163" s="1" t="s">
        <v>819</v>
      </c>
      <c r="E163" s="1">
        <v>16</v>
      </c>
      <c r="F163" s="1" t="s">
        <v>29</v>
      </c>
      <c r="K163" s="3"/>
    </row>
    <row r="164" spans="1:11" x14ac:dyDescent="0.45">
      <c r="A164" s="1" t="s">
        <v>820</v>
      </c>
      <c r="B164" s="1">
        <v>163</v>
      </c>
      <c r="C164" s="12" t="s">
        <v>821</v>
      </c>
      <c r="D164" s="1" t="s">
        <v>822</v>
      </c>
      <c r="E164" s="1">
        <v>16</v>
      </c>
      <c r="F164" s="1" t="s">
        <v>29</v>
      </c>
      <c r="K164" s="3"/>
    </row>
    <row r="165" spans="1:11" x14ac:dyDescent="0.45">
      <c r="A165" s="1" t="s">
        <v>823</v>
      </c>
      <c r="B165" s="1">
        <v>164</v>
      </c>
      <c r="C165" s="12" t="s">
        <v>824</v>
      </c>
      <c r="D165" s="1" t="s">
        <v>825</v>
      </c>
      <c r="E165" s="1">
        <v>16</v>
      </c>
      <c r="F165" s="1" t="s">
        <v>29</v>
      </c>
      <c r="K165" s="3"/>
    </row>
    <row r="166" spans="1:11" x14ac:dyDescent="0.45">
      <c r="A166" s="1" t="s">
        <v>826</v>
      </c>
      <c r="B166" s="1">
        <v>165</v>
      </c>
      <c r="C166" s="12" t="s">
        <v>827</v>
      </c>
      <c r="D166" s="1" t="s">
        <v>828</v>
      </c>
      <c r="E166" s="1">
        <v>16</v>
      </c>
      <c r="F166" s="1" t="s">
        <v>29</v>
      </c>
      <c r="K166" s="3"/>
    </row>
    <row r="167" spans="1:11" x14ac:dyDescent="0.45">
      <c r="A167" s="1" t="s">
        <v>829</v>
      </c>
      <c r="B167" s="1">
        <v>166</v>
      </c>
      <c r="C167" s="12" t="s">
        <v>830</v>
      </c>
      <c r="D167" s="1" t="s">
        <v>831</v>
      </c>
      <c r="E167" s="1">
        <v>16</v>
      </c>
      <c r="F167" s="1" t="s">
        <v>29</v>
      </c>
      <c r="K167" s="3"/>
    </row>
    <row r="168" spans="1:11" x14ac:dyDescent="0.45">
      <c r="A168" s="1" t="s">
        <v>832</v>
      </c>
      <c r="B168" s="1">
        <v>167</v>
      </c>
      <c r="C168" s="12" t="s">
        <v>833</v>
      </c>
      <c r="D168" s="1" t="s">
        <v>834</v>
      </c>
      <c r="E168" s="1">
        <v>16</v>
      </c>
      <c r="F168" s="1" t="s">
        <v>29</v>
      </c>
      <c r="K168" s="3"/>
    </row>
    <row r="169" spans="1:11" x14ac:dyDescent="0.45">
      <c r="A169" s="1" t="s">
        <v>835</v>
      </c>
      <c r="B169" s="1">
        <v>168</v>
      </c>
      <c r="C169" s="12" t="s">
        <v>836</v>
      </c>
      <c r="D169" s="1" t="s">
        <v>837</v>
      </c>
      <c r="E169" s="1">
        <v>16</v>
      </c>
      <c r="F169" s="1" t="s">
        <v>29</v>
      </c>
      <c r="K169" s="3"/>
    </row>
    <row r="170" spans="1:11" x14ac:dyDescent="0.45">
      <c r="A170" s="1" t="s">
        <v>838</v>
      </c>
      <c r="B170" s="1">
        <v>169</v>
      </c>
      <c r="C170" s="12" t="s">
        <v>839</v>
      </c>
      <c r="D170" s="1" t="s">
        <v>840</v>
      </c>
      <c r="E170" s="1">
        <v>16</v>
      </c>
      <c r="F170" s="1" t="s">
        <v>29</v>
      </c>
      <c r="K170" s="3"/>
    </row>
    <row r="171" spans="1:11" x14ac:dyDescent="0.45">
      <c r="A171" s="1" t="s">
        <v>841</v>
      </c>
      <c r="B171" s="1">
        <v>170</v>
      </c>
      <c r="C171" s="12" t="s">
        <v>842</v>
      </c>
      <c r="D171" s="1" t="s">
        <v>843</v>
      </c>
      <c r="E171" s="1">
        <v>16</v>
      </c>
      <c r="F171" s="1" t="s">
        <v>29</v>
      </c>
      <c r="K171" s="3"/>
    </row>
    <row r="172" spans="1:11" x14ac:dyDescent="0.45">
      <c r="A172" s="1" t="s">
        <v>844</v>
      </c>
      <c r="B172" s="1">
        <v>171</v>
      </c>
      <c r="C172" s="12" t="s">
        <v>845</v>
      </c>
      <c r="D172" s="1" t="s">
        <v>846</v>
      </c>
      <c r="E172" s="1">
        <v>16</v>
      </c>
      <c r="F172" s="1" t="s">
        <v>29</v>
      </c>
      <c r="K172" s="3"/>
    </row>
    <row r="173" spans="1:11" x14ac:dyDescent="0.45">
      <c r="A173" s="1" t="s">
        <v>847</v>
      </c>
      <c r="B173" s="1">
        <v>172</v>
      </c>
      <c r="C173" s="12" t="s">
        <v>848</v>
      </c>
      <c r="D173" s="1" t="s">
        <v>849</v>
      </c>
      <c r="E173" s="1">
        <v>16</v>
      </c>
      <c r="F173" s="1" t="s">
        <v>29</v>
      </c>
      <c r="K173" s="3"/>
    </row>
    <row r="174" spans="1:11" x14ac:dyDescent="0.45">
      <c r="A174" s="1" t="s">
        <v>850</v>
      </c>
      <c r="B174" s="1">
        <v>173</v>
      </c>
      <c r="C174" s="12" t="s">
        <v>851</v>
      </c>
      <c r="D174" s="1" t="s">
        <v>852</v>
      </c>
      <c r="E174" s="1">
        <v>16</v>
      </c>
      <c r="F174" s="1" t="s">
        <v>29</v>
      </c>
      <c r="K174" s="3"/>
    </row>
    <row r="175" spans="1:11" x14ac:dyDescent="0.45">
      <c r="A175" s="1" t="s">
        <v>853</v>
      </c>
      <c r="B175" s="1">
        <v>174</v>
      </c>
      <c r="C175" s="12" t="s">
        <v>854</v>
      </c>
      <c r="D175" s="1" t="s">
        <v>855</v>
      </c>
      <c r="E175" s="1">
        <v>16</v>
      </c>
      <c r="F175" s="1" t="s">
        <v>29</v>
      </c>
      <c r="K175" s="3"/>
    </row>
    <row r="176" spans="1:11" x14ac:dyDescent="0.45">
      <c r="A176" s="1" t="s">
        <v>856</v>
      </c>
      <c r="B176" s="1">
        <v>175</v>
      </c>
      <c r="C176" s="12" t="s">
        <v>857</v>
      </c>
      <c r="D176" s="1" t="s">
        <v>858</v>
      </c>
      <c r="E176" s="1">
        <v>16</v>
      </c>
      <c r="F176" s="1" t="s">
        <v>29</v>
      </c>
      <c r="K176" s="3"/>
    </row>
    <row r="177" spans="1:11" x14ac:dyDescent="0.45">
      <c r="A177" s="1" t="s">
        <v>859</v>
      </c>
      <c r="B177" s="1">
        <v>176</v>
      </c>
      <c r="C177" s="12" t="s">
        <v>860</v>
      </c>
      <c r="D177" s="1" t="s">
        <v>861</v>
      </c>
      <c r="E177" s="1">
        <v>16</v>
      </c>
      <c r="F177" s="1" t="s">
        <v>29</v>
      </c>
      <c r="K177" s="3"/>
    </row>
    <row r="178" spans="1:11" x14ac:dyDescent="0.45">
      <c r="A178" s="1" t="s">
        <v>862</v>
      </c>
      <c r="B178" s="1">
        <v>177</v>
      </c>
      <c r="C178" s="12" t="s">
        <v>863</v>
      </c>
      <c r="D178" s="1" t="s">
        <v>864</v>
      </c>
      <c r="E178" s="1">
        <v>16</v>
      </c>
      <c r="F178" s="1" t="s">
        <v>29</v>
      </c>
      <c r="K178" s="3"/>
    </row>
    <row r="179" spans="1:11" x14ac:dyDescent="0.45">
      <c r="A179" s="1" t="s">
        <v>865</v>
      </c>
      <c r="B179" s="1">
        <v>178</v>
      </c>
      <c r="C179" s="12" t="s">
        <v>866</v>
      </c>
      <c r="D179" s="1" t="s">
        <v>867</v>
      </c>
      <c r="E179" s="1">
        <v>16</v>
      </c>
      <c r="F179" s="1" t="s">
        <v>29</v>
      </c>
      <c r="K179" s="3"/>
    </row>
    <row r="180" spans="1:11" x14ac:dyDescent="0.45">
      <c r="A180" s="1" t="s">
        <v>868</v>
      </c>
      <c r="B180" s="1">
        <v>179</v>
      </c>
      <c r="C180" s="12" t="s">
        <v>869</v>
      </c>
      <c r="D180" s="1" t="s">
        <v>870</v>
      </c>
      <c r="E180" s="1">
        <v>16</v>
      </c>
      <c r="F180" s="1" t="s">
        <v>29</v>
      </c>
      <c r="K180" s="3"/>
    </row>
    <row r="181" spans="1:11" x14ac:dyDescent="0.45">
      <c r="A181" s="1" t="s">
        <v>871</v>
      </c>
      <c r="B181" s="1">
        <v>180</v>
      </c>
      <c r="C181" s="12" t="s">
        <v>872</v>
      </c>
      <c r="D181" s="1" t="s">
        <v>873</v>
      </c>
      <c r="E181" s="1">
        <v>16</v>
      </c>
      <c r="F181" s="1" t="s">
        <v>29</v>
      </c>
      <c r="K181" s="3"/>
    </row>
    <row r="182" spans="1:11" x14ac:dyDescent="0.45">
      <c r="A182" s="1" t="s">
        <v>874</v>
      </c>
      <c r="B182" s="1">
        <v>181</v>
      </c>
      <c r="C182" s="12" t="s">
        <v>875</v>
      </c>
      <c r="D182" s="1" t="s">
        <v>876</v>
      </c>
      <c r="E182" s="1">
        <v>16</v>
      </c>
      <c r="F182" s="1" t="s">
        <v>29</v>
      </c>
      <c r="K182" s="3"/>
    </row>
    <row r="183" spans="1:11" x14ac:dyDescent="0.45">
      <c r="A183" s="1" t="s">
        <v>877</v>
      </c>
      <c r="B183" s="1">
        <v>182</v>
      </c>
      <c r="C183" s="12" t="s">
        <v>878</v>
      </c>
      <c r="D183" s="1" t="s">
        <v>879</v>
      </c>
      <c r="E183" s="1">
        <v>16</v>
      </c>
      <c r="F183" s="1" t="s">
        <v>29</v>
      </c>
      <c r="K183" s="3"/>
    </row>
    <row r="184" spans="1:11" x14ac:dyDescent="0.45">
      <c r="A184" s="1" t="s">
        <v>880</v>
      </c>
      <c r="B184" s="1">
        <v>183</v>
      </c>
      <c r="C184" s="12" t="s">
        <v>881</v>
      </c>
      <c r="D184" s="1" t="s">
        <v>882</v>
      </c>
      <c r="E184" s="1">
        <v>16</v>
      </c>
      <c r="F184" s="1" t="s">
        <v>29</v>
      </c>
      <c r="K184" s="3"/>
    </row>
    <row r="185" spans="1:11" x14ac:dyDescent="0.45">
      <c r="A185" s="1" t="s">
        <v>883</v>
      </c>
      <c r="B185" s="1">
        <v>184</v>
      </c>
      <c r="C185" s="12" t="s">
        <v>884</v>
      </c>
      <c r="D185" s="1" t="s">
        <v>885</v>
      </c>
      <c r="E185" s="1">
        <v>16</v>
      </c>
      <c r="F185" s="1" t="s">
        <v>29</v>
      </c>
      <c r="K185" s="3"/>
    </row>
    <row r="186" spans="1:11" x14ac:dyDescent="0.45">
      <c r="A186" s="1" t="s">
        <v>886</v>
      </c>
      <c r="B186" s="1">
        <v>185</v>
      </c>
      <c r="C186" s="12" t="s">
        <v>887</v>
      </c>
      <c r="D186" s="1" t="s">
        <v>888</v>
      </c>
      <c r="E186" s="1">
        <v>16</v>
      </c>
      <c r="F186" s="1" t="s">
        <v>29</v>
      </c>
      <c r="K186" s="3"/>
    </row>
    <row r="187" spans="1:11" x14ac:dyDescent="0.45">
      <c r="A187" s="1" t="s">
        <v>889</v>
      </c>
      <c r="B187" s="1">
        <v>186</v>
      </c>
      <c r="C187" s="12" t="s">
        <v>890</v>
      </c>
      <c r="D187" s="1" t="s">
        <v>891</v>
      </c>
      <c r="E187" s="1">
        <v>16</v>
      </c>
      <c r="F187" s="1" t="s">
        <v>29</v>
      </c>
      <c r="K187" s="3"/>
    </row>
    <row r="188" spans="1:11" x14ac:dyDescent="0.45">
      <c r="A188" s="1" t="s">
        <v>892</v>
      </c>
      <c r="B188" s="1">
        <v>187</v>
      </c>
      <c r="C188" s="12" t="s">
        <v>893</v>
      </c>
      <c r="D188" s="1" t="s">
        <v>894</v>
      </c>
      <c r="E188" s="1">
        <v>16</v>
      </c>
      <c r="F188" s="1" t="s">
        <v>29</v>
      </c>
      <c r="K188" s="3"/>
    </row>
    <row r="189" spans="1:11" x14ac:dyDescent="0.45">
      <c r="A189" s="1" t="s">
        <v>895</v>
      </c>
      <c r="B189" s="1">
        <v>188</v>
      </c>
      <c r="C189" s="12" t="s">
        <v>896</v>
      </c>
      <c r="D189" s="1" t="s">
        <v>897</v>
      </c>
      <c r="E189" s="1">
        <v>16</v>
      </c>
      <c r="F189" s="1" t="s">
        <v>29</v>
      </c>
      <c r="K189" s="3"/>
    </row>
    <row r="190" spans="1:11" x14ac:dyDescent="0.45">
      <c r="A190" s="1" t="s">
        <v>898</v>
      </c>
      <c r="B190" s="1">
        <v>189</v>
      </c>
      <c r="C190" s="12" t="s">
        <v>899</v>
      </c>
      <c r="D190" s="1" t="s">
        <v>900</v>
      </c>
      <c r="E190" s="1">
        <v>16</v>
      </c>
      <c r="F190" s="1" t="s">
        <v>29</v>
      </c>
      <c r="K190" s="3"/>
    </row>
    <row r="191" spans="1:11" x14ac:dyDescent="0.45">
      <c r="A191" s="1" t="s">
        <v>901</v>
      </c>
      <c r="B191" s="1">
        <v>190</v>
      </c>
      <c r="C191" s="12" t="s">
        <v>902</v>
      </c>
      <c r="D191" s="1" t="s">
        <v>903</v>
      </c>
      <c r="E191" s="1">
        <v>16</v>
      </c>
      <c r="F191" s="1" t="s">
        <v>29</v>
      </c>
      <c r="K191" s="3"/>
    </row>
    <row r="192" spans="1:11" x14ac:dyDescent="0.45">
      <c r="A192" s="1" t="s">
        <v>904</v>
      </c>
      <c r="B192" s="1">
        <v>191</v>
      </c>
      <c r="C192" s="12" t="s">
        <v>905</v>
      </c>
      <c r="D192" s="1" t="s">
        <v>906</v>
      </c>
      <c r="E192" s="1">
        <v>16</v>
      </c>
      <c r="F192" s="1" t="s">
        <v>29</v>
      </c>
      <c r="K192" s="3"/>
    </row>
    <row r="193" spans="1:11" x14ac:dyDescent="0.45">
      <c r="A193" s="1" t="s">
        <v>907</v>
      </c>
      <c r="B193" s="1">
        <v>192</v>
      </c>
      <c r="C193" s="12" t="s">
        <v>908</v>
      </c>
      <c r="D193" s="1" t="s">
        <v>909</v>
      </c>
      <c r="E193" s="1">
        <v>16</v>
      </c>
      <c r="F193" s="1" t="s">
        <v>29</v>
      </c>
      <c r="K193" s="3"/>
    </row>
    <row r="194" spans="1:11" x14ac:dyDescent="0.45">
      <c r="A194" s="1" t="s">
        <v>910</v>
      </c>
      <c r="B194" s="1">
        <v>193</v>
      </c>
      <c r="C194" s="12" t="s">
        <v>911</v>
      </c>
      <c r="D194" s="1" t="s">
        <v>912</v>
      </c>
      <c r="E194" s="1">
        <v>16</v>
      </c>
      <c r="F194" s="1" t="s">
        <v>29</v>
      </c>
      <c r="K194" s="3"/>
    </row>
    <row r="195" spans="1:11" x14ac:dyDescent="0.45">
      <c r="A195" s="1" t="s">
        <v>913</v>
      </c>
      <c r="B195" s="1">
        <v>194</v>
      </c>
      <c r="C195" s="12" t="s">
        <v>914</v>
      </c>
      <c r="D195" s="1" t="s">
        <v>915</v>
      </c>
      <c r="E195" s="1">
        <v>16</v>
      </c>
      <c r="F195" s="1" t="s">
        <v>29</v>
      </c>
      <c r="K195" s="3"/>
    </row>
    <row r="196" spans="1:11" x14ac:dyDescent="0.45">
      <c r="A196" s="1" t="s">
        <v>916</v>
      </c>
      <c r="B196" s="1">
        <v>195</v>
      </c>
      <c r="C196" s="12" t="s">
        <v>917</v>
      </c>
      <c r="D196" s="1" t="s">
        <v>918</v>
      </c>
      <c r="E196" s="1">
        <v>16</v>
      </c>
      <c r="F196" s="1" t="s">
        <v>29</v>
      </c>
      <c r="K196" s="3"/>
    </row>
    <row r="197" spans="1:11" x14ac:dyDescent="0.45">
      <c r="A197" s="1" t="s">
        <v>919</v>
      </c>
      <c r="B197" s="1">
        <v>196</v>
      </c>
      <c r="C197" s="12" t="s">
        <v>920</v>
      </c>
      <c r="D197" s="1" t="s">
        <v>921</v>
      </c>
      <c r="E197" s="1">
        <v>16</v>
      </c>
      <c r="F197" s="1" t="s">
        <v>29</v>
      </c>
      <c r="K197" s="3"/>
    </row>
    <row r="198" spans="1:11" x14ac:dyDescent="0.45">
      <c r="A198" s="1" t="s">
        <v>922</v>
      </c>
      <c r="B198" s="1">
        <v>197</v>
      </c>
      <c r="C198" s="12" t="s">
        <v>923</v>
      </c>
      <c r="D198" s="1" t="s">
        <v>924</v>
      </c>
      <c r="E198" s="1">
        <v>16</v>
      </c>
      <c r="F198" s="1" t="s">
        <v>29</v>
      </c>
      <c r="K198" s="3"/>
    </row>
    <row r="199" spans="1:11" x14ac:dyDescent="0.45">
      <c r="A199" s="1" t="s">
        <v>925</v>
      </c>
      <c r="B199" s="1">
        <v>198</v>
      </c>
      <c r="C199" s="12" t="s">
        <v>926</v>
      </c>
      <c r="D199" s="1" t="s">
        <v>927</v>
      </c>
      <c r="E199" s="1">
        <v>16</v>
      </c>
      <c r="F199" s="1" t="s">
        <v>29</v>
      </c>
      <c r="K199" s="3"/>
    </row>
    <row r="200" spans="1:11" x14ac:dyDescent="0.45">
      <c r="A200" s="1" t="s">
        <v>928</v>
      </c>
      <c r="B200" s="1">
        <v>199</v>
      </c>
      <c r="C200" s="12" t="s">
        <v>929</v>
      </c>
      <c r="D200" s="1" t="s">
        <v>930</v>
      </c>
      <c r="E200" s="1">
        <v>16</v>
      </c>
      <c r="F200" s="1" t="s">
        <v>29</v>
      </c>
      <c r="K200" s="3"/>
    </row>
    <row r="201" spans="1:11" x14ac:dyDescent="0.45">
      <c r="A201" s="1" t="s">
        <v>931</v>
      </c>
      <c r="B201" s="1">
        <v>200</v>
      </c>
      <c r="C201" s="12" t="s">
        <v>932</v>
      </c>
      <c r="D201" s="1" t="s">
        <v>933</v>
      </c>
      <c r="E201" s="1">
        <v>16</v>
      </c>
      <c r="F201" s="1" t="s">
        <v>29</v>
      </c>
      <c r="K201" s="3"/>
    </row>
    <row r="202" spans="1:11" x14ac:dyDescent="0.45">
      <c r="A202" s="1" t="s">
        <v>934</v>
      </c>
      <c r="B202" s="1">
        <v>201</v>
      </c>
      <c r="C202" s="12" t="s">
        <v>935</v>
      </c>
      <c r="D202" s="1" t="s">
        <v>936</v>
      </c>
      <c r="E202" s="1">
        <v>16</v>
      </c>
      <c r="F202" s="1" t="s">
        <v>29</v>
      </c>
      <c r="K202" s="3"/>
    </row>
    <row r="203" spans="1:11" x14ac:dyDescent="0.45">
      <c r="A203" s="1" t="s">
        <v>937</v>
      </c>
      <c r="B203" s="1">
        <v>202</v>
      </c>
      <c r="C203" s="12" t="s">
        <v>938</v>
      </c>
      <c r="D203" s="1" t="s">
        <v>939</v>
      </c>
      <c r="E203" s="1">
        <v>16</v>
      </c>
      <c r="F203" s="1" t="s">
        <v>29</v>
      </c>
      <c r="K203" s="3"/>
    </row>
    <row r="204" spans="1:11" x14ac:dyDescent="0.45">
      <c r="A204" s="1" t="s">
        <v>940</v>
      </c>
      <c r="B204" s="1">
        <v>203</v>
      </c>
      <c r="C204" s="12" t="s">
        <v>941</v>
      </c>
      <c r="D204" s="1" t="s">
        <v>942</v>
      </c>
      <c r="E204" s="1">
        <v>16</v>
      </c>
      <c r="F204" s="1" t="s">
        <v>29</v>
      </c>
      <c r="K204" s="3"/>
    </row>
    <row r="205" spans="1:11" x14ac:dyDescent="0.45">
      <c r="A205" s="1" t="s">
        <v>943</v>
      </c>
      <c r="B205" s="1">
        <v>204</v>
      </c>
      <c r="C205" s="12" t="s">
        <v>944</v>
      </c>
      <c r="D205" s="1" t="s">
        <v>945</v>
      </c>
      <c r="E205" s="1">
        <v>16</v>
      </c>
      <c r="F205" s="1" t="s">
        <v>29</v>
      </c>
      <c r="K205" s="3"/>
    </row>
    <row r="206" spans="1:11" x14ac:dyDescent="0.45">
      <c r="A206" s="1" t="s">
        <v>946</v>
      </c>
      <c r="B206" s="1">
        <v>205</v>
      </c>
      <c r="C206" s="12" t="s">
        <v>947</v>
      </c>
      <c r="D206" s="1" t="s">
        <v>948</v>
      </c>
      <c r="E206" s="1">
        <v>16</v>
      </c>
      <c r="F206" s="1" t="s">
        <v>29</v>
      </c>
      <c r="K206" s="3"/>
    </row>
    <row r="207" spans="1:11" x14ac:dyDescent="0.45">
      <c r="A207" s="1" t="s">
        <v>949</v>
      </c>
      <c r="B207" s="1">
        <v>206</v>
      </c>
      <c r="C207" s="12" t="s">
        <v>950</v>
      </c>
      <c r="D207" s="1" t="s">
        <v>951</v>
      </c>
      <c r="E207" s="1">
        <v>16</v>
      </c>
      <c r="F207" s="1" t="s">
        <v>29</v>
      </c>
      <c r="K207" s="3"/>
    </row>
    <row r="208" spans="1:11" x14ac:dyDescent="0.45">
      <c r="A208" s="1" t="s">
        <v>952</v>
      </c>
      <c r="B208" s="1">
        <v>207</v>
      </c>
      <c r="C208" s="12" t="s">
        <v>953</v>
      </c>
      <c r="D208" s="1" t="s">
        <v>954</v>
      </c>
      <c r="E208" s="1">
        <v>16</v>
      </c>
      <c r="F208" s="1" t="s">
        <v>29</v>
      </c>
      <c r="K208" s="3"/>
    </row>
    <row r="209" spans="1:11" x14ac:dyDescent="0.45">
      <c r="A209" s="1" t="s">
        <v>955</v>
      </c>
      <c r="B209" s="1">
        <v>208</v>
      </c>
      <c r="C209" s="12" t="s">
        <v>956</v>
      </c>
      <c r="D209" s="1" t="s">
        <v>957</v>
      </c>
      <c r="E209" s="1">
        <v>16</v>
      </c>
      <c r="F209" s="1" t="s">
        <v>29</v>
      </c>
      <c r="K209" s="3"/>
    </row>
    <row r="210" spans="1:11" x14ac:dyDescent="0.45">
      <c r="A210" s="1" t="s">
        <v>958</v>
      </c>
      <c r="B210" s="1">
        <v>209</v>
      </c>
      <c r="C210" s="12" t="s">
        <v>959</v>
      </c>
      <c r="D210" s="1" t="s">
        <v>960</v>
      </c>
      <c r="E210" s="1">
        <v>16</v>
      </c>
      <c r="F210" s="1" t="s">
        <v>29</v>
      </c>
      <c r="K210" s="3"/>
    </row>
    <row r="211" spans="1:11" x14ac:dyDescent="0.45">
      <c r="A211" s="1" t="s">
        <v>961</v>
      </c>
      <c r="B211" s="1">
        <v>210</v>
      </c>
      <c r="C211" s="12" t="s">
        <v>962</v>
      </c>
      <c r="D211" s="1" t="s">
        <v>963</v>
      </c>
      <c r="E211" s="1">
        <v>16</v>
      </c>
      <c r="F211" s="1" t="s">
        <v>29</v>
      </c>
      <c r="K211" s="3"/>
    </row>
    <row r="212" spans="1:11" x14ac:dyDescent="0.45">
      <c r="A212" s="1" t="s">
        <v>964</v>
      </c>
      <c r="B212" s="1">
        <v>211</v>
      </c>
      <c r="C212" s="12" t="s">
        <v>965</v>
      </c>
      <c r="D212" s="1" t="s">
        <v>966</v>
      </c>
      <c r="E212" s="1">
        <v>16</v>
      </c>
      <c r="F212" s="1" t="s">
        <v>29</v>
      </c>
      <c r="K212" s="3"/>
    </row>
    <row r="213" spans="1:11" x14ac:dyDescent="0.45">
      <c r="A213" s="1" t="s">
        <v>967</v>
      </c>
      <c r="B213" s="1">
        <v>212</v>
      </c>
      <c r="C213" s="12" t="s">
        <v>968</v>
      </c>
      <c r="D213" s="1" t="s">
        <v>969</v>
      </c>
      <c r="E213" s="1">
        <v>16</v>
      </c>
      <c r="F213" s="1" t="s">
        <v>29</v>
      </c>
      <c r="K213" s="3"/>
    </row>
    <row r="214" spans="1:11" x14ac:dyDescent="0.45">
      <c r="A214" s="1" t="s">
        <v>970</v>
      </c>
      <c r="B214" s="1">
        <v>213</v>
      </c>
      <c r="C214" s="12" t="s">
        <v>971</v>
      </c>
      <c r="D214" s="1" t="s">
        <v>972</v>
      </c>
      <c r="E214" s="1">
        <v>16</v>
      </c>
      <c r="F214" s="1" t="s">
        <v>29</v>
      </c>
      <c r="K214" s="3"/>
    </row>
    <row r="215" spans="1:11" x14ac:dyDescent="0.45">
      <c r="A215" s="1" t="s">
        <v>973</v>
      </c>
      <c r="B215" s="1">
        <v>214</v>
      </c>
      <c r="C215" s="12" t="s">
        <v>974</v>
      </c>
      <c r="D215" s="1" t="s">
        <v>975</v>
      </c>
      <c r="E215" s="1">
        <v>16</v>
      </c>
      <c r="F215" s="1" t="s">
        <v>29</v>
      </c>
      <c r="K215" s="3"/>
    </row>
    <row r="216" spans="1:11" x14ac:dyDescent="0.45">
      <c r="A216" s="1" t="s">
        <v>976</v>
      </c>
      <c r="B216" s="1">
        <v>215</v>
      </c>
      <c r="C216" s="12" t="s">
        <v>977</v>
      </c>
      <c r="D216" s="1" t="s">
        <v>978</v>
      </c>
      <c r="E216" s="1">
        <v>16</v>
      </c>
      <c r="F216" s="1" t="s">
        <v>29</v>
      </c>
      <c r="K216" s="3"/>
    </row>
    <row r="217" spans="1:11" x14ac:dyDescent="0.45">
      <c r="A217" s="1" t="s">
        <v>979</v>
      </c>
      <c r="B217" s="1">
        <v>216</v>
      </c>
      <c r="C217" s="12" t="s">
        <v>980</v>
      </c>
      <c r="D217" s="1" t="s">
        <v>981</v>
      </c>
      <c r="E217" s="1">
        <v>16</v>
      </c>
      <c r="F217" s="1" t="s">
        <v>29</v>
      </c>
      <c r="K217" s="3"/>
    </row>
    <row r="218" spans="1:11" x14ac:dyDescent="0.45">
      <c r="A218" s="1" t="s">
        <v>982</v>
      </c>
      <c r="B218" s="1">
        <v>217</v>
      </c>
      <c r="C218" s="12" t="s">
        <v>983</v>
      </c>
      <c r="D218" s="1" t="s">
        <v>984</v>
      </c>
      <c r="E218" s="1">
        <v>16</v>
      </c>
      <c r="F218" s="1" t="s">
        <v>29</v>
      </c>
      <c r="K218" s="3"/>
    </row>
    <row r="219" spans="1:11" x14ac:dyDescent="0.45">
      <c r="A219" s="1" t="s">
        <v>985</v>
      </c>
      <c r="B219" s="1">
        <v>218</v>
      </c>
      <c r="C219" s="12" t="s">
        <v>986</v>
      </c>
      <c r="D219" s="1" t="s">
        <v>987</v>
      </c>
      <c r="E219" s="1">
        <v>16</v>
      </c>
      <c r="F219" s="1" t="s">
        <v>29</v>
      </c>
      <c r="K219" s="3"/>
    </row>
    <row r="220" spans="1:11" x14ac:dyDescent="0.45">
      <c r="A220" s="1" t="s">
        <v>988</v>
      </c>
      <c r="B220" s="1">
        <v>219</v>
      </c>
      <c r="C220" s="12" t="s">
        <v>989</v>
      </c>
      <c r="D220" s="1" t="s">
        <v>990</v>
      </c>
      <c r="E220" s="1">
        <v>16</v>
      </c>
      <c r="F220" s="1" t="s">
        <v>29</v>
      </c>
      <c r="K220" s="3"/>
    </row>
    <row r="221" spans="1:11" x14ac:dyDescent="0.45">
      <c r="A221" s="1" t="s">
        <v>991</v>
      </c>
      <c r="B221" s="1">
        <v>220</v>
      </c>
      <c r="C221" s="12" t="s">
        <v>992</v>
      </c>
      <c r="D221" s="1" t="s">
        <v>993</v>
      </c>
      <c r="E221" s="1">
        <v>16</v>
      </c>
      <c r="F221" s="1" t="s">
        <v>29</v>
      </c>
      <c r="K221" s="3"/>
    </row>
    <row r="222" spans="1:11" x14ac:dyDescent="0.45">
      <c r="A222" s="1" t="s">
        <v>994</v>
      </c>
      <c r="B222" s="1">
        <v>221</v>
      </c>
      <c r="C222" s="12" t="s">
        <v>995</v>
      </c>
      <c r="D222" s="1" t="s">
        <v>996</v>
      </c>
      <c r="E222" s="1">
        <v>16</v>
      </c>
      <c r="F222" s="1" t="s">
        <v>29</v>
      </c>
      <c r="K222" s="3"/>
    </row>
    <row r="223" spans="1:11" x14ac:dyDescent="0.45">
      <c r="A223" s="1" t="s">
        <v>997</v>
      </c>
      <c r="B223" s="1">
        <v>222</v>
      </c>
      <c r="C223" s="12" t="s">
        <v>998</v>
      </c>
      <c r="D223" s="1" t="s">
        <v>999</v>
      </c>
      <c r="E223" s="1">
        <v>16</v>
      </c>
      <c r="F223" s="1" t="s">
        <v>29</v>
      </c>
      <c r="K223" s="3"/>
    </row>
    <row r="224" spans="1:11" x14ac:dyDescent="0.45">
      <c r="A224" s="1" t="s">
        <v>1000</v>
      </c>
      <c r="B224" s="1">
        <v>223</v>
      </c>
      <c r="C224" s="12" t="s">
        <v>1001</v>
      </c>
      <c r="D224" s="1" t="s">
        <v>1002</v>
      </c>
      <c r="E224" s="1">
        <v>16</v>
      </c>
      <c r="F224" s="1" t="s">
        <v>29</v>
      </c>
      <c r="K224" s="3"/>
    </row>
    <row r="225" spans="1:11" x14ac:dyDescent="0.45">
      <c r="A225" s="1" t="s">
        <v>1003</v>
      </c>
      <c r="B225" s="1">
        <v>224</v>
      </c>
      <c r="C225" s="12" t="s">
        <v>1004</v>
      </c>
      <c r="D225" s="1" t="s">
        <v>1005</v>
      </c>
      <c r="E225" s="1">
        <v>16</v>
      </c>
      <c r="F225" s="1" t="s">
        <v>29</v>
      </c>
      <c r="K225" s="3"/>
    </row>
    <row r="226" spans="1:11" x14ac:dyDescent="0.45">
      <c r="A226" s="1" t="s">
        <v>1006</v>
      </c>
      <c r="B226" s="1">
        <v>225</v>
      </c>
      <c r="C226" s="12" t="s">
        <v>1007</v>
      </c>
      <c r="D226" s="1" t="s">
        <v>1008</v>
      </c>
      <c r="E226" s="1">
        <v>16</v>
      </c>
      <c r="F226" s="1" t="s">
        <v>29</v>
      </c>
      <c r="K226" s="3"/>
    </row>
    <row r="227" spans="1:11" x14ac:dyDescent="0.45">
      <c r="A227" s="1" t="s">
        <v>1009</v>
      </c>
      <c r="B227" s="1">
        <v>226</v>
      </c>
      <c r="C227" s="12" t="s">
        <v>1010</v>
      </c>
      <c r="D227" s="1" t="s">
        <v>1011</v>
      </c>
      <c r="E227" s="1">
        <v>16</v>
      </c>
      <c r="F227" s="1" t="s">
        <v>29</v>
      </c>
      <c r="K227" s="3"/>
    </row>
    <row r="228" spans="1:11" x14ac:dyDescent="0.45">
      <c r="A228" s="1" t="s">
        <v>1012</v>
      </c>
      <c r="B228" s="1">
        <v>227</v>
      </c>
      <c r="C228" s="12" t="s">
        <v>1013</v>
      </c>
      <c r="D228" s="1" t="s">
        <v>1014</v>
      </c>
      <c r="E228" s="1">
        <v>16</v>
      </c>
      <c r="F228" s="1" t="s">
        <v>29</v>
      </c>
      <c r="K228" s="3"/>
    </row>
    <row r="229" spans="1:11" x14ac:dyDescent="0.45">
      <c r="A229" s="1" t="s">
        <v>1015</v>
      </c>
      <c r="B229" s="1">
        <v>228</v>
      </c>
      <c r="C229" s="12" t="s">
        <v>1016</v>
      </c>
      <c r="D229" s="1" t="s">
        <v>1017</v>
      </c>
      <c r="E229" s="1">
        <v>16</v>
      </c>
      <c r="F229" s="1" t="s">
        <v>29</v>
      </c>
      <c r="K229" s="3"/>
    </row>
    <row r="230" spans="1:11" x14ac:dyDescent="0.45">
      <c r="A230" s="1" t="s">
        <v>1018</v>
      </c>
      <c r="B230" s="1">
        <v>229</v>
      </c>
      <c r="C230" s="12" t="s">
        <v>1019</v>
      </c>
      <c r="D230" s="1" t="s">
        <v>1020</v>
      </c>
      <c r="E230" s="1">
        <v>16</v>
      </c>
      <c r="F230" s="1" t="s">
        <v>29</v>
      </c>
      <c r="K230" s="3"/>
    </row>
    <row r="231" spans="1:11" x14ac:dyDescent="0.45">
      <c r="A231" s="1" t="s">
        <v>1021</v>
      </c>
      <c r="B231" s="1">
        <v>230</v>
      </c>
      <c r="C231" s="12" t="s">
        <v>1022</v>
      </c>
      <c r="D231" s="1" t="s">
        <v>1023</v>
      </c>
      <c r="E231" s="1">
        <v>16</v>
      </c>
      <c r="F231" s="1" t="s">
        <v>29</v>
      </c>
      <c r="K231" s="3"/>
    </row>
    <row r="232" spans="1:11" x14ac:dyDescent="0.45">
      <c r="A232" s="1" t="s">
        <v>1024</v>
      </c>
      <c r="B232" s="1">
        <v>231</v>
      </c>
      <c r="C232" s="12" t="s">
        <v>536</v>
      </c>
      <c r="D232" s="1" t="s">
        <v>1025</v>
      </c>
      <c r="E232" s="1">
        <v>20</v>
      </c>
      <c r="F232" s="1" t="s">
        <v>29</v>
      </c>
      <c r="K232" s="3"/>
    </row>
    <row r="233" spans="1:11" x14ac:dyDescent="0.45">
      <c r="A233" s="1" t="s">
        <v>1026</v>
      </c>
      <c r="B233" s="1">
        <v>232</v>
      </c>
      <c r="C233" s="12" t="s">
        <v>539</v>
      </c>
      <c r="D233" s="1" t="s">
        <v>1027</v>
      </c>
      <c r="E233" s="1">
        <v>20</v>
      </c>
      <c r="F233" s="1" t="s">
        <v>29</v>
      </c>
      <c r="K233" s="3"/>
    </row>
    <row r="234" spans="1:11" x14ac:dyDescent="0.45">
      <c r="A234" s="1" t="s">
        <v>1028</v>
      </c>
      <c r="B234" s="1">
        <v>233</v>
      </c>
      <c r="C234" s="12" t="s">
        <v>542</v>
      </c>
      <c r="D234" s="1" t="s">
        <v>1029</v>
      </c>
      <c r="E234" s="1">
        <v>20</v>
      </c>
      <c r="F234" s="1" t="s">
        <v>29</v>
      </c>
      <c r="K234" s="3"/>
    </row>
    <row r="235" spans="1:11" x14ac:dyDescent="0.45">
      <c r="A235" s="1" t="s">
        <v>1030</v>
      </c>
      <c r="B235" s="1">
        <v>234</v>
      </c>
      <c r="C235" s="12" t="s">
        <v>545</v>
      </c>
      <c r="D235" s="1" t="s">
        <v>1031</v>
      </c>
      <c r="E235" s="1">
        <v>20</v>
      </c>
      <c r="F235" s="1" t="s">
        <v>29</v>
      </c>
      <c r="K235" s="3"/>
    </row>
    <row r="236" spans="1:11" x14ac:dyDescent="0.45">
      <c r="A236" s="1" t="s">
        <v>1032</v>
      </c>
      <c r="B236" s="1">
        <v>235</v>
      </c>
      <c r="C236" s="12" t="s">
        <v>548</v>
      </c>
      <c r="D236" s="1" t="s">
        <v>1033</v>
      </c>
      <c r="E236" s="1">
        <v>20</v>
      </c>
      <c r="F236" s="1" t="s">
        <v>29</v>
      </c>
      <c r="K236" s="3"/>
    </row>
    <row r="237" spans="1:11" x14ac:dyDescent="0.45">
      <c r="A237" s="1" t="s">
        <v>1034</v>
      </c>
      <c r="B237" s="1">
        <v>236</v>
      </c>
      <c r="C237" s="12" t="s">
        <v>551</v>
      </c>
      <c r="D237" s="1" t="s">
        <v>1035</v>
      </c>
      <c r="E237" s="1">
        <v>20</v>
      </c>
      <c r="F237" s="1" t="s">
        <v>29</v>
      </c>
      <c r="K237" s="3"/>
    </row>
    <row r="238" spans="1:11" x14ac:dyDescent="0.45">
      <c r="A238" s="1" t="s">
        <v>1036</v>
      </c>
      <c r="B238" s="1">
        <v>237</v>
      </c>
      <c r="C238" s="12" t="s">
        <v>554</v>
      </c>
      <c r="D238" s="1" t="s">
        <v>1037</v>
      </c>
      <c r="E238" s="1">
        <v>20</v>
      </c>
      <c r="F238" s="1" t="s">
        <v>29</v>
      </c>
      <c r="K238" s="3"/>
    </row>
    <row r="239" spans="1:11" x14ac:dyDescent="0.45">
      <c r="A239" s="1" t="s">
        <v>1038</v>
      </c>
      <c r="B239" s="1">
        <v>238</v>
      </c>
      <c r="C239" s="12" t="s">
        <v>557</v>
      </c>
      <c r="D239" s="1" t="s">
        <v>1039</v>
      </c>
      <c r="E239" s="1">
        <v>20</v>
      </c>
      <c r="F239" s="1" t="s">
        <v>29</v>
      </c>
      <c r="K239" s="3"/>
    </row>
    <row r="240" spans="1:11" x14ac:dyDescent="0.45">
      <c r="A240" s="1" t="s">
        <v>1040</v>
      </c>
      <c r="B240" s="1">
        <v>239</v>
      </c>
      <c r="C240" s="12" t="s">
        <v>560</v>
      </c>
      <c r="D240" s="1" t="s">
        <v>1041</v>
      </c>
      <c r="E240" s="1">
        <v>20</v>
      </c>
      <c r="F240" s="1" t="s">
        <v>29</v>
      </c>
      <c r="K240" s="3"/>
    </row>
    <row r="241" spans="1:11" x14ac:dyDescent="0.45">
      <c r="A241" s="1" t="s">
        <v>1042</v>
      </c>
      <c r="B241" s="1">
        <v>240</v>
      </c>
      <c r="C241" s="12" t="s">
        <v>563</v>
      </c>
      <c r="D241" s="1" t="s">
        <v>1043</v>
      </c>
      <c r="E241" s="1">
        <v>20</v>
      </c>
      <c r="F241" s="1" t="s">
        <v>29</v>
      </c>
      <c r="K241" s="3"/>
    </row>
    <row r="242" spans="1:11" x14ac:dyDescent="0.45">
      <c r="A242" s="1" t="s">
        <v>1044</v>
      </c>
      <c r="B242" s="1">
        <v>241</v>
      </c>
      <c r="C242" s="12" t="s">
        <v>566</v>
      </c>
      <c r="D242" s="1" t="s">
        <v>1045</v>
      </c>
      <c r="E242" s="1">
        <v>20</v>
      </c>
      <c r="F242" s="1" t="s">
        <v>29</v>
      </c>
      <c r="K242" s="3"/>
    </row>
    <row r="243" spans="1:11" x14ac:dyDescent="0.45">
      <c r="A243" s="1" t="s">
        <v>1046</v>
      </c>
      <c r="B243" s="1">
        <v>242</v>
      </c>
      <c r="C243" s="12" t="s">
        <v>569</v>
      </c>
      <c r="D243" s="1" t="s">
        <v>1047</v>
      </c>
      <c r="E243" s="1">
        <v>20</v>
      </c>
      <c r="F243" s="1" t="s">
        <v>29</v>
      </c>
      <c r="K243" s="3"/>
    </row>
    <row r="244" spans="1:11" x14ac:dyDescent="0.45">
      <c r="A244" s="1" t="s">
        <v>1048</v>
      </c>
      <c r="B244" s="1">
        <v>243</v>
      </c>
      <c r="C244" s="12" t="s">
        <v>572</v>
      </c>
      <c r="D244" s="1" t="s">
        <v>1049</v>
      </c>
      <c r="E244" s="1">
        <v>20</v>
      </c>
      <c r="F244" s="1" t="s">
        <v>29</v>
      </c>
      <c r="K244" s="3"/>
    </row>
    <row r="245" spans="1:11" x14ac:dyDescent="0.45">
      <c r="A245" s="1" t="s">
        <v>1050</v>
      </c>
      <c r="B245" s="1">
        <v>244</v>
      </c>
      <c r="C245" s="12" t="s">
        <v>575</v>
      </c>
      <c r="D245" s="1" t="s">
        <v>1051</v>
      </c>
      <c r="E245" s="1">
        <v>20</v>
      </c>
      <c r="F245" s="1" t="s">
        <v>29</v>
      </c>
      <c r="K245" s="3"/>
    </row>
    <row r="246" spans="1:11" x14ac:dyDescent="0.45">
      <c r="A246" s="1" t="s">
        <v>1052</v>
      </c>
      <c r="B246" s="1">
        <v>245</v>
      </c>
      <c r="C246" s="12" t="s">
        <v>578</v>
      </c>
      <c r="D246" s="1" t="s">
        <v>1053</v>
      </c>
      <c r="E246" s="1">
        <v>20</v>
      </c>
      <c r="F246" s="1" t="s">
        <v>29</v>
      </c>
      <c r="K246" s="3"/>
    </row>
    <row r="247" spans="1:11" x14ac:dyDescent="0.45">
      <c r="A247" s="1" t="s">
        <v>1054</v>
      </c>
      <c r="B247" s="1">
        <v>246</v>
      </c>
      <c r="C247" s="12" t="s">
        <v>581</v>
      </c>
      <c r="D247" s="1" t="s">
        <v>1055</v>
      </c>
      <c r="E247" s="1">
        <v>20</v>
      </c>
      <c r="F247" s="1" t="s">
        <v>29</v>
      </c>
      <c r="K247" s="3"/>
    </row>
    <row r="248" spans="1:11" x14ac:dyDescent="0.45">
      <c r="A248" s="1" t="s">
        <v>1056</v>
      </c>
      <c r="B248" s="1">
        <v>247</v>
      </c>
      <c r="C248" s="12" t="s">
        <v>584</v>
      </c>
      <c r="D248" s="1" t="s">
        <v>1057</v>
      </c>
      <c r="E248" s="1">
        <v>20</v>
      </c>
      <c r="F248" s="1" t="s">
        <v>29</v>
      </c>
      <c r="K248" s="3"/>
    </row>
    <row r="249" spans="1:11" x14ac:dyDescent="0.45">
      <c r="A249" s="1" t="s">
        <v>1058</v>
      </c>
      <c r="B249" s="1">
        <v>248</v>
      </c>
      <c r="C249" s="12" t="s">
        <v>587</v>
      </c>
      <c r="D249" s="1" t="s">
        <v>1059</v>
      </c>
      <c r="E249" s="1">
        <v>20</v>
      </c>
      <c r="F249" s="1" t="s">
        <v>29</v>
      </c>
      <c r="K249" s="3"/>
    </row>
    <row r="250" spans="1:11" x14ac:dyDescent="0.45">
      <c r="A250" s="1" t="s">
        <v>1060</v>
      </c>
      <c r="B250" s="1">
        <v>249</v>
      </c>
      <c r="C250" s="12" t="s">
        <v>590</v>
      </c>
      <c r="D250" s="1" t="s">
        <v>1061</v>
      </c>
      <c r="E250" s="1">
        <v>20</v>
      </c>
      <c r="F250" s="1" t="s">
        <v>29</v>
      </c>
      <c r="K250" s="3"/>
    </row>
    <row r="251" spans="1:11" x14ac:dyDescent="0.45">
      <c r="A251" s="1" t="s">
        <v>1062</v>
      </c>
      <c r="B251" s="1">
        <v>250</v>
      </c>
      <c r="C251" s="12" t="s">
        <v>593</v>
      </c>
      <c r="D251" s="1" t="s">
        <v>1063</v>
      </c>
      <c r="E251" s="1">
        <v>20</v>
      </c>
      <c r="F251" s="1" t="s">
        <v>29</v>
      </c>
      <c r="K251" s="3"/>
    </row>
    <row r="252" spans="1:11" x14ac:dyDescent="0.45">
      <c r="A252" s="1" t="s">
        <v>1064</v>
      </c>
      <c r="B252" s="1">
        <v>251</v>
      </c>
      <c r="C252" s="12" t="s">
        <v>596</v>
      </c>
      <c r="D252" s="1" t="s">
        <v>1065</v>
      </c>
      <c r="E252" s="1">
        <v>20</v>
      </c>
      <c r="F252" s="1" t="s">
        <v>29</v>
      </c>
      <c r="K252" s="3"/>
    </row>
    <row r="253" spans="1:11" x14ac:dyDescent="0.45">
      <c r="A253" s="1" t="s">
        <v>1066</v>
      </c>
      <c r="B253" s="1">
        <v>252</v>
      </c>
      <c r="C253" s="12" t="s">
        <v>599</v>
      </c>
      <c r="D253" s="1" t="s">
        <v>1067</v>
      </c>
      <c r="E253" s="1">
        <v>20</v>
      </c>
      <c r="F253" s="1" t="s">
        <v>29</v>
      </c>
      <c r="K253" s="3"/>
    </row>
    <row r="254" spans="1:11" x14ac:dyDescent="0.45">
      <c r="A254" s="1" t="s">
        <v>1068</v>
      </c>
      <c r="B254" s="1">
        <v>253</v>
      </c>
      <c r="C254" s="12" t="s">
        <v>602</v>
      </c>
      <c r="D254" s="1" t="s">
        <v>1069</v>
      </c>
      <c r="E254" s="1">
        <v>20</v>
      </c>
      <c r="F254" s="1" t="s">
        <v>29</v>
      </c>
      <c r="K254" s="3"/>
    </row>
    <row r="255" spans="1:11" x14ac:dyDescent="0.45">
      <c r="A255" s="1" t="s">
        <v>1070</v>
      </c>
      <c r="B255" s="1">
        <v>254</v>
      </c>
      <c r="C255" s="12" t="s">
        <v>605</v>
      </c>
      <c r="D255" s="1" t="s">
        <v>1071</v>
      </c>
      <c r="E255" s="1">
        <v>20</v>
      </c>
      <c r="F255" s="1" t="s">
        <v>29</v>
      </c>
      <c r="K255" s="3"/>
    </row>
    <row r="256" spans="1:11" x14ac:dyDescent="0.45">
      <c r="A256" s="1" t="s">
        <v>1072</v>
      </c>
      <c r="B256" s="1">
        <v>255</v>
      </c>
      <c r="C256" s="12" t="s">
        <v>608</v>
      </c>
      <c r="D256" s="1" t="s">
        <v>1073</v>
      </c>
      <c r="E256" s="1">
        <v>20</v>
      </c>
      <c r="F256" s="1" t="s">
        <v>29</v>
      </c>
      <c r="K256" s="3"/>
    </row>
    <row r="257" spans="1:11" x14ac:dyDescent="0.45">
      <c r="A257" s="1" t="s">
        <v>1074</v>
      </c>
      <c r="B257" s="1">
        <v>256</v>
      </c>
      <c r="C257" s="12" t="s">
        <v>611</v>
      </c>
      <c r="D257" s="1" t="s">
        <v>1075</v>
      </c>
      <c r="E257" s="1">
        <v>20</v>
      </c>
      <c r="F257" s="1" t="s">
        <v>29</v>
      </c>
      <c r="K257" s="3"/>
    </row>
    <row r="258" spans="1:11" x14ac:dyDescent="0.45">
      <c r="A258" s="1" t="s">
        <v>1076</v>
      </c>
      <c r="B258" s="1">
        <v>257</v>
      </c>
      <c r="C258" s="12" t="s">
        <v>614</v>
      </c>
      <c r="D258" s="1" t="s">
        <v>1077</v>
      </c>
      <c r="E258" s="1">
        <v>20</v>
      </c>
      <c r="F258" s="1" t="s">
        <v>29</v>
      </c>
      <c r="K258" s="3"/>
    </row>
    <row r="259" spans="1:11" x14ac:dyDescent="0.45">
      <c r="A259" s="1" t="s">
        <v>1078</v>
      </c>
      <c r="B259" s="1">
        <v>258</v>
      </c>
      <c r="C259" s="12" t="s">
        <v>617</v>
      </c>
      <c r="D259" s="1" t="s">
        <v>1079</v>
      </c>
      <c r="E259" s="1">
        <v>20</v>
      </c>
      <c r="F259" s="1" t="s">
        <v>29</v>
      </c>
      <c r="K259" s="3"/>
    </row>
    <row r="260" spans="1:11" x14ac:dyDescent="0.45">
      <c r="A260" s="1" t="s">
        <v>1080</v>
      </c>
      <c r="B260" s="1">
        <v>259</v>
      </c>
      <c r="C260" s="12" t="s">
        <v>620</v>
      </c>
      <c r="D260" s="1" t="s">
        <v>1081</v>
      </c>
      <c r="E260" s="1">
        <v>20</v>
      </c>
      <c r="F260" s="1" t="s">
        <v>29</v>
      </c>
      <c r="K260" s="3"/>
    </row>
    <row r="261" spans="1:11" x14ac:dyDescent="0.45">
      <c r="A261" s="1" t="s">
        <v>1082</v>
      </c>
      <c r="B261" s="1">
        <v>260</v>
      </c>
      <c r="C261" s="12" t="s">
        <v>623</v>
      </c>
      <c r="D261" s="1" t="s">
        <v>1083</v>
      </c>
      <c r="E261" s="1">
        <v>20</v>
      </c>
      <c r="F261" s="1" t="s">
        <v>29</v>
      </c>
      <c r="K261" s="3"/>
    </row>
    <row r="262" spans="1:11" x14ac:dyDescent="0.45">
      <c r="A262" s="1" t="s">
        <v>1084</v>
      </c>
      <c r="B262" s="1">
        <v>261</v>
      </c>
      <c r="C262" s="12" t="s">
        <v>626</v>
      </c>
      <c r="D262" s="1" t="s">
        <v>1085</v>
      </c>
      <c r="E262" s="1">
        <v>20</v>
      </c>
      <c r="F262" s="1" t="s">
        <v>29</v>
      </c>
      <c r="K262" s="3"/>
    </row>
    <row r="263" spans="1:11" x14ac:dyDescent="0.45">
      <c r="A263" s="1" t="s">
        <v>1086</v>
      </c>
      <c r="B263" s="1">
        <v>262</v>
      </c>
      <c r="C263" s="12" t="s">
        <v>629</v>
      </c>
      <c r="D263" s="1" t="s">
        <v>1087</v>
      </c>
      <c r="E263" s="1">
        <v>20</v>
      </c>
      <c r="F263" s="1" t="s">
        <v>29</v>
      </c>
      <c r="K263" s="3"/>
    </row>
    <row r="264" spans="1:11" x14ac:dyDescent="0.45">
      <c r="A264" s="1" t="s">
        <v>1088</v>
      </c>
      <c r="B264" s="1">
        <v>263</v>
      </c>
      <c r="C264" s="12" t="s">
        <v>632</v>
      </c>
      <c r="D264" s="1" t="s">
        <v>1089</v>
      </c>
      <c r="E264" s="1">
        <v>20</v>
      </c>
      <c r="F264" s="1" t="s">
        <v>29</v>
      </c>
      <c r="K264" s="3"/>
    </row>
    <row r="265" spans="1:11" x14ac:dyDescent="0.45">
      <c r="A265" s="1" t="s">
        <v>1090</v>
      </c>
      <c r="B265" s="1">
        <v>264</v>
      </c>
      <c r="C265" s="12" t="s">
        <v>635</v>
      </c>
      <c r="D265" s="1" t="s">
        <v>1091</v>
      </c>
      <c r="E265" s="1">
        <v>20</v>
      </c>
      <c r="F265" s="1" t="s">
        <v>29</v>
      </c>
      <c r="K265" s="3"/>
    </row>
    <row r="266" spans="1:11" x14ac:dyDescent="0.45">
      <c r="A266" s="1" t="s">
        <v>1092</v>
      </c>
      <c r="B266" s="1">
        <v>265</v>
      </c>
      <c r="C266" s="12" t="s">
        <v>638</v>
      </c>
      <c r="D266" s="1" t="s">
        <v>1093</v>
      </c>
      <c r="E266" s="1">
        <v>20</v>
      </c>
      <c r="F266" s="1" t="s">
        <v>29</v>
      </c>
      <c r="K266" s="3"/>
    </row>
    <row r="267" spans="1:11" x14ac:dyDescent="0.45">
      <c r="A267" s="1" t="s">
        <v>1094</v>
      </c>
      <c r="B267" s="1">
        <v>266</v>
      </c>
      <c r="C267" s="12" t="s">
        <v>641</v>
      </c>
      <c r="D267" s="1" t="s">
        <v>1095</v>
      </c>
      <c r="E267" s="1">
        <v>20</v>
      </c>
      <c r="F267" s="1" t="s">
        <v>29</v>
      </c>
      <c r="K267" s="3"/>
    </row>
    <row r="268" spans="1:11" x14ac:dyDescent="0.45">
      <c r="A268" s="1" t="s">
        <v>1096</v>
      </c>
      <c r="B268" s="1">
        <v>267</v>
      </c>
      <c r="C268" s="12" t="s">
        <v>644</v>
      </c>
      <c r="D268" s="1" t="s">
        <v>1097</v>
      </c>
      <c r="E268" s="1">
        <v>20</v>
      </c>
      <c r="F268" s="1" t="s">
        <v>29</v>
      </c>
      <c r="K268" s="3"/>
    </row>
    <row r="269" spans="1:11" x14ac:dyDescent="0.45">
      <c r="A269" s="1" t="s">
        <v>1098</v>
      </c>
      <c r="B269" s="1">
        <v>268</v>
      </c>
      <c r="C269" s="12" t="s">
        <v>647</v>
      </c>
      <c r="D269" s="1" t="s">
        <v>1099</v>
      </c>
      <c r="E269" s="1">
        <v>20</v>
      </c>
      <c r="F269" s="1" t="s">
        <v>29</v>
      </c>
      <c r="K269" s="3"/>
    </row>
    <row r="270" spans="1:11" x14ac:dyDescent="0.45">
      <c r="A270" s="1" t="s">
        <v>1100</v>
      </c>
      <c r="B270" s="1">
        <v>269</v>
      </c>
      <c r="C270" s="12" t="s">
        <v>650</v>
      </c>
      <c r="D270" s="1" t="s">
        <v>1101</v>
      </c>
      <c r="E270" s="1">
        <v>20</v>
      </c>
      <c r="F270" s="1" t="s">
        <v>29</v>
      </c>
      <c r="K270" s="3"/>
    </row>
    <row r="271" spans="1:11" x14ac:dyDescent="0.45">
      <c r="A271" s="1" t="s">
        <v>1102</v>
      </c>
      <c r="B271" s="1">
        <v>270</v>
      </c>
      <c r="C271" s="12" t="s">
        <v>653</v>
      </c>
      <c r="D271" s="1" t="s">
        <v>1103</v>
      </c>
      <c r="E271" s="1">
        <v>20</v>
      </c>
      <c r="F271" s="1" t="s">
        <v>29</v>
      </c>
      <c r="K271" s="3"/>
    </row>
    <row r="272" spans="1:11" x14ac:dyDescent="0.45">
      <c r="A272" s="1" t="s">
        <v>1104</v>
      </c>
      <c r="B272" s="1">
        <v>271</v>
      </c>
      <c r="C272" s="12" t="s">
        <v>656</v>
      </c>
      <c r="D272" s="1" t="s">
        <v>1105</v>
      </c>
      <c r="E272" s="1">
        <v>20</v>
      </c>
      <c r="F272" s="1" t="s">
        <v>29</v>
      </c>
      <c r="K272" s="3"/>
    </row>
    <row r="273" spans="1:11" x14ac:dyDescent="0.45">
      <c r="A273" s="1" t="s">
        <v>1106</v>
      </c>
      <c r="B273" s="1">
        <v>272</v>
      </c>
      <c r="C273" s="12" t="s">
        <v>659</v>
      </c>
      <c r="D273" s="1" t="s">
        <v>1107</v>
      </c>
      <c r="E273" s="1">
        <v>20</v>
      </c>
      <c r="F273" s="1" t="s">
        <v>29</v>
      </c>
      <c r="K273" s="3"/>
    </row>
    <row r="274" spans="1:11" x14ac:dyDescent="0.45">
      <c r="A274" s="1" t="s">
        <v>1108</v>
      </c>
      <c r="B274" s="1">
        <v>273</v>
      </c>
      <c r="C274" s="12" t="s">
        <v>662</v>
      </c>
      <c r="D274" s="1" t="s">
        <v>1109</v>
      </c>
      <c r="E274" s="1">
        <v>20</v>
      </c>
      <c r="F274" s="1" t="s">
        <v>29</v>
      </c>
      <c r="K274" s="3"/>
    </row>
    <row r="275" spans="1:11" x14ac:dyDescent="0.45">
      <c r="A275" s="1" t="s">
        <v>1110</v>
      </c>
      <c r="B275" s="1">
        <v>274</v>
      </c>
      <c r="C275" s="12" t="s">
        <v>665</v>
      </c>
      <c r="D275" s="1" t="s">
        <v>1111</v>
      </c>
      <c r="E275" s="1">
        <v>20</v>
      </c>
      <c r="F275" s="1" t="s">
        <v>29</v>
      </c>
      <c r="K275" s="3"/>
    </row>
    <row r="276" spans="1:11" x14ac:dyDescent="0.45">
      <c r="A276" s="1" t="s">
        <v>1112</v>
      </c>
      <c r="B276" s="1">
        <v>275</v>
      </c>
      <c r="C276" s="12" t="s">
        <v>668</v>
      </c>
      <c r="D276" s="1" t="s">
        <v>1113</v>
      </c>
      <c r="E276" s="1">
        <v>20</v>
      </c>
      <c r="F276" s="1" t="s">
        <v>29</v>
      </c>
      <c r="K276" s="3"/>
    </row>
    <row r="277" spans="1:11" x14ac:dyDescent="0.45">
      <c r="A277" s="1" t="s">
        <v>1114</v>
      </c>
      <c r="B277" s="1">
        <v>276</v>
      </c>
      <c r="C277" s="12" t="s">
        <v>671</v>
      </c>
      <c r="D277" s="1" t="s">
        <v>1115</v>
      </c>
      <c r="E277" s="1">
        <v>20</v>
      </c>
      <c r="F277" s="1" t="s">
        <v>29</v>
      </c>
      <c r="K277" s="3"/>
    </row>
    <row r="278" spans="1:11" x14ac:dyDescent="0.45">
      <c r="A278" s="1" t="s">
        <v>1116</v>
      </c>
      <c r="B278" s="1">
        <v>277</v>
      </c>
      <c r="C278" s="12" t="s">
        <v>674</v>
      </c>
      <c r="D278" s="1" t="s">
        <v>1117</v>
      </c>
      <c r="E278" s="1">
        <v>20</v>
      </c>
      <c r="F278" s="1" t="s">
        <v>29</v>
      </c>
      <c r="K278" s="3"/>
    </row>
    <row r="279" spans="1:11" x14ac:dyDescent="0.45">
      <c r="A279" s="1" t="s">
        <v>1118</v>
      </c>
      <c r="B279" s="1">
        <v>278</v>
      </c>
      <c r="C279" s="12" t="s">
        <v>677</v>
      </c>
      <c r="D279" s="1" t="s">
        <v>1119</v>
      </c>
      <c r="E279" s="1">
        <v>20</v>
      </c>
      <c r="F279" s="1" t="s">
        <v>29</v>
      </c>
      <c r="K279" s="3"/>
    </row>
    <row r="280" spans="1:11" x14ac:dyDescent="0.45">
      <c r="A280" s="1" t="s">
        <v>1120</v>
      </c>
      <c r="B280" s="1">
        <v>279</v>
      </c>
      <c r="C280" s="12" t="s">
        <v>680</v>
      </c>
      <c r="D280" s="1" t="s">
        <v>1121</v>
      </c>
      <c r="E280" s="1">
        <v>20</v>
      </c>
      <c r="F280" s="1" t="s">
        <v>29</v>
      </c>
      <c r="K280" s="3"/>
    </row>
    <row r="281" spans="1:11" x14ac:dyDescent="0.45">
      <c r="A281" s="1" t="s">
        <v>1122</v>
      </c>
      <c r="B281" s="1">
        <v>280</v>
      </c>
      <c r="C281" s="12" t="s">
        <v>683</v>
      </c>
      <c r="D281" s="1" t="s">
        <v>1123</v>
      </c>
      <c r="E281" s="1">
        <v>20</v>
      </c>
      <c r="F281" s="1" t="s">
        <v>29</v>
      </c>
      <c r="K281" s="3"/>
    </row>
    <row r="282" spans="1:11" x14ac:dyDescent="0.45">
      <c r="A282" s="1" t="s">
        <v>1124</v>
      </c>
      <c r="B282" s="1">
        <v>281</v>
      </c>
      <c r="C282" s="12" t="s">
        <v>686</v>
      </c>
      <c r="D282" s="1" t="s">
        <v>1125</v>
      </c>
      <c r="E282" s="1">
        <v>20</v>
      </c>
      <c r="F282" s="1" t="s">
        <v>29</v>
      </c>
      <c r="K282" s="3"/>
    </row>
    <row r="283" spans="1:11" x14ac:dyDescent="0.45">
      <c r="A283" s="1" t="s">
        <v>1126</v>
      </c>
      <c r="B283" s="1">
        <v>282</v>
      </c>
      <c r="C283" s="12" t="s">
        <v>689</v>
      </c>
      <c r="D283" s="1" t="s">
        <v>1127</v>
      </c>
      <c r="E283" s="1">
        <v>20</v>
      </c>
      <c r="F283" s="1" t="s">
        <v>29</v>
      </c>
      <c r="K283" s="3"/>
    </row>
    <row r="284" spans="1:11" x14ac:dyDescent="0.45">
      <c r="A284" s="1" t="s">
        <v>1128</v>
      </c>
      <c r="B284" s="1">
        <v>283</v>
      </c>
      <c r="C284" s="12" t="s">
        <v>692</v>
      </c>
      <c r="D284" s="1" t="s">
        <v>1129</v>
      </c>
      <c r="E284" s="1">
        <v>20</v>
      </c>
      <c r="F284" s="1" t="s">
        <v>29</v>
      </c>
      <c r="K284" s="3"/>
    </row>
    <row r="285" spans="1:11" x14ac:dyDescent="0.45">
      <c r="A285" s="1" t="s">
        <v>1130</v>
      </c>
      <c r="B285" s="1">
        <v>284</v>
      </c>
      <c r="C285" s="12" t="s">
        <v>695</v>
      </c>
      <c r="D285" s="1" t="s">
        <v>1131</v>
      </c>
      <c r="E285" s="1">
        <v>20</v>
      </c>
      <c r="F285" s="1" t="s">
        <v>29</v>
      </c>
      <c r="K285" s="3"/>
    </row>
    <row r="286" spans="1:11" x14ac:dyDescent="0.45">
      <c r="A286" s="1" t="s">
        <v>1132</v>
      </c>
      <c r="B286" s="1">
        <v>285</v>
      </c>
      <c r="C286" s="12" t="s">
        <v>698</v>
      </c>
      <c r="D286" s="1" t="s">
        <v>1133</v>
      </c>
      <c r="E286" s="1">
        <v>20</v>
      </c>
      <c r="F286" s="1" t="s">
        <v>29</v>
      </c>
      <c r="K286" s="3"/>
    </row>
    <row r="287" spans="1:11" x14ac:dyDescent="0.45">
      <c r="A287" s="1" t="s">
        <v>1134</v>
      </c>
      <c r="B287" s="1">
        <v>286</v>
      </c>
      <c r="C287" s="12" t="s">
        <v>701</v>
      </c>
      <c r="D287" s="1" t="s">
        <v>1135</v>
      </c>
      <c r="E287" s="1">
        <v>20</v>
      </c>
      <c r="F287" s="1" t="s">
        <v>29</v>
      </c>
      <c r="K287" s="3"/>
    </row>
    <row r="288" spans="1:11" x14ac:dyDescent="0.45">
      <c r="A288" s="1" t="s">
        <v>1136</v>
      </c>
      <c r="B288" s="1">
        <v>287</v>
      </c>
      <c r="C288" s="12" t="s">
        <v>704</v>
      </c>
      <c r="D288" s="1" t="s">
        <v>1137</v>
      </c>
      <c r="E288" s="1">
        <v>20</v>
      </c>
      <c r="F288" s="1" t="s">
        <v>29</v>
      </c>
      <c r="K288" s="3"/>
    </row>
    <row r="289" spans="1:11" x14ac:dyDescent="0.45">
      <c r="A289" s="1" t="s">
        <v>1138</v>
      </c>
      <c r="B289" s="1">
        <v>288</v>
      </c>
      <c r="C289" s="12" t="s">
        <v>707</v>
      </c>
      <c r="D289" s="1" t="s">
        <v>1139</v>
      </c>
      <c r="E289" s="1">
        <v>20</v>
      </c>
      <c r="F289" s="1" t="s">
        <v>29</v>
      </c>
      <c r="K289" s="3"/>
    </row>
    <row r="290" spans="1:11" x14ac:dyDescent="0.45">
      <c r="A290" s="1" t="s">
        <v>1140</v>
      </c>
      <c r="B290" s="1">
        <v>289</v>
      </c>
      <c r="C290" s="12" t="s">
        <v>710</v>
      </c>
      <c r="D290" s="1" t="s">
        <v>1141</v>
      </c>
      <c r="E290" s="1">
        <v>20</v>
      </c>
      <c r="F290" s="1" t="s">
        <v>29</v>
      </c>
      <c r="K290" s="3"/>
    </row>
    <row r="291" spans="1:11" x14ac:dyDescent="0.45">
      <c r="A291" s="1" t="s">
        <v>1142</v>
      </c>
      <c r="B291" s="1">
        <v>290</v>
      </c>
      <c r="C291" s="12" t="s">
        <v>713</v>
      </c>
      <c r="D291" s="1" t="s">
        <v>1143</v>
      </c>
      <c r="E291" s="1">
        <v>20</v>
      </c>
      <c r="F291" s="1" t="s">
        <v>29</v>
      </c>
      <c r="K291" s="3"/>
    </row>
    <row r="292" spans="1:11" x14ac:dyDescent="0.45">
      <c r="A292" s="1" t="s">
        <v>1144</v>
      </c>
      <c r="B292" s="1">
        <v>291</v>
      </c>
      <c r="C292" s="12" t="s">
        <v>716</v>
      </c>
      <c r="D292" s="1" t="s">
        <v>1145</v>
      </c>
      <c r="E292" s="1">
        <v>20</v>
      </c>
      <c r="F292" s="1" t="s">
        <v>29</v>
      </c>
      <c r="K292" s="3"/>
    </row>
    <row r="293" spans="1:11" x14ac:dyDescent="0.45">
      <c r="A293" s="1" t="s">
        <v>1146</v>
      </c>
      <c r="B293" s="1">
        <v>292</v>
      </c>
      <c r="C293" s="12" t="s">
        <v>719</v>
      </c>
      <c r="D293" s="1" t="s">
        <v>1147</v>
      </c>
      <c r="E293" s="1">
        <v>20</v>
      </c>
      <c r="F293" s="1" t="s">
        <v>29</v>
      </c>
      <c r="K293" s="3"/>
    </row>
    <row r="294" spans="1:11" x14ac:dyDescent="0.45">
      <c r="A294" s="1" t="s">
        <v>1148</v>
      </c>
      <c r="B294" s="1">
        <v>293</v>
      </c>
      <c r="C294" s="12" t="s">
        <v>722</v>
      </c>
      <c r="D294" s="1" t="s">
        <v>1149</v>
      </c>
      <c r="E294" s="1">
        <v>20</v>
      </c>
      <c r="F294" s="1" t="s">
        <v>29</v>
      </c>
      <c r="K294" s="3"/>
    </row>
    <row r="295" spans="1:11" x14ac:dyDescent="0.45">
      <c r="A295" s="1" t="s">
        <v>1150</v>
      </c>
      <c r="B295" s="1">
        <v>294</v>
      </c>
      <c r="C295" s="12" t="s">
        <v>725</v>
      </c>
      <c r="D295" s="1" t="s">
        <v>1151</v>
      </c>
      <c r="E295" s="1">
        <v>20</v>
      </c>
      <c r="F295" s="1" t="s">
        <v>29</v>
      </c>
      <c r="K295" s="3"/>
    </row>
    <row r="296" spans="1:11" x14ac:dyDescent="0.45">
      <c r="A296" s="1" t="s">
        <v>1152</v>
      </c>
      <c r="B296" s="1">
        <v>295</v>
      </c>
      <c r="C296" s="12" t="s">
        <v>728</v>
      </c>
      <c r="D296" s="1" t="s">
        <v>1153</v>
      </c>
      <c r="E296" s="1">
        <v>20</v>
      </c>
      <c r="F296" s="1" t="s">
        <v>29</v>
      </c>
      <c r="K296" s="3"/>
    </row>
    <row r="297" spans="1:11" x14ac:dyDescent="0.45">
      <c r="A297" s="1" t="s">
        <v>1154</v>
      </c>
      <c r="B297" s="1">
        <v>296</v>
      </c>
      <c r="C297" s="12" t="s">
        <v>731</v>
      </c>
      <c r="D297" s="1" t="s">
        <v>1155</v>
      </c>
      <c r="E297" s="1">
        <v>20</v>
      </c>
      <c r="F297" s="1" t="s">
        <v>29</v>
      </c>
      <c r="K297" s="3"/>
    </row>
    <row r="298" spans="1:11" x14ac:dyDescent="0.45">
      <c r="A298" s="1" t="s">
        <v>1156</v>
      </c>
      <c r="B298" s="1">
        <v>297</v>
      </c>
      <c r="C298" s="12" t="s">
        <v>734</v>
      </c>
      <c r="D298" s="1" t="s">
        <v>1157</v>
      </c>
      <c r="E298" s="1">
        <v>20</v>
      </c>
      <c r="F298" s="1" t="s">
        <v>29</v>
      </c>
      <c r="K298" s="3"/>
    </row>
    <row r="299" spans="1:11" x14ac:dyDescent="0.45">
      <c r="A299" s="1" t="s">
        <v>1158</v>
      </c>
      <c r="B299" s="1">
        <v>298</v>
      </c>
      <c r="C299" s="12" t="s">
        <v>737</v>
      </c>
      <c r="D299" s="1" t="s">
        <v>1159</v>
      </c>
      <c r="E299" s="1">
        <v>20</v>
      </c>
      <c r="F299" s="1" t="s">
        <v>29</v>
      </c>
      <c r="K299" s="3"/>
    </row>
    <row r="300" spans="1:11" x14ac:dyDescent="0.45">
      <c r="A300" s="1" t="s">
        <v>1160</v>
      </c>
      <c r="B300" s="1">
        <v>299</v>
      </c>
      <c r="C300" s="12" t="s">
        <v>740</v>
      </c>
      <c r="D300" s="1" t="s">
        <v>1161</v>
      </c>
      <c r="E300" s="1">
        <v>20</v>
      </c>
      <c r="F300" s="1" t="s">
        <v>29</v>
      </c>
      <c r="K300" s="3"/>
    </row>
    <row r="301" spans="1:11" x14ac:dyDescent="0.45">
      <c r="A301" s="1" t="s">
        <v>1162</v>
      </c>
      <c r="B301" s="1">
        <v>300</v>
      </c>
      <c r="C301" s="12" t="s">
        <v>743</v>
      </c>
      <c r="D301" s="1" t="s">
        <v>1163</v>
      </c>
      <c r="E301" s="1">
        <v>20</v>
      </c>
      <c r="F301" s="1" t="s">
        <v>29</v>
      </c>
      <c r="K301" s="3"/>
    </row>
    <row r="302" spans="1:11" x14ac:dyDescent="0.45">
      <c r="A302" s="1" t="s">
        <v>1164</v>
      </c>
      <c r="B302" s="1">
        <v>301</v>
      </c>
      <c r="C302" s="12" t="s">
        <v>746</v>
      </c>
      <c r="D302" s="1" t="s">
        <v>1165</v>
      </c>
      <c r="E302" s="1">
        <v>20</v>
      </c>
      <c r="F302" s="1" t="s">
        <v>29</v>
      </c>
      <c r="K302" s="3"/>
    </row>
    <row r="303" spans="1:11" x14ac:dyDescent="0.45">
      <c r="A303" s="1" t="s">
        <v>1166</v>
      </c>
      <c r="B303" s="1">
        <v>302</v>
      </c>
      <c r="C303" s="12" t="s">
        <v>749</v>
      </c>
      <c r="D303" s="1" t="s">
        <v>1167</v>
      </c>
      <c r="E303" s="1">
        <v>20</v>
      </c>
      <c r="F303" s="1" t="s">
        <v>29</v>
      </c>
      <c r="K303" s="3"/>
    </row>
    <row r="304" spans="1:11" x14ac:dyDescent="0.45">
      <c r="A304" s="1" t="s">
        <v>1168</v>
      </c>
      <c r="B304" s="1">
        <v>303</v>
      </c>
      <c r="C304" s="12" t="s">
        <v>752</v>
      </c>
      <c r="D304" s="1" t="s">
        <v>1169</v>
      </c>
      <c r="E304" s="1">
        <v>20</v>
      </c>
      <c r="F304" s="1" t="s">
        <v>29</v>
      </c>
      <c r="K304" s="3"/>
    </row>
    <row r="305" spans="1:11" x14ac:dyDescent="0.45">
      <c r="A305" s="1" t="s">
        <v>1170</v>
      </c>
      <c r="B305" s="1">
        <v>304</v>
      </c>
      <c r="C305" s="12" t="s">
        <v>755</v>
      </c>
      <c r="D305" s="1" t="s">
        <v>1171</v>
      </c>
      <c r="E305" s="1">
        <v>20</v>
      </c>
      <c r="F305" s="1" t="s">
        <v>29</v>
      </c>
      <c r="K305" s="3"/>
    </row>
    <row r="306" spans="1:11" x14ac:dyDescent="0.45">
      <c r="A306" s="1" t="s">
        <v>1172</v>
      </c>
      <c r="B306" s="1">
        <v>305</v>
      </c>
      <c r="C306" s="12" t="s">
        <v>758</v>
      </c>
      <c r="D306" s="1" t="s">
        <v>1173</v>
      </c>
      <c r="E306" s="1">
        <v>20</v>
      </c>
      <c r="F306" s="1" t="s">
        <v>29</v>
      </c>
      <c r="K306" s="3"/>
    </row>
    <row r="307" spans="1:11" x14ac:dyDescent="0.45">
      <c r="A307" s="1" t="s">
        <v>1174</v>
      </c>
      <c r="B307" s="1">
        <v>306</v>
      </c>
      <c r="C307" s="12" t="s">
        <v>761</v>
      </c>
      <c r="D307" s="1" t="s">
        <v>1175</v>
      </c>
      <c r="E307" s="1">
        <v>20</v>
      </c>
      <c r="F307" s="1" t="s">
        <v>29</v>
      </c>
      <c r="K307" s="3"/>
    </row>
    <row r="308" spans="1:11" x14ac:dyDescent="0.45">
      <c r="A308" s="1" t="s">
        <v>1176</v>
      </c>
      <c r="B308" s="1">
        <v>307</v>
      </c>
      <c r="C308" s="12" t="s">
        <v>764</v>
      </c>
      <c r="D308" s="1" t="s">
        <v>1177</v>
      </c>
      <c r="E308" s="1">
        <v>20</v>
      </c>
      <c r="F308" s="1" t="s">
        <v>29</v>
      </c>
      <c r="K308" s="3"/>
    </row>
    <row r="309" spans="1:11" x14ac:dyDescent="0.45">
      <c r="A309" s="1" t="s">
        <v>1178</v>
      </c>
      <c r="B309" s="1">
        <v>308</v>
      </c>
      <c r="C309" s="12" t="s">
        <v>767</v>
      </c>
      <c r="D309" s="1" t="s">
        <v>1179</v>
      </c>
      <c r="E309" s="1">
        <v>20</v>
      </c>
      <c r="F309" s="1" t="s">
        <v>29</v>
      </c>
      <c r="K309" s="3"/>
    </row>
    <row r="310" spans="1:11" x14ac:dyDescent="0.45">
      <c r="A310" s="1" t="s">
        <v>1180</v>
      </c>
      <c r="B310" s="1">
        <v>309</v>
      </c>
      <c r="C310" s="12" t="s">
        <v>770</v>
      </c>
      <c r="D310" s="1" t="s">
        <v>1181</v>
      </c>
      <c r="E310" s="1">
        <v>20</v>
      </c>
      <c r="F310" s="1" t="s">
        <v>29</v>
      </c>
      <c r="K310" s="3"/>
    </row>
    <row r="311" spans="1:11" x14ac:dyDescent="0.45">
      <c r="A311" s="1" t="s">
        <v>1182</v>
      </c>
      <c r="B311" s="1">
        <v>310</v>
      </c>
      <c r="C311" s="12" t="s">
        <v>773</v>
      </c>
      <c r="D311" s="1" t="s">
        <v>1183</v>
      </c>
      <c r="E311" s="1">
        <v>20</v>
      </c>
      <c r="F311" s="1" t="s">
        <v>29</v>
      </c>
      <c r="K311" s="3"/>
    </row>
    <row r="312" spans="1:11" x14ac:dyDescent="0.45">
      <c r="A312" s="1" t="s">
        <v>1184</v>
      </c>
      <c r="B312" s="1">
        <v>311</v>
      </c>
      <c r="C312" s="12" t="s">
        <v>776</v>
      </c>
      <c r="D312" s="1" t="s">
        <v>1185</v>
      </c>
      <c r="E312" s="1">
        <v>20</v>
      </c>
      <c r="F312" s="1" t="s">
        <v>29</v>
      </c>
      <c r="K312" s="3"/>
    </row>
    <row r="313" spans="1:11" x14ac:dyDescent="0.45">
      <c r="A313" s="1" t="s">
        <v>1186</v>
      </c>
      <c r="B313" s="1">
        <v>312</v>
      </c>
      <c r="C313" s="12" t="s">
        <v>779</v>
      </c>
      <c r="D313" s="1" t="s">
        <v>1187</v>
      </c>
      <c r="E313" s="1">
        <v>20</v>
      </c>
      <c r="F313" s="1" t="s">
        <v>29</v>
      </c>
      <c r="K313" s="3"/>
    </row>
    <row r="314" spans="1:11" x14ac:dyDescent="0.45">
      <c r="A314" s="1" t="s">
        <v>1188</v>
      </c>
      <c r="B314" s="1">
        <v>313</v>
      </c>
      <c r="C314" s="12" t="s">
        <v>782</v>
      </c>
      <c r="D314" s="1" t="s">
        <v>1189</v>
      </c>
      <c r="E314" s="1">
        <v>20</v>
      </c>
      <c r="F314" s="1" t="s">
        <v>29</v>
      </c>
      <c r="K314" s="3"/>
    </row>
    <row r="315" spans="1:11" x14ac:dyDescent="0.45">
      <c r="A315" s="1" t="s">
        <v>1190</v>
      </c>
      <c r="B315" s="1">
        <v>314</v>
      </c>
      <c r="C315" s="12" t="s">
        <v>785</v>
      </c>
      <c r="D315" s="1" t="s">
        <v>1191</v>
      </c>
      <c r="E315" s="1">
        <v>20</v>
      </c>
      <c r="F315" s="1" t="s">
        <v>29</v>
      </c>
      <c r="K315" s="3"/>
    </row>
    <row r="316" spans="1:11" x14ac:dyDescent="0.45">
      <c r="A316" s="1" t="s">
        <v>1192</v>
      </c>
      <c r="B316" s="1">
        <v>315</v>
      </c>
      <c r="C316" s="12" t="s">
        <v>788</v>
      </c>
      <c r="D316" s="1" t="s">
        <v>1193</v>
      </c>
      <c r="E316" s="1">
        <v>20</v>
      </c>
      <c r="F316" s="1" t="s">
        <v>29</v>
      </c>
      <c r="K316" s="3"/>
    </row>
    <row r="317" spans="1:11" x14ac:dyDescent="0.45">
      <c r="A317" s="1" t="s">
        <v>1194</v>
      </c>
      <c r="B317" s="1">
        <v>316</v>
      </c>
      <c r="C317" s="12" t="s">
        <v>791</v>
      </c>
      <c r="D317" s="1" t="s">
        <v>1195</v>
      </c>
      <c r="E317" s="1">
        <v>20</v>
      </c>
      <c r="F317" s="1" t="s">
        <v>29</v>
      </c>
      <c r="K317" s="3"/>
    </row>
    <row r="318" spans="1:11" x14ac:dyDescent="0.45">
      <c r="A318" s="1" t="s">
        <v>1196</v>
      </c>
      <c r="B318" s="1">
        <v>317</v>
      </c>
      <c r="C318" s="12" t="s">
        <v>794</v>
      </c>
      <c r="D318" s="1" t="s">
        <v>1197</v>
      </c>
      <c r="E318" s="1">
        <v>20</v>
      </c>
      <c r="F318" s="1" t="s">
        <v>29</v>
      </c>
      <c r="K318" s="3"/>
    </row>
    <row r="319" spans="1:11" x14ac:dyDescent="0.45">
      <c r="A319" s="1" t="s">
        <v>1198</v>
      </c>
      <c r="B319" s="1">
        <v>318</v>
      </c>
      <c r="C319" s="12" t="s">
        <v>797</v>
      </c>
      <c r="D319" s="1" t="s">
        <v>1199</v>
      </c>
      <c r="E319" s="1">
        <v>20</v>
      </c>
      <c r="F319" s="1" t="s">
        <v>29</v>
      </c>
      <c r="K319" s="3"/>
    </row>
    <row r="320" spans="1:11" x14ac:dyDescent="0.45">
      <c r="A320" s="1" t="s">
        <v>1200</v>
      </c>
      <c r="B320" s="1">
        <v>319</v>
      </c>
      <c r="C320" s="12" t="s">
        <v>800</v>
      </c>
      <c r="D320" s="1" t="s">
        <v>1201</v>
      </c>
      <c r="E320" s="1">
        <v>20</v>
      </c>
      <c r="F320" s="1" t="s">
        <v>29</v>
      </c>
      <c r="K320" s="3"/>
    </row>
    <row r="321" spans="1:11" x14ac:dyDescent="0.45">
      <c r="A321" s="1" t="s">
        <v>1202</v>
      </c>
      <c r="B321" s="1">
        <v>320</v>
      </c>
      <c r="C321" s="12" t="s">
        <v>803</v>
      </c>
      <c r="D321" s="1" t="s">
        <v>1203</v>
      </c>
      <c r="E321" s="1">
        <v>20</v>
      </c>
      <c r="F321" s="1" t="s">
        <v>29</v>
      </c>
      <c r="K321" s="3"/>
    </row>
    <row r="322" spans="1:11" x14ac:dyDescent="0.45">
      <c r="A322" s="1" t="s">
        <v>1204</v>
      </c>
      <c r="B322" s="1">
        <v>321</v>
      </c>
      <c r="C322" s="12" t="s">
        <v>806</v>
      </c>
      <c r="D322" s="1" t="s">
        <v>1205</v>
      </c>
      <c r="E322" s="1">
        <v>20</v>
      </c>
      <c r="F322" s="1" t="s">
        <v>29</v>
      </c>
      <c r="K322" s="3"/>
    </row>
    <row r="323" spans="1:11" x14ac:dyDescent="0.45">
      <c r="A323" s="1" t="s">
        <v>1206</v>
      </c>
      <c r="B323" s="1">
        <v>322</v>
      </c>
      <c r="C323" s="12" t="s">
        <v>809</v>
      </c>
      <c r="D323" s="1" t="s">
        <v>1207</v>
      </c>
      <c r="E323" s="1">
        <v>20</v>
      </c>
      <c r="F323" s="1" t="s">
        <v>29</v>
      </c>
      <c r="K323" s="3"/>
    </row>
    <row r="324" spans="1:11" x14ac:dyDescent="0.45">
      <c r="A324" s="1" t="s">
        <v>1208</v>
      </c>
      <c r="B324" s="1">
        <v>323</v>
      </c>
      <c r="C324" s="12" t="s">
        <v>812</v>
      </c>
      <c r="D324" s="1" t="s">
        <v>1209</v>
      </c>
      <c r="E324" s="1">
        <v>20</v>
      </c>
      <c r="F324" s="1" t="s">
        <v>29</v>
      </c>
      <c r="K324" s="3"/>
    </row>
    <row r="325" spans="1:11" x14ac:dyDescent="0.45">
      <c r="A325" s="1" t="s">
        <v>1210</v>
      </c>
      <c r="B325" s="1">
        <v>324</v>
      </c>
      <c r="C325" s="12" t="s">
        <v>815</v>
      </c>
      <c r="D325" s="1" t="s">
        <v>1211</v>
      </c>
      <c r="E325" s="1">
        <v>20</v>
      </c>
      <c r="F325" s="1" t="s">
        <v>29</v>
      </c>
      <c r="K325" s="3"/>
    </row>
    <row r="326" spans="1:11" x14ac:dyDescent="0.45">
      <c r="A326" s="1" t="s">
        <v>1212</v>
      </c>
      <c r="B326" s="1">
        <v>325</v>
      </c>
      <c r="C326" s="12" t="s">
        <v>818</v>
      </c>
      <c r="D326" s="1" t="s">
        <v>1213</v>
      </c>
      <c r="E326" s="1">
        <v>20</v>
      </c>
      <c r="F326" s="1" t="s">
        <v>29</v>
      </c>
      <c r="K326" s="3"/>
    </row>
    <row r="327" spans="1:11" x14ac:dyDescent="0.45">
      <c r="A327" s="1" t="s">
        <v>1214</v>
      </c>
      <c r="B327" s="1">
        <v>326</v>
      </c>
      <c r="C327" s="12" t="s">
        <v>821</v>
      </c>
      <c r="D327" s="1" t="s">
        <v>1215</v>
      </c>
      <c r="E327" s="1">
        <v>20</v>
      </c>
      <c r="F327" s="1" t="s">
        <v>29</v>
      </c>
      <c r="K327" s="3"/>
    </row>
    <row r="328" spans="1:11" x14ac:dyDescent="0.45">
      <c r="A328" s="1" t="s">
        <v>1216</v>
      </c>
      <c r="B328" s="1">
        <v>327</v>
      </c>
      <c r="C328" s="12" t="s">
        <v>824</v>
      </c>
      <c r="D328" s="1" t="s">
        <v>1217</v>
      </c>
      <c r="E328" s="1">
        <v>20</v>
      </c>
      <c r="F328" s="1" t="s">
        <v>29</v>
      </c>
      <c r="K328" s="3"/>
    </row>
    <row r="329" spans="1:11" x14ac:dyDescent="0.45">
      <c r="A329" s="1" t="s">
        <v>1218</v>
      </c>
      <c r="B329" s="1">
        <v>328</v>
      </c>
      <c r="C329" s="12" t="s">
        <v>827</v>
      </c>
      <c r="D329" s="1" t="s">
        <v>1219</v>
      </c>
      <c r="E329" s="1">
        <v>20</v>
      </c>
      <c r="F329" s="1" t="s">
        <v>29</v>
      </c>
      <c r="K329" s="3"/>
    </row>
    <row r="330" spans="1:11" x14ac:dyDescent="0.45">
      <c r="A330" s="1" t="s">
        <v>1220</v>
      </c>
      <c r="B330" s="1">
        <v>329</v>
      </c>
      <c r="C330" s="12" t="s">
        <v>830</v>
      </c>
      <c r="D330" s="1" t="s">
        <v>1221</v>
      </c>
      <c r="E330" s="1">
        <v>20</v>
      </c>
      <c r="F330" s="1" t="s">
        <v>29</v>
      </c>
      <c r="K330" s="3"/>
    </row>
    <row r="331" spans="1:11" x14ac:dyDescent="0.45">
      <c r="A331" s="1" t="s">
        <v>1222</v>
      </c>
      <c r="B331" s="1">
        <v>330</v>
      </c>
      <c r="C331" s="12" t="s">
        <v>833</v>
      </c>
      <c r="D331" s="1" t="s">
        <v>1223</v>
      </c>
      <c r="E331" s="1">
        <v>20</v>
      </c>
      <c r="F331" s="1" t="s">
        <v>29</v>
      </c>
      <c r="K331" s="3"/>
    </row>
    <row r="332" spans="1:11" x14ac:dyDescent="0.45">
      <c r="A332" s="1" t="s">
        <v>1224</v>
      </c>
      <c r="B332" s="1">
        <v>331</v>
      </c>
      <c r="C332" s="12" t="s">
        <v>836</v>
      </c>
      <c r="D332" s="1" t="s">
        <v>1225</v>
      </c>
      <c r="E332" s="1">
        <v>20</v>
      </c>
      <c r="F332" s="1" t="s">
        <v>29</v>
      </c>
      <c r="K332" s="3"/>
    </row>
    <row r="333" spans="1:11" x14ac:dyDescent="0.45">
      <c r="A333" s="1" t="s">
        <v>1226</v>
      </c>
      <c r="B333" s="1">
        <v>332</v>
      </c>
      <c r="C333" s="12" t="s">
        <v>839</v>
      </c>
      <c r="D333" s="1" t="s">
        <v>1227</v>
      </c>
      <c r="E333" s="1">
        <v>20</v>
      </c>
      <c r="F333" s="1" t="s">
        <v>29</v>
      </c>
      <c r="K333" s="3"/>
    </row>
    <row r="334" spans="1:11" x14ac:dyDescent="0.45">
      <c r="A334" s="1" t="s">
        <v>1228</v>
      </c>
      <c r="B334" s="1">
        <v>333</v>
      </c>
      <c r="C334" s="12" t="s">
        <v>842</v>
      </c>
      <c r="D334" s="1" t="s">
        <v>1229</v>
      </c>
      <c r="E334" s="1">
        <v>20</v>
      </c>
      <c r="F334" s="1" t="s">
        <v>29</v>
      </c>
      <c r="K334" s="3"/>
    </row>
    <row r="335" spans="1:11" x14ac:dyDescent="0.45">
      <c r="A335" s="1" t="s">
        <v>1230</v>
      </c>
      <c r="B335" s="1">
        <v>334</v>
      </c>
      <c r="C335" s="12" t="s">
        <v>845</v>
      </c>
      <c r="D335" s="1" t="s">
        <v>1231</v>
      </c>
      <c r="E335" s="1">
        <v>20</v>
      </c>
      <c r="F335" s="1" t="s">
        <v>29</v>
      </c>
      <c r="K335" s="3"/>
    </row>
    <row r="336" spans="1:11" x14ac:dyDescent="0.45">
      <c r="A336" s="1" t="s">
        <v>1232</v>
      </c>
      <c r="B336" s="1">
        <v>335</v>
      </c>
      <c r="C336" s="12" t="s">
        <v>848</v>
      </c>
      <c r="D336" s="1" t="s">
        <v>1233</v>
      </c>
      <c r="E336" s="1">
        <v>20</v>
      </c>
      <c r="F336" s="1" t="s">
        <v>29</v>
      </c>
      <c r="K336" s="3"/>
    </row>
    <row r="337" spans="1:11" x14ac:dyDescent="0.45">
      <c r="A337" s="1" t="s">
        <v>1234</v>
      </c>
      <c r="B337" s="1">
        <v>336</v>
      </c>
      <c r="C337" s="12" t="s">
        <v>851</v>
      </c>
      <c r="D337" s="1" t="s">
        <v>1235</v>
      </c>
      <c r="E337" s="1">
        <v>20</v>
      </c>
      <c r="F337" s="1" t="s">
        <v>29</v>
      </c>
      <c r="K337" s="3"/>
    </row>
    <row r="338" spans="1:11" x14ac:dyDescent="0.45">
      <c r="A338" s="1" t="s">
        <v>1236</v>
      </c>
      <c r="B338" s="1">
        <v>337</v>
      </c>
      <c r="C338" s="12" t="s">
        <v>854</v>
      </c>
      <c r="D338" s="1" t="s">
        <v>1237</v>
      </c>
      <c r="E338" s="1">
        <v>20</v>
      </c>
      <c r="F338" s="1" t="s">
        <v>29</v>
      </c>
      <c r="K338" s="3"/>
    </row>
    <row r="339" spans="1:11" x14ac:dyDescent="0.45">
      <c r="A339" s="1" t="s">
        <v>1238</v>
      </c>
      <c r="B339" s="1">
        <v>338</v>
      </c>
      <c r="C339" s="12" t="s">
        <v>857</v>
      </c>
      <c r="D339" s="1" t="s">
        <v>1239</v>
      </c>
      <c r="E339" s="1">
        <v>20</v>
      </c>
      <c r="F339" s="1" t="s">
        <v>29</v>
      </c>
      <c r="K339" s="3"/>
    </row>
    <row r="340" spans="1:11" x14ac:dyDescent="0.45">
      <c r="A340" s="1" t="s">
        <v>1240</v>
      </c>
      <c r="B340" s="1">
        <v>339</v>
      </c>
      <c r="C340" s="12" t="s">
        <v>860</v>
      </c>
      <c r="D340" s="1" t="s">
        <v>1241</v>
      </c>
      <c r="E340" s="1">
        <v>20</v>
      </c>
      <c r="F340" s="1" t="s">
        <v>29</v>
      </c>
      <c r="K340" s="3"/>
    </row>
    <row r="341" spans="1:11" x14ac:dyDescent="0.45">
      <c r="A341" s="1" t="s">
        <v>1242</v>
      </c>
      <c r="B341" s="1">
        <v>340</v>
      </c>
      <c r="C341" s="12" t="s">
        <v>863</v>
      </c>
      <c r="D341" s="1" t="s">
        <v>1243</v>
      </c>
      <c r="E341" s="1">
        <v>20</v>
      </c>
      <c r="F341" s="1" t="s">
        <v>29</v>
      </c>
      <c r="K341" s="3"/>
    </row>
    <row r="342" spans="1:11" x14ac:dyDescent="0.45">
      <c r="A342" s="1" t="s">
        <v>1244</v>
      </c>
      <c r="B342" s="1">
        <v>341</v>
      </c>
      <c r="C342" s="12" t="s">
        <v>866</v>
      </c>
      <c r="D342" s="1" t="s">
        <v>1245</v>
      </c>
      <c r="E342" s="1">
        <v>20</v>
      </c>
      <c r="F342" s="1" t="s">
        <v>29</v>
      </c>
      <c r="K342" s="3"/>
    </row>
    <row r="343" spans="1:11" x14ac:dyDescent="0.45">
      <c r="A343" s="1" t="s">
        <v>1246</v>
      </c>
      <c r="B343" s="1">
        <v>342</v>
      </c>
      <c r="C343" s="12" t="s">
        <v>869</v>
      </c>
      <c r="D343" s="1" t="s">
        <v>1247</v>
      </c>
      <c r="E343" s="1">
        <v>20</v>
      </c>
      <c r="F343" s="1" t="s">
        <v>29</v>
      </c>
      <c r="K343" s="3"/>
    </row>
    <row r="344" spans="1:11" x14ac:dyDescent="0.45">
      <c r="A344" s="1" t="s">
        <v>1248</v>
      </c>
      <c r="B344" s="1">
        <v>343</v>
      </c>
      <c r="C344" s="12" t="s">
        <v>872</v>
      </c>
      <c r="D344" s="1" t="s">
        <v>1249</v>
      </c>
      <c r="E344" s="1">
        <v>20</v>
      </c>
      <c r="F344" s="1" t="s">
        <v>29</v>
      </c>
      <c r="K344" s="3"/>
    </row>
    <row r="345" spans="1:11" x14ac:dyDescent="0.45">
      <c r="A345" s="1" t="s">
        <v>1250</v>
      </c>
      <c r="B345" s="1">
        <v>344</v>
      </c>
      <c r="C345" s="12" t="s">
        <v>875</v>
      </c>
      <c r="D345" s="1" t="s">
        <v>1251</v>
      </c>
      <c r="E345" s="1">
        <v>20</v>
      </c>
      <c r="F345" s="1" t="s">
        <v>29</v>
      </c>
      <c r="K345" s="3"/>
    </row>
    <row r="346" spans="1:11" x14ac:dyDescent="0.45">
      <c r="A346" s="1" t="s">
        <v>1252</v>
      </c>
      <c r="B346" s="1">
        <v>345</v>
      </c>
      <c r="C346" s="12" t="s">
        <v>878</v>
      </c>
      <c r="D346" s="1" t="s">
        <v>1253</v>
      </c>
      <c r="E346" s="1">
        <v>20</v>
      </c>
      <c r="F346" s="1" t="s">
        <v>29</v>
      </c>
      <c r="K346" s="3"/>
    </row>
    <row r="347" spans="1:11" x14ac:dyDescent="0.45">
      <c r="A347" s="1" t="s">
        <v>1254</v>
      </c>
      <c r="B347" s="1">
        <v>346</v>
      </c>
      <c r="C347" s="12" t="s">
        <v>881</v>
      </c>
      <c r="D347" s="1" t="s">
        <v>1255</v>
      </c>
      <c r="E347" s="1">
        <v>20</v>
      </c>
      <c r="F347" s="1" t="s">
        <v>29</v>
      </c>
      <c r="K347" s="3"/>
    </row>
    <row r="348" spans="1:11" x14ac:dyDescent="0.45">
      <c r="A348" s="1" t="s">
        <v>1256</v>
      </c>
      <c r="B348" s="1">
        <v>347</v>
      </c>
      <c r="C348" s="12" t="s">
        <v>884</v>
      </c>
      <c r="D348" s="1" t="s">
        <v>1257</v>
      </c>
      <c r="E348" s="1">
        <v>20</v>
      </c>
      <c r="F348" s="1" t="s">
        <v>29</v>
      </c>
      <c r="K348" s="3"/>
    </row>
    <row r="349" spans="1:11" x14ac:dyDescent="0.45">
      <c r="A349" s="1" t="s">
        <v>1258</v>
      </c>
      <c r="B349" s="1">
        <v>348</v>
      </c>
      <c r="C349" s="12" t="s">
        <v>887</v>
      </c>
      <c r="D349" s="1" t="s">
        <v>1259</v>
      </c>
      <c r="E349" s="1">
        <v>20</v>
      </c>
      <c r="F349" s="1" t="s">
        <v>29</v>
      </c>
      <c r="K349" s="3"/>
    </row>
    <row r="350" spans="1:11" x14ac:dyDescent="0.45">
      <c r="A350" s="1" t="s">
        <v>1260</v>
      </c>
      <c r="B350" s="1">
        <v>349</v>
      </c>
      <c r="C350" s="12" t="s">
        <v>890</v>
      </c>
      <c r="D350" s="1" t="s">
        <v>1261</v>
      </c>
      <c r="E350" s="1">
        <v>20</v>
      </c>
      <c r="F350" s="1" t="s">
        <v>29</v>
      </c>
      <c r="K350" s="3"/>
    </row>
    <row r="351" spans="1:11" x14ac:dyDescent="0.45">
      <c r="A351" s="1" t="s">
        <v>1262</v>
      </c>
      <c r="B351" s="1">
        <v>350</v>
      </c>
      <c r="C351" s="12" t="s">
        <v>893</v>
      </c>
      <c r="D351" s="1" t="s">
        <v>1263</v>
      </c>
      <c r="E351" s="1">
        <v>20</v>
      </c>
      <c r="F351" s="1" t="s">
        <v>29</v>
      </c>
      <c r="K351" s="3"/>
    </row>
    <row r="352" spans="1:11" x14ac:dyDescent="0.45">
      <c r="A352" s="1" t="s">
        <v>1264</v>
      </c>
      <c r="B352" s="1">
        <v>351</v>
      </c>
      <c r="C352" s="12" t="s">
        <v>896</v>
      </c>
      <c r="D352" s="1" t="s">
        <v>1265</v>
      </c>
      <c r="E352" s="1">
        <v>20</v>
      </c>
      <c r="F352" s="1" t="s">
        <v>29</v>
      </c>
      <c r="K352" s="3"/>
    </row>
    <row r="353" spans="1:11" x14ac:dyDescent="0.45">
      <c r="A353" s="1" t="s">
        <v>1266</v>
      </c>
      <c r="B353" s="1">
        <v>352</v>
      </c>
      <c r="C353" s="12" t="s">
        <v>899</v>
      </c>
      <c r="D353" s="1" t="s">
        <v>1267</v>
      </c>
      <c r="E353" s="1">
        <v>20</v>
      </c>
      <c r="F353" s="1" t="s">
        <v>29</v>
      </c>
      <c r="K353" s="3"/>
    </row>
    <row r="354" spans="1:11" x14ac:dyDescent="0.45">
      <c r="A354" s="1" t="s">
        <v>1268</v>
      </c>
      <c r="B354" s="1">
        <v>353</v>
      </c>
      <c r="C354" s="12" t="s">
        <v>902</v>
      </c>
      <c r="D354" s="1" t="s">
        <v>1269</v>
      </c>
      <c r="E354" s="1">
        <v>20</v>
      </c>
      <c r="F354" s="1" t="s">
        <v>29</v>
      </c>
      <c r="K354" s="3"/>
    </row>
    <row r="355" spans="1:11" x14ac:dyDescent="0.45">
      <c r="A355" s="1" t="s">
        <v>1270</v>
      </c>
      <c r="B355" s="1">
        <v>354</v>
      </c>
      <c r="C355" s="12" t="s">
        <v>905</v>
      </c>
      <c r="D355" s="1" t="s">
        <v>1271</v>
      </c>
      <c r="E355" s="1">
        <v>20</v>
      </c>
      <c r="F355" s="1" t="s">
        <v>29</v>
      </c>
      <c r="K355" s="3"/>
    </row>
    <row r="356" spans="1:11" x14ac:dyDescent="0.45">
      <c r="A356" s="1" t="s">
        <v>1272</v>
      </c>
      <c r="B356" s="1">
        <v>355</v>
      </c>
      <c r="C356" s="12" t="s">
        <v>908</v>
      </c>
      <c r="D356" s="1" t="s">
        <v>1273</v>
      </c>
      <c r="E356" s="1">
        <v>20</v>
      </c>
      <c r="F356" s="1" t="s">
        <v>29</v>
      </c>
      <c r="K356" s="3"/>
    </row>
    <row r="357" spans="1:11" x14ac:dyDescent="0.45">
      <c r="A357" s="1" t="s">
        <v>1274</v>
      </c>
      <c r="B357" s="1">
        <v>356</v>
      </c>
      <c r="C357" s="12" t="s">
        <v>911</v>
      </c>
      <c r="D357" s="1" t="s">
        <v>1275</v>
      </c>
      <c r="E357" s="1">
        <v>20</v>
      </c>
      <c r="F357" s="1" t="s">
        <v>29</v>
      </c>
      <c r="K357" s="3"/>
    </row>
    <row r="358" spans="1:11" x14ac:dyDescent="0.45">
      <c r="A358" s="1" t="s">
        <v>1276</v>
      </c>
      <c r="B358" s="1">
        <v>357</v>
      </c>
      <c r="C358" s="12" t="s">
        <v>914</v>
      </c>
      <c r="D358" s="1" t="s">
        <v>1277</v>
      </c>
      <c r="E358" s="1">
        <v>20</v>
      </c>
      <c r="F358" s="1" t="s">
        <v>29</v>
      </c>
      <c r="K358" s="3"/>
    </row>
    <row r="359" spans="1:11" x14ac:dyDescent="0.45">
      <c r="A359" s="1" t="s">
        <v>1278</v>
      </c>
      <c r="B359" s="1">
        <v>358</v>
      </c>
      <c r="C359" s="12" t="s">
        <v>917</v>
      </c>
      <c r="D359" s="1" t="s">
        <v>1279</v>
      </c>
      <c r="E359" s="1">
        <v>20</v>
      </c>
      <c r="F359" s="1" t="s">
        <v>29</v>
      </c>
      <c r="K359" s="3"/>
    </row>
    <row r="360" spans="1:11" x14ac:dyDescent="0.45">
      <c r="A360" s="1" t="s">
        <v>1280</v>
      </c>
      <c r="B360" s="1">
        <v>359</v>
      </c>
      <c r="C360" s="12" t="s">
        <v>920</v>
      </c>
      <c r="D360" s="1" t="s">
        <v>1281</v>
      </c>
      <c r="E360" s="1">
        <v>20</v>
      </c>
      <c r="F360" s="1" t="s">
        <v>29</v>
      </c>
      <c r="K360" s="3"/>
    </row>
    <row r="361" spans="1:11" x14ac:dyDescent="0.45">
      <c r="A361" s="1" t="s">
        <v>1282</v>
      </c>
      <c r="B361" s="1">
        <v>360</v>
      </c>
      <c r="C361" s="12" t="s">
        <v>923</v>
      </c>
      <c r="D361" s="1" t="s">
        <v>1283</v>
      </c>
      <c r="E361" s="1">
        <v>20</v>
      </c>
      <c r="F361" s="1" t="s">
        <v>29</v>
      </c>
      <c r="K361" s="3"/>
    </row>
    <row r="362" spans="1:11" x14ac:dyDescent="0.45">
      <c r="A362" s="1" t="s">
        <v>1284</v>
      </c>
      <c r="B362" s="1">
        <v>361</v>
      </c>
      <c r="C362" s="12" t="s">
        <v>926</v>
      </c>
      <c r="D362" s="1" t="s">
        <v>1285</v>
      </c>
      <c r="E362" s="1">
        <v>20</v>
      </c>
      <c r="F362" s="1" t="s">
        <v>29</v>
      </c>
      <c r="K362" s="3"/>
    </row>
    <row r="363" spans="1:11" x14ac:dyDescent="0.45">
      <c r="A363" s="1" t="s">
        <v>1286</v>
      </c>
      <c r="B363" s="1">
        <v>362</v>
      </c>
      <c r="C363" s="12" t="s">
        <v>929</v>
      </c>
      <c r="D363" s="1" t="s">
        <v>1287</v>
      </c>
      <c r="E363" s="1">
        <v>20</v>
      </c>
      <c r="F363" s="1" t="s">
        <v>29</v>
      </c>
      <c r="K363" s="3"/>
    </row>
    <row r="364" spans="1:11" x14ac:dyDescent="0.45">
      <c r="A364" s="1" t="s">
        <v>1288</v>
      </c>
      <c r="B364" s="1">
        <v>363</v>
      </c>
      <c r="C364" s="12" t="s">
        <v>932</v>
      </c>
      <c r="D364" s="1" t="s">
        <v>1289</v>
      </c>
      <c r="E364" s="1">
        <v>20</v>
      </c>
      <c r="F364" s="1" t="s">
        <v>29</v>
      </c>
      <c r="K364" s="3"/>
    </row>
    <row r="365" spans="1:11" x14ac:dyDescent="0.45">
      <c r="A365" s="1" t="s">
        <v>1290</v>
      </c>
      <c r="B365" s="1">
        <v>364</v>
      </c>
      <c r="C365" s="12" t="s">
        <v>935</v>
      </c>
      <c r="D365" s="1" t="s">
        <v>1291</v>
      </c>
      <c r="E365" s="1">
        <v>20</v>
      </c>
      <c r="F365" s="1" t="s">
        <v>29</v>
      </c>
      <c r="K365" s="3"/>
    </row>
    <row r="366" spans="1:11" x14ac:dyDescent="0.45">
      <c r="A366" s="1" t="s">
        <v>1292</v>
      </c>
      <c r="B366" s="1">
        <v>365</v>
      </c>
      <c r="C366" s="12" t="s">
        <v>938</v>
      </c>
      <c r="D366" s="1" t="s">
        <v>1293</v>
      </c>
      <c r="E366" s="1">
        <v>20</v>
      </c>
      <c r="F366" s="1" t="s">
        <v>29</v>
      </c>
      <c r="K366" s="3"/>
    </row>
    <row r="367" spans="1:11" x14ac:dyDescent="0.45">
      <c r="A367" s="1" t="s">
        <v>1294</v>
      </c>
      <c r="B367" s="1">
        <v>366</v>
      </c>
      <c r="C367" s="12" t="s">
        <v>941</v>
      </c>
      <c r="D367" s="1" t="s">
        <v>1295</v>
      </c>
      <c r="E367" s="1">
        <v>20</v>
      </c>
      <c r="F367" s="1" t="s">
        <v>29</v>
      </c>
      <c r="K367" s="3"/>
    </row>
    <row r="368" spans="1:11" x14ac:dyDescent="0.45">
      <c r="A368" s="1" t="s">
        <v>1296</v>
      </c>
      <c r="B368" s="1">
        <v>367</v>
      </c>
      <c r="C368" s="12" t="s">
        <v>944</v>
      </c>
      <c r="D368" s="1" t="s">
        <v>1297</v>
      </c>
      <c r="E368" s="1">
        <v>20</v>
      </c>
      <c r="F368" s="1" t="s">
        <v>29</v>
      </c>
      <c r="K368" s="3"/>
    </row>
    <row r="369" spans="1:11" x14ac:dyDescent="0.45">
      <c r="A369" s="1" t="s">
        <v>1298</v>
      </c>
      <c r="B369" s="1">
        <v>368</v>
      </c>
      <c r="C369" s="12" t="s">
        <v>947</v>
      </c>
      <c r="D369" s="1" t="s">
        <v>1299</v>
      </c>
      <c r="E369" s="1">
        <v>20</v>
      </c>
      <c r="F369" s="1" t="s">
        <v>29</v>
      </c>
      <c r="K369" s="3"/>
    </row>
    <row r="370" spans="1:11" x14ac:dyDescent="0.45">
      <c r="A370" s="1" t="s">
        <v>1300</v>
      </c>
      <c r="B370" s="1">
        <v>369</v>
      </c>
      <c r="C370" s="12" t="s">
        <v>950</v>
      </c>
      <c r="D370" s="1" t="s">
        <v>1301</v>
      </c>
      <c r="E370" s="1">
        <v>20</v>
      </c>
      <c r="F370" s="1" t="s">
        <v>29</v>
      </c>
      <c r="K370" s="3"/>
    </row>
    <row r="371" spans="1:11" x14ac:dyDescent="0.45">
      <c r="A371" s="1" t="s">
        <v>1302</v>
      </c>
      <c r="B371" s="1">
        <v>370</v>
      </c>
      <c r="C371" s="12" t="s">
        <v>953</v>
      </c>
      <c r="D371" s="1" t="s">
        <v>1303</v>
      </c>
      <c r="E371" s="1">
        <v>20</v>
      </c>
      <c r="F371" s="1" t="s">
        <v>29</v>
      </c>
      <c r="K371" s="3"/>
    </row>
    <row r="372" spans="1:11" x14ac:dyDescent="0.45">
      <c r="A372" s="1" t="s">
        <v>1304</v>
      </c>
      <c r="B372" s="1">
        <v>371</v>
      </c>
      <c r="C372" s="12" t="s">
        <v>956</v>
      </c>
      <c r="D372" s="1" t="s">
        <v>1305</v>
      </c>
      <c r="E372" s="1">
        <v>20</v>
      </c>
      <c r="F372" s="1" t="s">
        <v>29</v>
      </c>
      <c r="K372" s="3"/>
    </row>
    <row r="373" spans="1:11" x14ac:dyDescent="0.45">
      <c r="A373" s="1" t="s">
        <v>1306</v>
      </c>
      <c r="B373" s="1">
        <v>372</v>
      </c>
      <c r="C373" s="12" t="s">
        <v>959</v>
      </c>
      <c r="D373" s="1" t="s">
        <v>1307</v>
      </c>
      <c r="E373" s="1">
        <v>20</v>
      </c>
      <c r="F373" s="1" t="s">
        <v>29</v>
      </c>
      <c r="K373" s="3"/>
    </row>
    <row r="374" spans="1:11" x14ac:dyDescent="0.45">
      <c r="A374" s="1" t="s">
        <v>1308</v>
      </c>
      <c r="B374" s="1">
        <v>373</v>
      </c>
      <c r="C374" s="12" t="s">
        <v>962</v>
      </c>
      <c r="D374" s="1" t="s">
        <v>1309</v>
      </c>
      <c r="E374" s="1">
        <v>20</v>
      </c>
      <c r="F374" s="1" t="s">
        <v>29</v>
      </c>
      <c r="K374" s="3"/>
    </row>
    <row r="375" spans="1:11" x14ac:dyDescent="0.45">
      <c r="A375" s="1" t="s">
        <v>1310</v>
      </c>
      <c r="B375" s="1">
        <v>374</v>
      </c>
      <c r="C375" s="12" t="s">
        <v>965</v>
      </c>
      <c r="D375" s="1" t="s">
        <v>1311</v>
      </c>
      <c r="E375" s="1">
        <v>20</v>
      </c>
      <c r="F375" s="1" t="s">
        <v>29</v>
      </c>
      <c r="K375" s="3"/>
    </row>
    <row r="376" spans="1:11" x14ac:dyDescent="0.45">
      <c r="A376" s="1" t="s">
        <v>1312</v>
      </c>
      <c r="B376" s="1">
        <v>375</v>
      </c>
      <c r="C376" s="12" t="s">
        <v>968</v>
      </c>
      <c r="D376" s="1" t="s">
        <v>1313</v>
      </c>
      <c r="E376" s="1">
        <v>20</v>
      </c>
      <c r="F376" s="1" t="s">
        <v>29</v>
      </c>
      <c r="K376" s="3"/>
    </row>
    <row r="377" spans="1:11" x14ac:dyDescent="0.45">
      <c r="A377" s="1" t="s">
        <v>1314</v>
      </c>
      <c r="B377" s="1">
        <v>376</v>
      </c>
      <c r="C377" s="12" t="s">
        <v>971</v>
      </c>
      <c r="D377" s="1" t="s">
        <v>1315</v>
      </c>
      <c r="E377" s="1">
        <v>20</v>
      </c>
      <c r="F377" s="1" t="s">
        <v>29</v>
      </c>
      <c r="K377" s="3"/>
    </row>
    <row r="378" spans="1:11" x14ac:dyDescent="0.45">
      <c r="A378" s="1" t="s">
        <v>1316</v>
      </c>
      <c r="B378" s="1">
        <v>377</v>
      </c>
      <c r="C378" s="12" t="s">
        <v>974</v>
      </c>
      <c r="D378" s="1" t="s">
        <v>1317</v>
      </c>
      <c r="E378" s="1">
        <v>20</v>
      </c>
      <c r="F378" s="1" t="s">
        <v>29</v>
      </c>
      <c r="K378" s="3"/>
    </row>
    <row r="379" spans="1:11" x14ac:dyDescent="0.45">
      <c r="A379" s="1" t="s">
        <v>1318</v>
      </c>
      <c r="B379" s="1">
        <v>378</v>
      </c>
      <c r="C379" s="12" t="s">
        <v>977</v>
      </c>
      <c r="D379" s="1" t="s">
        <v>1319</v>
      </c>
      <c r="E379" s="1">
        <v>20</v>
      </c>
      <c r="F379" s="1" t="s">
        <v>29</v>
      </c>
      <c r="K379" s="3"/>
    </row>
    <row r="380" spans="1:11" x14ac:dyDescent="0.45">
      <c r="A380" s="1" t="s">
        <v>1320</v>
      </c>
      <c r="B380" s="1">
        <v>379</v>
      </c>
      <c r="C380" s="12" t="s">
        <v>980</v>
      </c>
      <c r="D380" s="1" t="s">
        <v>1321</v>
      </c>
      <c r="E380" s="1">
        <v>20</v>
      </c>
      <c r="F380" s="1" t="s">
        <v>29</v>
      </c>
      <c r="K380" s="3"/>
    </row>
    <row r="381" spans="1:11" x14ac:dyDescent="0.45">
      <c r="A381" s="1" t="s">
        <v>1322</v>
      </c>
      <c r="B381" s="1">
        <v>380</v>
      </c>
      <c r="C381" s="12" t="s">
        <v>983</v>
      </c>
      <c r="D381" s="1" t="s">
        <v>1323</v>
      </c>
      <c r="E381" s="1">
        <v>20</v>
      </c>
      <c r="F381" s="1" t="s">
        <v>29</v>
      </c>
      <c r="K381" s="3"/>
    </row>
    <row r="382" spans="1:11" x14ac:dyDescent="0.45">
      <c r="A382" s="1" t="s">
        <v>1324</v>
      </c>
      <c r="B382" s="1">
        <v>381</v>
      </c>
      <c r="C382" s="12" t="s">
        <v>986</v>
      </c>
      <c r="D382" s="1" t="s">
        <v>1325</v>
      </c>
      <c r="E382" s="1">
        <v>20</v>
      </c>
      <c r="F382" s="1" t="s">
        <v>29</v>
      </c>
      <c r="K382" s="3"/>
    </row>
    <row r="383" spans="1:11" x14ac:dyDescent="0.45">
      <c r="A383" s="1" t="s">
        <v>1326</v>
      </c>
      <c r="B383" s="1">
        <v>382</v>
      </c>
      <c r="C383" s="12" t="s">
        <v>989</v>
      </c>
      <c r="D383" s="1" t="s">
        <v>1327</v>
      </c>
      <c r="E383" s="1">
        <v>20</v>
      </c>
      <c r="F383" s="1" t="s">
        <v>29</v>
      </c>
      <c r="K383" s="3"/>
    </row>
    <row r="384" spans="1:11" x14ac:dyDescent="0.45">
      <c r="A384" s="1" t="s">
        <v>1328</v>
      </c>
      <c r="B384" s="1">
        <v>383</v>
      </c>
      <c r="C384" s="12" t="s">
        <v>992</v>
      </c>
      <c r="D384" s="1" t="s">
        <v>1329</v>
      </c>
      <c r="E384" s="1">
        <v>20</v>
      </c>
      <c r="F384" s="1" t="s">
        <v>29</v>
      </c>
      <c r="K384" s="3"/>
    </row>
    <row r="385" spans="1:11" x14ac:dyDescent="0.45">
      <c r="A385" s="1" t="s">
        <v>1330</v>
      </c>
      <c r="B385" s="1">
        <v>384</v>
      </c>
      <c r="C385" s="12" t="s">
        <v>995</v>
      </c>
      <c r="D385" s="1" t="s">
        <v>1331</v>
      </c>
      <c r="E385" s="1">
        <v>20</v>
      </c>
      <c r="F385" s="1" t="s">
        <v>29</v>
      </c>
      <c r="K385" s="3"/>
    </row>
    <row r="386" spans="1:11" x14ac:dyDescent="0.45">
      <c r="A386" s="1" t="s">
        <v>1332</v>
      </c>
      <c r="B386" s="1">
        <v>385</v>
      </c>
      <c r="C386" s="12" t="s">
        <v>998</v>
      </c>
      <c r="D386" s="1" t="s">
        <v>1333</v>
      </c>
      <c r="E386" s="1">
        <v>20</v>
      </c>
      <c r="F386" s="1" t="s">
        <v>29</v>
      </c>
      <c r="K386" s="3"/>
    </row>
    <row r="387" spans="1:11" x14ac:dyDescent="0.45">
      <c r="A387" s="1" t="s">
        <v>1334</v>
      </c>
      <c r="B387" s="1">
        <v>386</v>
      </c>
      <c r="C387" s="12" t="s">
        <v>1001</v>
      </c>
      <c r="D387" s="1" t="s">
        <v>1335</v>
      </c>
      <c r="E387" s="1">
        <v>20</v>
      </c>
      <c r="F387" s="1" t="s">
        <v>29</v>
      </c>
      <c r="K387" s="3"/>
    </row>
    <row r="388" spans="1:11" x14ac:dyDescent="0.45">
      <c r="A388" s="1" t="s">
        <v>1336</v>
      </c>
      <c r="B388" s="1">
        <v>387</v>
      </c>
      <c r="C388" s="12" t="s">
        <v>1004</v>
      </c>
      <c r="D388" s="1" t="s">
        <v>1337</v>
      </c>
      <c r="E388" s="1">
        <v>20</v>
      </c>
      <c r="F388" s="1" t="s">
        <v>29</v>
      </c>
      <c r="K388" s="3"/>
    </row>
    <row r="389" spans="1:11" x14ac:dyDescent="0.45">
      <c r="A389" s="1" t="s">
        <v>1338</v>
      </c>
      <c r="B389" s="1">
        <v>388</v>
      </c>
      <c r="C389" s="12" t="s">
        <v>1007</v>
      </c>
      <c r="D389" s="1" t="s">
        <v>1339</v>
      </c>
      <c r="E389" s="1">
        <v>20</v>
      </c>
      <c r="F389" s="1" t="s">
        <v>29</v>
      </c>
      <c r="K389" s="3"/>
    </row>
    <row r="390" spans="1:11" x14ac:dyDescent="0.45">
      <c r="A390" s="1" t="s">
        <v>1340</v>
      </c>
      <c r="B390" s="1">
        <v>389</v>
      </c>
      <c r="C390" s="12" t="s">
        <v>1010</v>
      </c>
      <c r="D390" s="1" t="s">
        <v>1341</v>
      </c>
      <c r="E390" s="1">
        <v>20</v>
      </c>
      <c r="F390" s="1" t="s">
        <v>29</v>
      </c>
      <c r="K390" s="3"/>
    </row>
    <row r="391" spans="1:11" x14ac:dyDescent="0.45">
      <c r="A391" s="1" t="s">
        <v>1342</v>
      </c>
      <c r="B391" s="1">
        <v>390</v>
      </c>
      <c r="C391" s="12" t="s">
        <v>1013</v>
      </c>
      <c r="D391" s="1" t="s">
        <v>1343</v>
      </c>
      <c r="E391" s="1">
        <v>20</v>
      </c>
      <c r="F391" s="1" t="s">
        <v>29</v>
      </c>
      <c r="K391" s="3"/>
    </row>
    <row r="392" spans="1:11" x14ac:dyDescent="0.45">
      <c r="A392" s="1" t="s">
        <v>1344</v>
      </c>
      <c r="B392" s="1">
        <v>391</v>
      </c>
      <c r="C392" s="12" t="s">
        <v>1016</v>
      </c>
      <c r="D392" s="1" t="s">
        <v>1345</v>
      </c>
      <c r="E392" s="1">
        <v>20</v>
      </c>
      <c r="F392" s="1" t="s">
        <v>29</v>
      </c>
      <c r="K392" s="3"/>
    </row>
    <row r="393" spans="1:11" x14ac:dyDescent="0.45">
      <c r="A393" s="1" t="s">
        <v>1346</v>
      </c>
      <c r="B393" s="1">
        <v>392</v>
      </c>
      <c r="C393" s="12" t="s">
        <v>1019</v>
      </c>
      <c r="D393" s="1" t="s">
        <v>1347</v>
      </c>
      <c r="E393" s="1">
        <v>20</v>
      </c>
      <c r="F393" s="1" t="s">
        <v>29</v>
      </c>
      <c r="K393" s="3"/>
    </row>
    <row r="394" spans="1:11" x14ac:dyDescent="0.45">
      <c r="A394" s="1" t="s">
        <v>1348</v>
      </c>
      <c r="B394" s="1">
        <v>393</v>
      </c>
      <c r="C394" s="12" t="s">
        <v>1022</v>
      </c>
      <c r="D394" s="1" t="s">
        <v>1349</v>
      </c>
      <c r="E394" s="1">
        <v>20</v>
      </c>
      <c r="F394" s="1" t="s">
        <v>29</v>
      </c>
      <c r="K394" s="3"/>
    </row>
    <row r="395" spans="1:11" x14ac:dyDescent="0.45">
      <c r="A395" s="1" t="s">
        <v>2031</v>
      </c>
      <c r="B395" s="1">
        <v>394</v>
      </c>
      <c r="C395" s="12" t="s">
        <v>2032</v>
      </c>
      <c r="D395" s="1" t="s">
        <v>2033</v>
      </c>
      <c r="E395" s="1">
        <v>20</v>
      </c>
      <c r="F395" s="1" t="s">
        <v>29</v>
      </c>
      <c r="K395" s="3"/>
    </row>
    <row r="396" spans="1:11" x14ac:dyDescent="0.45">
      <c r="A396" s="1" t="s">
        <v>2034</v>
      </c>
      <c r="B396" s="1">
        <v>395</v>
      </c>
      <c r="C396" s="12" t="s">
        <v>2035</v>
      </c>
      <c r="D396" s="1" t="s">
        <v>2036</v>
      </c>
      <c r="E396" s="1">
        <v>20</v>
      </c>
      <c r="F396" s="1" t="s">
        <v>29</v>
      </c>
      <c r="K396" s="3"/>
    </row>
    <row r="397" spans="1:11" x14ac:dyDescent="0.45">
      <c r="A397" s="1" t="s">
        <v>2037</v>
      </c>
      <c r="B397" s="1">
        <v>396</v>
      </c>
      <c r="C397" s="12" t="s">
        <v>2038</v>
      </c>
      <c r="D397" s="1" t="s">
        <v>2039</v>
      </c>
      <c r="E397" s="1">
        <v>20</v>
      </c>
      <c r="F397" s="1" t="s">
        <v>29</v>
      </c>
      <c r="K397" s="3"/>
    </row>
    <row r="398" spans="1:11" x14ac:dyDescent="0.45">
      <c r="A398" s="1" t="s">
        <v>2040</v>
      </c>
      <c r="B398" s="1">
        <v>397</v>
      </c>
      <c r="C398" s="12" t="s">
        <v>2041</v>
      </c>
      <c r="D398" s="1" t="s">
        <v>2042</v>
      </c>
      <c r="E398" s="1">
        <v>20</v>
      </c>
      <c r="F398" s="1" t="s">
        <v>29</v>
      </c>
      <c r="K398" s="3"/>
    </row>
    <row r="399" spans="1:11" x14ac:dyDescent="0.45">
      <c r="A399" s="1" t="s">
        <v>2043</v>
      </c>
      <c r="B399" s="1">
        <v>398</v>
      </c>
      <c r="C399" s="12" t="s">
        <v>2044</v>
      </c>
      <c r="D399" s="1" t="s">
        <v>2045</v>
      </c>
      <c r="E399" s="1">
        <v>20</v>
      </c>
      <c r="F399" s="1" t="s">
        <v>29</v>
      </c>
      <c r="K399" s="3"/>
    </row>
    <row r="400" spans="1:11" x14ac:dyDescent="0.45">
      <c r="A400" s="1" t="s">
        <v>2046</v>
      </c>
      <c r="B400" s="1">
        <v>399</v>
      </c>
      <c r="C400" s="12" t="s">
        <v>2047</v>
      </c>
      <c r="D400" s="1" t="s">
        <v>2048</v>
      </c>
      <c r="E400" s="1">
        <v>20</v>
      </c>
      <c r="F400" s="1" t="s">
        <v>29</v>
      </c>
      <c r="K400" s="3"/>
    </row>
    <row r="401" spans="1:11" x14ac:dyDescent="0.45">
      <c r="A401" s="1" t="s">
        <v>2049</v>
      </c>
      <c r="B401" s="1">
        <v>400</v>
      </c>
      <c r="C401" s="12" t="s">
        <v>2050</v>
      </c>
      <c r="D401" s="1" t="s">
        <v>2051</v>
      </c>
      <c r="E401" s="1">
        <v>20</v>
      </c>
      <c r="F401" s="1" t="s">
        <v>29</v>
      </c>
      <c r="K401" s="3"/>
    </row>
    <row r="402" spans="1:11" x14ac:dyDescent="0.45">
      <c r="A402" s="1" t="s">
        <v>2052</v>
      </c>
      <c r="B402" s="1">
        <v>401</v>
      </c>
      <c r="C402" s="12" t="s">
        <v>2053</v>
      </c>
      <c r="D402" s="1" t="s">
        <v>2054</v>
      </c>
      <c r="E402" s="1">
        <v>20</v>
      </c>
      <c r="F402" s="1" t="s">
        <v>29</v>
      </c>
      <c r="K402" s="3"/>
    </row>
    <row r="403" spans="1:11" x14ac:dyDescent="0.45">
      <c r="A403" s="1" t="s">
        <v>2055</v>
      </c>
      <c r="B403" s="1">
        <v>402</v>
      </c>
      <c r="C403" s="12" t="s">
        <v>2056</v>
      </c>
      <c r="D403" s="1" t="s">
        <v>2057</v>
      </c>
      <c r="E403" s="1">
        <v>20</v>
      </c>
      <c r="F403" s="1" t="s">
        <v>29</v>
      </c>
      <c r="K403" s="3"/>
    </row>
    <row r="404" spans="1:11" x14ac:dyDescent="0.45">
      <c r="A404" s="1" t="s">
        <v>2058</v>
      </c>
      <c r="B404" s="1">
        <v>403</v>
      </c>
      <c r="C404" s="12" t="s">
        <v>2059</v>
      </c>
      <c r="D404" s="1" t="s">
        <v>2060</v>
      </c>
      <c r="E404" s="1">
        <v>20</v>
      </c>
      <c r="F404" s="1" t="s">
        <v>29</v>
      </c>
      <c r="K404" s="3"/>
    </row>
    <row r="405" spans="1:11" x14ac:dyDescent="0.45">
      <c r="A405" s="1" t="s">
        <v>2061</v>
      </c>
      <c r="B405" s="1">
        <v>404</v>
      </c>
      <c r="C405" s="12" t="s">
        <v>2062</v>
      </c>
      <c r="D405" s="1" t="s">
        <v>2063</v>
      </c>
      <c r="E405" s="1">
        <v>20</v>
      </c>
      <c r="F405" s="1" t="s">
        <v>29</v>
      </c>
      <c r="K405" s="3"/>
    </row>
    <row r="406" spans="1:11" x14ac:dyDescent="0.45">
      <c r="A406" s="1" t="s">
        <v>2064</v>
      </c>
      <c r="B406" s="1">
        <v>405</v>
      </c>
      <c r="C406" s="12" t="s">
        <v>2065</v>
      </c>
      <c r="D406" s="1" t="s">
        <v>2066</v>
      </c>
      <c r="E406" s="1">
        <v>20</v>
      </c>
      <c r="F406" s="1" t="s">
        <v>29</v>
      </c>
      <c r="K406" s="3"/>
    </row>
    <row r="407" spans="1:11" x14ac:dyDescent="0.45">
      <c r="A407" s="1" t="s">
        <v>2067</v>
      </c>
      <c r="B407" s="1">
        <v>406</v>
      </c>
      <c r="C407" s="12" t="s">
        <v>2068</v>
      </c>
      <c r="D407" s="1" t="s">
        <v>2069</v>
      </c>
      <c r="E407" s="1">
        <v>20</v>
      </c>
      <c r="F407" s="1" t="s">
        <v>29</v>
      </c>
      <c r="K407" s="3"/>
    </row>
    <row r="408" spans="1:11" x14ac:dyDescent="0.45">
      <c r="A408" s="1" t="s">
        <v>2070</v>
      </c>
      <c r="B408" s="1">
        <v>407</v>
      </c>
      <c r="C408" s="12" t="s">
        <v>2071</v>
      </c>
      <c r="D408" s="1" t="s">
        <v>2072</v>
      </c>
      <c r="E408" s="1">
        <v>20</v>
      </c>
      <c r="F408" s="1" t="s">
        <v>29</v>
      </c>
      <c r="K408" s="3"/>
    </row>
    <row r="409" spans="1:11" x14ac:dyDescent="0.45">
      <c r="A409" s="1" t="s">
        <v>2073</v>
      </c>
      <c r="B409" s="1">
        <v>408</v>
      </c>
      <c r="C409" s="12" t="s">
        <v>2074</v>
      </c>
      <c r="D409" s="1" t="s">
        <v>2075</v>
      </c>
      <c r="E409" s="1">
        <v>20</v>
      </c>
      <c r="F409" s="1" t="s">
        <v>29</v>
      </c>
      <c r="K409" s="3"/>
    </row>
    <row r="410" spans="1:11" x14ac:dyDescent="0.45">
      <c r="A410" s="1" t="s">
        <v>2076</v>
      </c>
      <c r="B410" s="1">
        <v>409</v>
      </c>
      <c r="C410" s="12" t="s">
        <v>2077</v>
      </c>
      <c r="D410" s="1" t="s">
        <v>2078</v>
      </c>
      <c r="E410" s="1">
        <v>20</v>
      </c>
      <c r="F410" s="1" t="s">
        <v>29</v>
      </c>
      <c r="K410" s="3"/>
    </row>
    <row r="411" spans="1:11" x14ac:dyDescent="0.45">
      <c r="A411" s="1" t="s">
        <v>2079</v>
      </c>
      <c r="B411" s="1">
        <v>410</v>
      </c>
      <c r="C411" s="12" t="s">
        <v>2080</v>
      </c>
      <c r="D411" s="1" t="s">
        <v>2081</v>
      </c>
      <c r="E411" s="1">
        <v>20</v>
      </c>
      <c r="F411" s="1" t="s">
        <v>29</v>
      </c>
      <c r="K411" s="3"/>
    </row>
    <row r="412" spans="1:11" x14ac:dyDescent="0.45">
      <c r="A412" s="1" t="s">
        <v>2082</v>
      </c>
      <c r="B412" s="1">
        <v>411</v>
      </c>
      <c r="C412" s="12" t="s">
        <v>2083</v>
      </c>
      <c r="D412" s="1" t="s">
        <v>2084</v>
      </c>
      <c r="E412" s="1">
        <v>20</v>
      </c>
      <c r="F412" s="1" t="s">
        <v>29</v>
      </c>
      <c r="K412" s="3"/>
    </row>
    <row r="413" spans="1:11" x14ac:dyDescent="0.45">
      <c r="A413" s="1" t="s">
        <v>2085</v>
      </c>
      <c r="B413" s="1">
        <v>412</v>
      </c>
      <c r="C413" s="12" t="s">
        <v>2086</v>
      </c>
      <c r="D413" s="1" t="s">
        <v>2087</v>
      </c>
      <c r="E413" s="1">
        <v>20</v>
      </c>
      <c r="F413" s="1" t="s">
        <v>29</v>
      </c>
      <c r="K413" s="3"/>
    </row>
    <row r="414" spans="1:11" x14ac:dyDescent="0.45">
      <c r="A414" s="1" t="s">
        <v>2088</v>
      </c>
      <c r="B414" s="1">
        <v>413</v>
      </c>
      <c r="C414" s="12" t="s">
        <v>2089</v>
      </c>
      <c r="D414" s="1" t="s">
        <v>2090</v>
      </c>
      <c r="E414" s="1">
        <v>20</v>
      </c>
      <c r="F414" s="1" t="s">
        <v>29</v>
      </c>
      <c r="K414" s="3"/>
    </row>
    <row r="415" spans="1:11" x14ac:dyDescent="0.45">
      <c r="A415" s="1" t="s">
        <v>2091</v>
      </c>
      <c r="B415" s="1">
        <v>414</v>
      </c>
      <c r="C415" s="12" t="s">
        <v>2092</v>
      </c>
      <c r="D415" s="1" t="s">
        <v>2093</v>
      </c>
      <c r="E415" s="1">
        <v>20</v>
      </c>
      <c r="F415" s="1" t="s">
        <v>29</v>
      </c>
      <c r="K415" s="3"/>
    </row>
    <row r="416" spans="1:11" x14ac:dyDescent="0.45">
      <c r="A416" s="1" t="s">
        <v>2094</v>
      </c>
      <c r="B416" s="1">
        <v>415</v>
      </c>
      <c r="C416" s="12" t="s">
        <v>2095</v>
      </c>
      <c r="D416" s="1" t="s">
        <v>2096</v>
      </c>
      <c r="E416" s="1">
        <v>20</v>
      </c>
      <c r="F416" s="1" t="s">
        <v>29</v>
      </c>
      <c r="K416" s="3"/>
    </row>
    <row r="417" spans="1:11" x14ac:dyDescent="0.45">
      <c r="A417" s="1" t="s">
        <v>2097</v>
      </c>
      <c r="B417" s="1">
        <v>416</v>
      </c>
      <c r="C417" s="12" t="s">
        <v>2098</v>
      </c>
      <c r="D417" s="1" t="s">
        <v>2099</v>
      </c>
      <c r="E417" s="1">
        <v>20</v>
      </c>
      <c r="F417" s="1" t="s">
        <v>29</v>
      </c>
      <c r="K417" s="3"/>
    </row>
    <row r="418" spans="1:11" x14ac:dyDescent="0.45">
      <c r="A418" s="1" t="s">
        <v>2100</v>
      </c>
      <c r="B418" s="1">
        <v>417</v>
      </c>
      <c r="C418" s="12" t="s">
        <v>2101</v>
      </c>
      <c r="D418" s="1" t="s">
        <v>2102</v>
      </c>
      <c r="E418" s="1">
        <v>20</v>
      </c>
      <c r="F418" s="1" t="s">
        <v>29</v>
      </c>
      <c r="K418" s="3"/>
    </row>
    <row r="419" spans="1:11" x14ac:dyDescent="0.45">
      <c r="A419" s="1" t="s">
        <v>2103</v>
      </c>
      <c r="B419" s="1">
        <v>418</v>
      </c>
      <c r="C419" s="12" t="s">
        <v>3092</v>
      </c>
      <c r="D419" s="1" t="s">
        <v>2104</v>
      </c>
      <c r="E419" s="1">
        <v>20</v>
      </c>
      <c r="F419" s="1" t="s">
        <v>29</v>
      </c>
      <c r="K419" s="3"/>
    </row>
    <row r="420" spans="1:11" x14ac:dyDescent="0.45">
      <c r="A420" s="1" t="s">
        <v>2105</v>
      </c>
      <c r="B420" s="1">
        <v>419</v>
      </c>
      <c r="C420" s="12" t="s">
        <v>2106</v>
      </c>
      <c r="D420" s="1" t="s">
        <v>2107</v>
      </c>
      <c r="E420" s="1">
        <v>20</v>
      </c>
      <c r="F420" s="1" t="s">
        <v>29</v>
      </c>
      <c r="K420" s="3"/>
    </row>
    <row r="421" spans="1:11" x14ac:dyDescent="0.45">
      <c r="A421" s="1" t="s">
        <v>2108</v>
      </c>
      <c r="B421" s="1">
        <v>420</v>
      </c>
      <c r="C421" s="12" t="s">
        <v>2109</v>
      </c>
      <c r="D421" s="1" t="s">
        <v>2110</v>
      </c>
      <c r="E421" s="1">
        <v>20</v>
      </c>
      <c r="F421" s="1" t="s">
        <v>29</v>
      </c>
      <c r="K421" s="3"/>
    </row>
    <row r="422" spans="1:11" x14ac:dyDescent="0.45">
      <c r="A422" s="1" t="s">
        <v>2111</v>
      </c>
      <c r="B422" s="1">
        <v>421</v>
      </c>
      <c r="C422" s="12" t="s">
        <v>2112</v>
      </c>
      <c r="D422" s="1" t="s">
        <v>2113</v>
      </c>
      <c r="E422" s="1">
        <v>20</v>
      </c>
      <c r="F422" s="1" t="s">
        <v>29</v>
      </c>
      <c r="K422" s="3"/>
    </row>
    <row r="423" spans="1:11" x14ac:dyDescent="0.45">
      <c r="A423" s="1" t="s">
        <v>2114</v>
      </c>
      <c r="B423" s="1">
        <v>422</v>
      </c>
      <c r="C423" s="12" t="s">
        <v>2115</v>
      </c>
      <c r="D423" s="1" t="s">
        <v>2116</v>
      </c>
      <c r="E423" s="1">
        <v>20</v>
      </c>
      <c r="F423" s="1" t="s">
        <v>29</v>
      </c>
      <c r="K423" s="3"/>
    </row>
    <row r="424" spans="1:11" x14ac:dyDescent="0.45">
      <c r="A424" s="1" t="s">
        <v>2117</v>
      </c>
      <c r="B424" s="1">
        <v>423</v>
      </c>
      <c r="C424" s="12" t="s">
        <v>2118</v>
      </c>
      <c r="D424" s="1" t="s">
        <v>2119</v>
      </c>
      <c r="E424" s="1">
        <v>20</v>
      </c>
      <c r="F424" s="1" t="s">
        <v>29</v>
      </c>
      <c r="K424" s="3"/>
    </row>
    <row r="425" spans="1:11" x14ac:dyDescent="0.45">
      <c r="A425" s="1" t="s">
        <v>2120</v>
      </c>
      <c r="B425" s="1">
        <v>424</v>
      </c>
      <c r="C425" s="12" t="s">
        <v>2121</v>
      </c>
      <c r="D425" s="1" t="s">
        <v>2122</v>
      </c>
      <c r="E425" s="1">
        <v>20</v>
      </c>
      <c r="F425" s="1" t="s">
        <v>29</v>
      </c>
      <c r="K425" s="3"/>
    </row>
    <row r="426" spans="1:11" x14ac:dyDescent="0.45">
      <c r="A426" s="1" t="s">
        <v>2123</v>
      </c>
      <c r="B426" s="1">
        <v>425</v>
      </c>
      <c r="C426" s="12" t="s">
        <v>2124</v>
      </c>
      <c r="D426" s="1" t="s">
        <v>2125</v>
      </c>
      <c r="E426" s="1">
        <v>20</v>
      </c>
      <c r="F426" s="1" t="s">
        <v>29</v>
      </c>
      <c r="K426" s="3"/>
    </row>
    <row r="427" spans="1:11" x14ac:dyDescent="0.45">
      <c r="A427" s="1" t="s">
        <v>2126</v>
      </c>
      <c r="B427" s="1">
        <v>426</v>
      </c>
      <c r="C427" s="12" t="s">
        <v>2127</v>
      </c>
      <c r="D427" s="1" t="s">
        <v>2128</v>
      </c>
      <c r="E427" s="1">
        <v>20</v>
      </c>
      <c r="F427" s="1" t="s">
        <v>29</v>
      </c>
      <c r="K427" s="3"/>
    </row>
    <row r="428" spans="1:11" x14ac:dyDescent="0.45">
      <c r="A428" s="1" t="s">
        <v>2129</v>
      </c>
      <c r="B428" s="1">
        <v>427</v>
      </c>
      <c r="C428" s="12" t="s">
        <v>3093</v>
      </c>
      <c r="D428" s="1" t="s">
        <v>2130</v>
      </c>
      <c r="E428" s="1">
        <v>20</v>
      </c>
      <c r="F428" s="1" t="s">
        <v>29</v>
      </c>
      <c r="K428" s="3"/>
    </row>
    <row r="429" spans="1:11" x14ac:dyDescent="0.45">
      <c r="A429" s="1" t="s">
        <v>2131</v>
      </c>
      <c r="B429" s="1">
        <v>428</v>
      </c>
      <c r="C429" s="12" t="s">
        <v>2132</v>
      </c>
      <c r="D429" s="1" t="s">
        <v>2133</v>
      </c>
      <c r="E429" s="1">
        <v>20</v>
      </c>
      <c r="F429" s="1" t="s">
        <v>29</v>
      </c>
      <c r="K429" s="3"/>
    </row>
    <row r="430" spans="1:11" x14ac:dyDescent="0.45">
      <c r="A430" s="1" t="s">
        <v>2134</v>
      </c>
      <c r="B430" s="1">
        <v>429</v>
      </c>
      <c r="C430" s="12" t="s">
        <v>2135</v>
      </c>
      <c r="D430" s="1" t="s">
        <v>2136</v>
      </c>
      <c r="E430" s="1">
        <v>20</v>
      </c>
      <c r="F430" s="1" t="s">
        <v>29</v>
      </c>
      <c r="K430" s="3"/>
    </row>
    <row r="431" spans="1:11" x14ac:dyDescent="0.45">
      <c r="A431" s="1" t="s">
        <v>2137</v>
      </c>
      <c r="B431" s="1">
        <v>430</v>
      </c>
      <c r="C431" s="12" t="s">
        <v>2138</v>
      </c>
      <c r="D431" s="1" t="s">
        <v>2139</v>
      </c>
      <c r="E431" s="1">
        <v>20</v>
      </c>
      <c r="F431" s="1" t="s">
        <v>29</v>
      </c>
      <c r="K431" s="3"/>
    </row>
    <row r="432" spans="1:11" x14ac:dyDescent="0.45">
      <c r="A432" s="1" t="s">
        <v>2140</v>
      </c>
      <c r="B432" s="1">
        <v>431</v>
      </c>
      <c r="C432" s="12" t="s">
        <v>2141</v>
      </c>
      <c r="D432" s="1" t="s">
        <v>2142</v>
      </c>
      <c r="E432" s="1">
        <v>20</v>
      </c>
      <c r="F432" s="1" t="s">
        <v>29</v>
      </c>
      <c r="K432" s="3"/>
    </row>
    <row r="433" spans="1:11" x14ac:dyDescent="0.45">
      <c r="A433" s="1" t="s">
        <v>2143</v>
      </c>
      <c r="B433" s="1">
        <v>432</v>
      </c>
      <c r="C433" s="12" t="s">
        <v>2144</v>
      </c>
      <c r="D433" s="1" t="s">
        <v>2145</v>
      </c>
      <c r="E433" s="1">
        <v>20</v>
      </c>
      <c r="F433" s="1" t="s">
        <v>29</v>
      </c>
      <c r="K433" s="3"/>
    </row>
    <row r="434" spans="1:11" x14ac:dyDescent="0.45">
      <c r="A434" s="1" t="s">
        <v>2146</v>
      </c>
      <c r="B434" s="1">
        <v>433</v>
      </c>
      <c r="C434" s="12" t="s">
        <v>2147</v>
      </c>
      <c r="D434" s="1" t="s">
        <v>2148</v>
      </c>
      <c r="E434" s="1">
        <v>20</v>
      </c>
      <c r="F434" s="1" t="s">
        <v>29</v>
      </c>
      <c r="K434" s="3"/>
    </row>
    <row r="435" spans="1:11" x14ac:dyDescent="0.45">
      <c r="A435" s="1" t="s">
        <v>2149</v>
      </c>
      <c r="B435" s="1">
        <v>434</v>
      </c>
      <c r="C435" s="12" t="s">
        <v>2150</v>
      </c>
      <c r="D435" s="1" t="s">
        <v>2151</v>
      </c>
      <c r="E435" s="1">
        <v>20</v>
      </c>
      <c r="F435" s="1" t="s">
        <v>29</v>
      </c>
      <c r="K435" s="3"/>
    </row>
    <row r="436" spans="1:11" x14ac:dyDescent="0.45">
      <c r="A436" s="1" t="s">
        <v>2152</v>
      </c>
      <c r="B436" s="1">
        <v>435</v>
      </c>
      <c r="C436" s="12" t="s">
        <v>3094</v>
      </c>
      <c r="D436" s="1" t="s">
        <v>2153</v>
      </c>
      <c r="E436" s="1">
        <v>20</v>
      </c>
      <c r="F436" s="1" t="s">
        <v>29</v>
      </c>
      <c r="K436" s="3"/>
    </row>
    <row r="437" spans="1:11" x14ac:dyDescent="0.45">
      <c r="A437" s="1" t="s">
        <v>2154</v>
      </c>
      <c r="B437" s="1">
        <v>436</v>
      </c>
      <c r="C437" s="12" t="s">
        <v>2155</v>
      </c>
      <c r="D437" s="1" t="s">
        <v>2156</v>
      </c>
      <c r="E437" s="1">
        <v>20</v>
      </c>
      <c r="F437" s="1" t="s">
        <v>29</v>
      </c>
      <c r="K437" s="3"/>
    </row>
    <row r="438" spans="1:11" x14ac:dyDescent="0.45">
      <c r="A438" s="1" t="s">
        <v>2157</v>
      </c>
      <c r="B438" s="1">
        <v>437</v>
      </c>
      <c r="C438" s="12" t="s">
        <v>2158</v>
      </c>
      <c r="D438" s="1" t="s">
        <v>2159</v>
      </c>
      <c r="E438" s="1">
        <v>20</v>
      </c>
      <c r="F438" s="1" t="s">
        <v>29</v>
      </c>
      <c r="K438" s="3"/>
    </row>
    <row r="439" spans="1:11" x14ac:dyDescent="0.45">
      <c r="A439" s="1" t="s">
        <v>2160</v>
      </c>
      <c r="B439" s="1">
        <v>438</v>
      </c>
      <c r="C439" s="12" t="s">
        <v>2161</v>
      </c>
      <c r="D439" s="1" t="s">
        <v>2162</v>
      </c>
      <c r="E439" s="1">
        <v>20</v>
      </c>
      <c r="F439" s="1" t="s">
        <v>29</v>
      </c>
      <c r="K439" s="3"/>
    </row>
    <row r="440" spans="1:11" x14ac:dyDescent="0.45">
      <c r="A440" s="1" t="s">
        <v>2163</v>
      </c>
      <c r="B440" s="1">
        <v>439</v>
      </c>
      <c r="C440" s="12" t="s">
        <v>2164</v>
      </c>
      <c r="D440" s="1" t="s">
        <v>2165</v>
      </c>
      <c r="E440" s="1">
        <v>20</v>
      </c>
      <c r="F440" s="1" t="s">
        <v>29</v>
      </c>
      <c r="K440" s="3"/>
    </row>
    <row r="441" spans="1:11" x14ac:dyDescent="0.45">
      <c r="A441" s="1" t="s">
        <v>2166</v>
      </c>
      <c r="B441" s="1">
        <v>440</v>
      </c>
      <c r="C441" s="12" t="s">
        <v>2167</v>
      </c>
      <c r="D441" s="1" t="s">
        <v>2168</v>
      </c>
      <c r="E441" s="1">
        <v>20</v>
      </c>
      <c r="F441" s="1" t="s">
        <v>29</v>
      </c>
      <c r="K441" s="3"/>
    </row>
    <row r="442" spans="1:11" x14ac:dyDescent="0.45">
      <c r="A442" s="1" t="s">
        <v>2169</v>
      </c>
      <c r="B442" s="1">
        <v>441</v>
      </c>
      <c r="C442" s="12" t="s">
        <v>2170</v>
      </c>
      <c r="D442" s="1" t="s">
        <v>2171</v>
      </c>
      <c r="E442" s="1">
        <v>20</v>
      </c>
      <c r="F442" s="1" t="s">
        <v>29</v>
      </c>
      <c r="K442" s="3"/>
    </row>
    <row r="443" spans="1:11" x14ac:dyDescent="0.45">
      <c r="A443" s="1" t="s">
        <v>2172</v>
      </c>
      <c r="B443" s="1">
        <v>442</v>
      </c>
      <c r="C443" s="12" t="s">
        <v>2173</v>
      </c>
      <c r="D443" s="1" t="s">
        <v>2174</v>
      </c>
      <c r="E443" s="1">
        <v>20</v>
      </c>
      <c r="F443" s="1" t="s">
        <v>29</v>
      </c>
      <c r="K443" s="3"/>
    </row>
    <row r="444" spans="1:11" x14ac:dyDescent="0.45">
      <c r="A444" s="1" t="s">
        <v>2175</v>
      </c>
      <c r="B444" s="1">
        <v>443</v>
      </c>
      <c r="C444" s="12" t="s">
        <v>2176</v>
      </c>
      <c r="D444" s="1" t="s">
        <v>2177</v>
      </c>
      <c r="E444" s="1">
        <v>20</v>
      </c>
      <c r="F444" s="1" t="s">
        <v>29</v>
      </c>
      <c r="K444" s="3"/>
    </row>
    <row r="445" spans="1:11" x14ac:dyDescent="0.45">
      <c r="A445" s="1" t="s">
        <v>2178</v>
      </c>
      <c r="B445" s="1">
        <v>444</v>
      </c>
      <c r="C445" s="12" t="s">
        <v>2179</v>
      </c>
      <c r="D445" s="1" t="s">
        <v>2180</v>
      </c>
      <c r="E445" s="1">
        <v>20</v>
      </c>
      <c r="F445" s="1" t="s">
        <v>29</v>
      </c>
      <c r="K445" s="3"/>
    </row>
    <row r="446" spans="1:11" x14ac:dyDescent="0.45">
      <c r="A446" s="1" t="s">
        <v>2181</v>
      </c>
      <c r="B446" s="1">
        <v>445</v>
      </c>
      <c r="C446" s="12" t="s">
        <v>2182</v>
      </c>
      <c r="D446" s="1" t="s">
        <v>2183</v>
      </c>
      <c r="E446" s="1">
        <v>20</v>
      </c>
      <c r="F446" s="1" t="s">
        <v>29</v>
      </c>
      <c r="K446" s="3"/>
    </row>
    <row r="447" spans="1:11" x14ac:dyDescent="0.45">
      <c r="A447" s="1" t="s">
        <v>2184</v>
      </c>
      <c r="B447" s="1">
        <v>446</v>
      </c>
      <c r="C447" s="12" t="s">
        <v>2185</v>
      </c>
      <c r="D447" s="1" t="s">
        <v>2186</v>
      </c>
      <c r="E447" s="1">
        <v>20</v>
      </c>
      <c r="F447" s="1" t="s">
        <v>29</v>
      </c>
      <c r="K447" s="3"/>
    </row>
    <row r="448" spans="1:11" x14ac:dyDescent="0.45">
      <c r="A448" s="1" t="s">
        <v>2187</v>
      </c>
      <c r="B448" s="1">
        <v>447</v>
      </c>
      <c r="C448" s="12" t="s">
        <v>2188</v>
      </c>
      <c r="D448" s="1" t="s">
        <v>2189</v>
      </c>
      <c r="E448" s="1">
        <v>20</v>
      </c>
      <c r="F448" s="1" t="s">
        <v>29</v>
      </c>
      <c r="K448" s="3"/>
    </row>
    <row r="449" spans="1:11" x14ac:dyDescent="0.45">
      <c r="A449" s="1" t="s">
        <v>2190</v>
      </c>
      <c r="B449" s="1">
        <v>448</v>
      </c>
      <c r="C449" s="12" t="s">
        <v>2191</v>
      </c>
      <c r="D449" s="1" t="s">
        <v>2192</v>
      </c>
      <c r="E449" s="1">
        <v>20</v>
      </c>
      <c r="F449" s="1" t="s">
        <v>29</v>
      </c>
      <c r="K449" s="3"/>
    </row>
    <row r="450" spans="1:11" x14ac:dyDescent="0.45">
      <c r="A450" s="1" t="s">
        <v>2193</v>
      </c>
      <c r="B450" s="1">
        <v>449</v>
      </c>
      <c r="C450" s="12" t="s">
        <v>2194</v>
      </c>
      <c r="D450" s="1" t="s">
        <v>2195</v>
      </c>
      <c r="E450" s="1">
        <v>20</v>
      </c>
      <c r="F450" s="1" t="s">
        <v>29</v>
      </c>
      <c r="K450" s="3"/>
    </row>
    <row r="451" spans="1:11" x14ac:dyDescent="0.45">
      <c r="A451" s="1" t="s">
        <v>2196</v>
      </c>
      <c r="B451" s="1">
        <v>450</v>
      </c>
      <c r="C451" s="12" t="s">
        <v>2197</v>
      </c>
      <c r="D451" s="1" t="s">
        <v>2198</v>
      </c>
      <c r="E451" s="1">
        <v>20</v>
      </c>
      <c r="F451" s="1" t="s">
        <v>29</v>
      </c>
      <c r="K451" s="3"/>
    </row>
    <row r="452" spans="1:11" x14ac:dyDescent="0.45">
      <c r="A452" s="1" t="s">
        <v>2199</v>
      </c>
      <c r="B452" s="1">
        <v>451</v>
      </c>
      <c r="C452" s="12" t="s">
        <v>2200</v>
      </c>
      <c r="D452" s="1" t="s">
        <v>2201</v>
      </c>
      <c r="E452" s="1">
        <v>20</v>
      </c>
      <c r="F452" s="1" t="s">
        <v>29</v>
      </c>
      <c r="K452" s="3"/>
    </row>
    <row r="453" spans="1:11" x14ac:dyDescent="0.45">
      <c r="A453" s="1" t="s">
        <v>2202</v>
      </c>
      <c r="B453" s="1">
        <v>452</v>
      </c>
      <c r="C453" s="12" t="s">
        <v>2203</v>
      </c>
      <c r="D453" s="1" t="s">
        <v>2204</v>
      </c>
      <c r="E453" s="1">
        <v>20</v>
      </c>
      <c r="F453" s="1" t="s">
        <v>29</v>
      </c>
      <c r="K453" s="3"/>
    </row>
    <row r="454" spans="1:11" x14ac:dyDescent="0.45">
      <c r="A454" s="1" t="s">
        <v>2205</v>
      </c>
      <c r="B454" s="1">
        <v>453</v>
      </c>
      <c r="C454" s="12" t="s">
        <v>2206</v>
      </c>
      <c r="D454" s="1" t="s">
        <v>2207</v>
      </c>
      <c r="E454" s="1">
        <v>20</v>
      </c>
      <c r="F454" s="1" t="s">
        <v>29</v>
      </c>
      <c r="K454" s="3"/>
    </row>
    <row r="455" spans="1:11" x14ac:dyDescent="0.45">
      <c r="A455" s="1" t="s">
        <v>2208</v>
      </c>
      <c r="B455" s="1">
        <v>454</v>
      </c>
      <c r="C455" s="12" t="s">
        <v>2209</v>
      </c>
      <c r="D455" s="1" t="s">
        <v>2210</v>
      </c>
      <c r="E455" s="1">
        <v>20</v>
      </c>
      <c r="F455" s="1" t="s">
        <v>29</v>
      </c>
      <c r="K455" s="3"/>
    </row>
    <row r="456" spans="1:11" x14ac:dyDescent="0.45">
      <c r="A456" s="1" t="s">
        <v>2211</v>
      </c>
      <c r="B456" s="1">
        <v>455</v>
      </c>
      <c r="C456" s="12" t="s">
        <v>2212</v>
      </c>
      <c r="D456" s="1" t="s">
        <v>2213</v>
      </c>
      <c r="E456" s="1">
        <v>20</v>
      </c>
      <c r="F456" s="1" t="s">
        <v>29</v>
      </c>
      <c r="K456" s="3"/>
    </row>
    <row r="457" spans="1:11" x14ac:dyDescent="0.45">
      <c r="A457" s="1" t="s">
        <v>2214</v>
      </c>
      <c r="B457" s="1">
        <v>456</v>
      </c>
      <c r="C457" s="12" t="s">
        <v>2215</v>
      </c>
      <c r="D457" s="1" t="s">
        <v>2216</v>
      </c>
      <c r="E457" s="1">
        <v>20</v>
      </c>
      <c r="F457" s="1" t="s">
        <v>29</v>
      </c>
      <c r="K457" s="3"/>
    </row>
    <row r="458" spans="1:11" x14ac:dyDescent="0.45">
      <c r="A458" s="1" t="s">
        <v>2217</v>
      </c>
      <c r="B458" s="1">
        <v>457</v>
      </c>
      <c r="C458" s="12" t="s">
        <v>2218</v>
      </c>
      <c r="D458" s="1" t="s">
        <v>2219</v>
      </c>
      <c r="E458" s="1">
        <v>20</v>
      </c>
      <c r="F458" s="1" t="s">
        <v>29</v>
      </c>
      <c r="K458" s="3"/>
    </row>
    <row r="459" spans="1:11" x14ac:dyDescent="0.45">
      <c r="A459" s="1" t="s">
        <v>2220</v>
      </c>
      <c r="B459" s="1">
        <v>458</v>
      </c>
      <c r="C459" s="12" t="s">
        <v>2221</v>
      </c>
      <c r="D459" s="1" t="s">
        <v>2222</v>
      </c>
      <c r="E459" s="1">
        <v>20</v>
      </c>
      <c r="F459" s="1" t="s">
        <v>29</v>
      </c>
      <c r="K459" s="3"/>
    </row>
    <row r="460" spans="1:11" x14ac:dyDescent="0.45">
      <c r="A460" s="1" t="s">
        <v>2223</v>
      </c>
      <c r="B460" s="1">
        <v>459</v>
      </c>
      <c r="C460" s="12" t="s">
        <v>2224</v>
      </c>
      <c r="D460" s="1" t="s">
        <v>2225</v>
      </c>
      <c r="E460" s="1">
        <v>20</v>
      </c>
      <c r="F460" s="1" t="s">
        <v>29</v>
      </c>
      <c r="K460" s="3"/>
    </row>
    <row r="461" spans="1:11" x14ac:dyDescent="0.45">
      <c r="A461" s="1" t="s">
        <v>2226</v>
      </c>
      <c r="B461" s="1">
        <v>460</v>
      </c>
      <c r="C461" s="12" t="s">
        <v>2227</v>
      </c>
      <c r="D461" s="1" t="s">
        <v>2228</v>
      </c>
      <c r="E461" s="1">
        <v>20</v>
      </c>
      <c r="F461" s="1" t="s">
        <v>29</v>
      </c>
      <c r="K461" s="3"/>
    </row>
    <row r="462" spans="1:11" x14ac:dyDescent="0.45">
      <c r="A462" s="1" t="s">
        <v>2229</v>
      </c>
      <c r="B462" s="1">
        <v>461</v>
      </c>
      <c r="C462" s="12" t="s">
        <v>2230</v>
      </c>
      <c r="D462" s="1" t="s">
        <v>2231</v>
      </c>
      <c r="E462" s="1">
        <v>20</v>
      </c>
      <c r="F462" s="1" t="s">
        <v>29</v>
      </c>
      <c r="K462" s="3"/>
    </row>
    <row r="463" spans="1:11" x14ac:dyDescent="0.45">
      <c r="A463" s="1" t="s">
        <v>2232</v>
      </c>
      <c r="B463" s="1">
        <v>462</v>
      </c>
      <c r="C463" s="12" t="s">
        <v>2233</v>
      </c>
      <c r="D463" s="1" t="s">
        <v>2234</v>
      </c>
      <c r="E463" s="1">
        <v>20</v>
      </c>
      <c r="F463" s="1" t="s">
        <v>29</v>
      </c>
      <c r="K463" s="3"/>
    </row>
    <row r="464" spans="1:11" x14ac:dyDescent="0.45">
      <c r="A464" s="1" t="s">
        <v>2235</v>
      </c>
      <c r="B464" s="1">
        <v>463</v>
      </c>
      <c r="C464" s="12" t="s">
        <v>2236</v>
      </c>
      <c r="D464" s="1" t="s">
        <v>2237</v>
      </c>
      <c r="E464" s="1">
        <v>20</v>
      </c>
      <c r="F464" s="1" t="s">
        <v>29</v>
      </c>
      <c r="K464" s="3"/>
    </row>
    <row r="465" spans="1:11" x14ac:dyDescent="0.45">
      <c r="A465" s="1" t="s">
        <v>2238</v>
      </c>
      <c r="B465" s="1">
        <v>464</v>
      </c>
      <c r="C465" s="12" t="s">
        <v>2239</v>
      </c>
      <c r="D465" s="1" t="s">
        <v>2240</v>
      </c>
      <c r="E465" s="1">
        <v>20</v>
      </c>
      <c r="F465" s="1" t="s">
        <v>29</v>
      </c>
      <c r="K465" s="3"/>
    </row>
    <row r="466" spans="1:11" x14ac:dyDescent="0.45">
      <c r="A466" s="1" t="s">
        <v>2241</v>
      </c>
      <c r="B466" s="1">
        <v>465</v>
      </c>
      <c r="C466" s="12" t="s">
        <v>2242</v>
      </c>
      <c r="D466" s="1" t="s">
        <v>2243</v>
      </c>
      <c r="E466" s="1">
        <v>20</v>
      </c>
      <c r="F466" s="1" t="s">
        <v>29</v>
      </c>
      <c r="K466" s="3"/>
    </row>
    <row r="467" spans="1:11" x14ac:dyDescent="0.45">
      <c r="A467" s="1" t="s">
        <v>2244</v>
      </c>
      <c r="B467" s="1">
        <v>466</v>
      </c>
      <c r="C467" s="12" t="s">
        <v>2245</v>
      </c>
      <c r="D467" s="1" t="s">
        <v>2246</v>
      </c>
      <c r="E467" s="1">
        <v>20</v>
      </c>
      <c r="F467" s="1" t="s">
        <v>29</v>
      </c>
      <c r="K467" s="3"/>
    </row>
    <row r="468" spans="1:11" x14ac:dyDescent="0.45">
      <c r="A468" s="1" t="s">
        <v>2247</v>
      </c>
      <c r="B468" s="1">
        <v>467</v>
      </c>
      <c r="C468" s="12" t="s">
        <v>2248</v>
      </c>
      <c r="D468" s="1" t="s">
        <v>2249</v>
      </c>
      <c r="E468" s="1">
        <v>20</v>
      </c>
      <c r="F468" s="1" t="s">
        <v>29</v>
      </c>
      <c r="K468" s="3"/>
    </row>
    <row r="469" spans="1:11" x14ac:dyDescent="0.45">
      <c r="A469" s="1" t="s">
        <v>2250</v>
      </c>
      <c r="B469" s="1">
        <v>468</v>
      </c>
      <c r="C469" s="12" t="s">
        <v>2251</v>
      </c>
      <c r="D469" s="1" t="s">
        <v>2252</v>
      </c>
      <c r="E469" s="1">
        <v>20</v>
      </c>
      <c r="F469" s="1" t="s">
        <v>29</v>
      </c>
      <c r="K469" s="3"/>
    </row>
    <row r="470" spans="1:11" x14ac:dyDescent="0.45">
      <c r="A470" s="1" t="s">
        <v>2253</v>
      </c>
      <c r="B470" s="1">
        <v>469</v>
      </c>
      <c r="C470" s="12" t="s">
        <v>2254</v>
      </c>
      <c r="D470" s="1" t="s">
        <v>2255</v>
      </c>
      <c r="E470" s="1">
        <v>20</v>
      </c>
      <c r="F470" s="1" t="s">
        <v>29</v>
      </c>
      <c r="K470" s="3"/>
    </row>
    <row r="471" spans="1:11" x14ac:dyDescent="0.45">
      <c r="A471" s="1" t="s">
        <v>2256</v>
      </c>
      <c r="B471" s="1">
        <v>470</v>
      </c>
      <c r="C471" s="12" t="s">
        <v>2257</v>
      </c>
      <c r="D471" s="1" t="s">
        <v>2258</v>
      </c>
      <c r="E471" s="1">
        <v>20</v>
      </c>
      <c r="F471" s="1" t="s">
        <v>29</v>
      </c>
      <c r="K471" s="3"/>
    </row>
    <row r="472" spans="1:11" x14ac:dyDescent="0.45">
      <c r="A472" s="1" t="s">
        <v>2259</v>
      </c>
      <c r="B472" s="1">
        <v>471</v>
      </c>
      <c r="C472" s="12" t="s">
        <v>2260</v>
      </c>
      <c r="D472" s="1" t="s">
        <v>2261</v>
      </c>
      <c r="E472" s="1">
        <v>20</v>
      </c>
      <c r="F472" s="1" t="s">
        <v>29</v>
      </c>
      <c r="K472" s="3"/>
    </row>
    <row r="473" spans="1:11" x14ac:dyDescent="0.45">
      <c r="A473" s="1" t="s">
        <v>2262</v>
      </c>
      <c r="B473" s="1">
        <v>472</v>
      </c>
      <c r="C473" s="12" t="s">
        <v>2263</v>
      </c>
      <c r="D473" s="1" t="s">
        <v>2264</v>
      </c>
      <c r="E473" s="1">
        <v>20</v>
      </c>
      <c r="F473" s="1" t="s">
        <v>29</v>
      </c>
      <c r="K473" s="3"/>
    </row>
    <row r="474" spans="1:11" x14ac:dyDescent="0.45">
      <c r="A474" s="1" t="s">
        <v>2265</v>
      </c>
      <c r="B474" s="1">
        <v>473</v>
      </c>
      <c r="C474" s="12" t="s">
        <v>2266</v>
      </c>
      <c r="D474" s="1" t="s">
        <v>2267</v>
      </c>
      <c r="E474" s="1">
        <v>20</v>
      </c>
      <c r="F474" s="1" t="s">
        <v>29</v>
      </c>
      <c r="K474" s="3"/>
    </row>
    <row r="475" spans="1:11" x14ac:dyDescent="0.45">
      <c r="A475" s="1" t="s">
        <v>2268</v>
      </c>
      <c r="B475" s="1">
        <v>474</v>
      </c>
      <c r="C475" s="12" t="s">
        <v>2269</v>
      </c>
      <c r="D475" s="1" t="s">
        <v>2270</v>
      </c>
      <c r="E475" s="1">
        <v>20</v>
      </c>
      <c r="F475" s="1" t="s">
        <v>29</v>
      </c>
      <c r="K475" s="3"/>
    </row>
    <row r="476" spans="1:11" x14ac:dyDescent="0.45">
      <c r="A476" s="1" t="s">
        <v>2271</v>
      </c>
      <c r="B476" s="1">
        <v>475</v>
      </c>
      <c r="C476" s="12" t="s">
        <v>2272</v>
      </c>
      <c r="D476" s="1" t="s">
        <v>2273</v>
      </c>
      <c r="E476" s="1">
        <v>20</v>
      </c>
      <c r="F476" s="1" t="s">
        <v>29</v>
      </c>
      <c r="K476" s="3"/>
    </row>
    <row r="477" spans="1:11" x14ac:dyDescent="0.45">
      <c r="A477" s="1" t="s">
        <v>2274</v>
      </c>
      <c r="B477" s="1">
        <v>476</v>
      </c>
      <c r="C477" s="12" t="s">
        <v>2275</v>
      </c>
      <c r="D477" s="1" t="s">
        <v>2276</v>
      </c>
      <c r="E477" s="1">
        <v>20</v>
      </c>
      <c r="F477" s="1" t="s">
        <v>29</v>
      </c>
      <c r="K477" s="3"/>
    </row>
    <row r="478" spans="1:11" x14ac:dyDescent="0.45">
      <c r="A478" s="1" t="s">
        <v>2277</v>
      </c>
      <c r="B478" s="1">
        <v>477</v>
      </c>
      <c r="C478" s="12" t="s">
        <v>2278</v>
      </c>
      <c r="D478" s="1" t="s">
        <v>2279</v>
      </c>
      <c r="E478" s="1">
        <v>20</v>
      </c>
      <c r="F478" s="1" t="s">
        <v>29</v>
      </c>
      <c r="K478" s="3"/>
    </row>
    <row r="479" spans="1:11" x14ac:dyDescent="0.45">
      <c r="A479" s="1" t="s">
        <v>2280</v>
      </c>
      <c r="B479" s="1">
        <v>478</v>
      </c>
      <c r="C479" s="12" t="s">
        <v>2281</v>
      </c>
      <c r="D479" s="1" t="s">
        <v>2282</v>
      </c>
      <c r="E479" s="1">
        <v>20</v>
      </c>
      <c r="F479" s="1" t="s">
        <v>29</v>
      </c>
      <c r="K479" s="3"/>
    </row>
    <row r="480" spans="1:11" x14ac:dyDescent="0.45">
      <c r="A480" s="1" t="s">
        <v>2283</v>
      </c>
      <c r="B480" s="1">
        <v>479</v>
      </c>
      <c r="C480" s="12" t="s">
        <v>2284</v>
      </c>
      <c r="D480" s="1" t="s">
        <v>2285</v>
      </c>
      <c r="E480" s="1">
        <v>20</v>
      </c>
      <c r="F480" s="1" t="s">
        <v>29</v>
      </c>
      <c r="K480" s="3"/>
    </row>
    <row r="481" spans="1:11" x14ac:dyDescent="0.45">
      <c r="A481" s="1" t="s">
        <v>2286</v>
      </c>
      <c r="B481" s="1">
        <v>480</v>
      </c>
      <c r="C481" s="12" t="s">
        <v>2287</v>
      </c>
      <c r="D481" s="1" t="s">
        <v>2288</v>
      </c>
      <c r="E481" s="1">
        <v>20</v>
      </c>
      <c r="F481" s="1" t="s">
        <v>29</v>
      </c>
      <c r="K481" s="3"/>
    </row>
    <row r="482" spans="1:11" x14ac:dyDescent="0.45">
      <c r="A482" s="1" t="s">
        <v>2289</v>
      </c>
      <c r="B482" s="1">
        <v>481</v>
      </c>
      <c r="C482" s="12" t="s">
        <v>2290</v>
      </c>
      <c r="D482" s="1" t="s">
        <v>2291</v>
      </c>
      <c r="E482" s="1">
        <v>20</v>
      </c>
      <c r="F482" s="1" t="s">
        <v>29</v>
      </c>
      <c r="K482" s="3"/>
    </row>
    <row r="483" spans="1:11" x14ac:dyDescent="0.45">
      <c r="A483" s="1" t="s">
        <v>2292</v>
      </c>
      <c r="B483" s="1">
        <v>482</v>
      </c>
      <c r="C483" s="12" t="s">
        <v>2293</v>
      </c>
      <c r="D483" s="1" t="s">
        <v>2294</v>
      </c>
      <c r="E483" s="1">
        <v>20</v>
      </c>
      <c r="F483" s="1" t="s">
        <v>29</v>
      </c>
      <c r="K483" s="3"/>
    </row>
    <row r="484" spans="1:11" x14ac:dyDescent="0.45">
      <c r="A484" s="1" t="s">
        <v>2295</v>
      </c>
      <c r="B484" s="1">
        <v>483</v>
      </c>
      <c r="C484" s="12" t="s">
        <v>2296</v>
      </c>
      <c r="D484" s="1" t="s">
        <v>2297</v>
      </c>
      <c r="E484" s="1">
        <v>20</v>
      </c>
      <c r="F484" s="1" t="s">
        <v>29</v>
      </c>
      <c r="K484" s="3"/>
    </row>
    <row r="485" spans="1:11" x14ac:dyDescent="0.45">
      <c r="A485" s="1" t="s">
        <v>2298</v>
      </c>
      <c r="B485" s="1">
        <v>484</v>
      </c>
      <c r="C485" s="12" t="s">
        <v>2299</v>
      </c>
      <c r="D485" s="1" t="s">
        <v>2300</v>
      </c>
      <c r="E485" s="1">
        <v>20</v>
      </c>
      <c r="F485" s="1" t="s">
        <v>29</v>
      </c>
      <c r="K485" s="3"/>
    </row>
    <row r="486" spans="1:11" x14ac:dyDescent="0.45">
      <c r="A486" s="1" t="s">
        <v>2301</v>
      </c>
      <c r="B486" s="1">
        <v>485</v>
      </c>
      <c r="C486" s="12" t="s">
        <v>2302</v>
      </c>
      <c r="D486" s="1" t="s">
        <v>2303</v>
      </c>
      <c r="E486" s="1">
        <v>20</v>
      </c>
      <c r="F486" s="1" t="s">
        <v>29</v>
      </c>
      <c r="K486" s="3"/>
    </row>
    <row r="487" spans="1:11" x14ac:dyDescent="0.45">
      <c r="A487" s="1" t="s">
        <v>2304</v>
      </c>
      <c r="B487" s="1">
        <v>486</v>
      </c>
      <c r="C487" s="12" t="s">
        <v>2305</v>
      </c>
      <c r="D487" s="1" t="s">
        <v>2306</v>
      </c>
      <c r="E487" s="1">
        <v>20</v>
      </c>
      <c r="F487" s="1" t="s">
        <v>29</v>
      </c>
      <c r="K487" s="3"/>
    </row>
    <row r="488" spans="1:11" x14ac:dyDescent="0.45">
      <c r="A488" s="1" t="s">
        <v>2307</v>
      </c>
      <c r="B488" s="1">
        <v>487</v>
      </c>
      <c r="C488" s="12" t="s">
        <v>2308</v>
      </c>
      <c r="D488" s="1" t="s">
        <v>2309</v>
      </c>
      <c r="E488" s="1">
        <v>20</v>
      </c>
      <c r="F488" s="1" t="s">
        <v>29</v>
      </c>
      <c r="K488" s="3"/>
    </row>
    <row r="489" spans="1:11" x14ac:dyDescent="0.45">
      <c r="A489" s="1" t="s">
        <v>2310</v>
      </c>
      <c r="B489" s="1">
        <v>488</v>
      </c>
      <c r="C489" s="12" t="s">
        <v>2311</v>
      </c>
      <c r="D489" s="1" t="s">
        <v>2312</v>
      </c>
      <c r="E489" s="1">
        <v>20</v>
      </c>
      <c r="F489" s="1" t="s">
        <v>29</v>
      </c>
      <c r="K489" s="3"/>
    </row>
    <row r="490" spans="1:11" x14ac:dyDescent="0.45">
      <c r="A490" s="1" t="s">
        <v>2313</v>
      </c>
      <c r="B490" s="1">
        <v>489</v>
      </c>
      <c r="C490" s="12" t="s">
        <v>3095</v>
      </c>
      <c r="D490" s="1" t="s">
        <v>2314</v>
      </c>
      <c r="E490" s="1">
        <v>20</v>
      </c>
      <c r="F490" s="1" t="s">
        <v>29</v>
      </c>
      <c r="K490" s="3"/>
    </row>
    <row r="491" spans="1:11" x14ac:dyDescent="0.45">
      <c r="A491" s="1" t="s">
        <v>2315</v>
      </c>
      <c r="B491" s="1">
        <v>490</v>
      </c>
      <c r="C491" s="12" t="s">
        <v>2316</v>
      </c>
      <c r="D491" s="1" t="s">
        <v>2317</v>
      </c>
      <c r="E491" s="1">
        <v>20</v>
      </c>
      <c r="F491" s="1" t="s">
        <v>29</v>
      </c>
      <c r="K491" s="3"/>
    </row>
    <row r="492" spans="1:11" x14ac:dyDescent="0.45">
      <c r="A492" s="1" t="s">
        <v>2318</v>
      </c>
      <c r="B492" s="1">
        <v>491</v>
      </c>
      <c r="C492" s="12" t="s">
        <v>2319</v>
      </c>
      <c r="D492" s="1" t="s">
        <v>2320</v>
      </c>
      <c r="E492" s="1">
        <v>20</v>
      </c>
      <c r="F492" s="1" t="s">
        <v>29</v>
      </c>
      <c r="K492" s="3"/>
    </row>
    <row r="493" spans="1:11" x14ac:dyDescent="0.45">
      <c r="A493" s="1" t="s">
        <v>2321</v>
      </c>
      <c r="B493" s="1">
        <v>492</v>
      </c>
      <c r="C493" s="12" t="s">
        <v>2322</v>
      </c>
      <c r="D493" s="1" t="s">
        <v>2323</v>
      </c>
      <c r="E493" s="1">
        <v>20</v>
      </c>
      <c r="F493" s="1" t="s">
        <v>29</v>
      </c>
      <c r="K493" s="3"/>
    </row>
    <row r="494" spans="1:11" x14ac:dyDescent="0.45">
      <c r="A494" s="1" t="s">
        <v>2324</v>
      </c>
      <c r="B494" s="1">
        <v>493</v>
      </c>
      <c r="C494" s="12" t="s">
        <v>2325</v>
      </c>
      <c r="D494" s="1" t="s">
        <v>2326</v>
      </c>
      <c r="E494" s="1">
        <v>20</v>
      </c>
      <c r="F494" s="1" t="s">
        <v>29</v>
      </c>
      <c r="K494" s="3"/>
    </row>
    <row r="495" spans="1:11" x14ac:dyDescent="0.45">
      <c r="A495" s="1" t="s">
        <v>2327</v>
      </c>
      <c r="B495" s="1">
        <v>494</v>
      </c>
      <c r="C495" s="12" t="s">
        <v>2328</v>
      </c>
      <c r="D495" s="1" t="s">
        <v>2329</v>
      </c>
      <c r="E495" s="1">
        <v>20</v>
      </c>
      <c r="F495" s="1" t="s">
        <v>29</v>
      </c>
      <c r="K495" s="3"/>
    </row>
    <row r="496" spans="1:11" x14ac:dyDescent="0.45">
      <c r="A496" s="1" t="s">
        <v>2330</v>
      </c>
      <c r="B496" s="1">
        <v>495</v>
      </c>
      <c r="C496" s="12" t="s">
        <v>2331</v>
      </c>
      <c r="D496" s="1" t="s">
        <v>2332</v>
      </c>
      <c r="E496" s="1">
        <v>20</v>
      </c>
      <c r="F496" s="1" t="s">
        <v>29</v>
      </c>
      <c r="K496" s="3"/>
    </row>
    <row r="497" spans="1:11" x14ac:dyDescent="0.45">
      <c r="A497" s="1" t="s">
        <v>2333</v>
      </c>
      <c r="B497" s="1">
        <v>496</v>
      </c>
      <c r="C497" s="12" t="s">
        <v>2334</v>
      </c>
      <c r="D497" s="1" t="s">
        <v>2335</v>
      </c>
      <c r="E497" s="1">
        <v>20</v>
      </c>
      <c r="F497" s="1" t="s">
        <v>29</v>
      </c>
      <c r="K497" s="3"/>
    </row>
    <row r="498" spans="1:11" x14ac:dyDescent="0.45">
      <c r="A498" s="1" t="s">
        <v>2336</v>
      </c>
      <c r="B498" s="1">
        <v>497</v>
      </c>
      <c r="C498" s="12" t="s">
        <v>2337</v>
      </c>
      <c r="D498" s="1" t="s">
        <v>2338</v>
      </c>
      <c r="E498" s="1">
        <v>20</v>
      </c>
      <c r="F498" s="1" t="s">
        <v>29</v>
      </c>
      <c r="K498" s="3"/>
    </row>
    <row r="499" spans="1:11" x14ac:dyDescent="0.45">
      <c r="A499" s="1" t="s">
        <v>2339</v>
      </c>
      <c r="B499" s="1">
        <v>498</v>
      </c>
      <c r="C499" s="12" t="s">
        <v>2340</v>
      </c>
      <c r="D499" s="1" t="s">
        <v>2341</v>
      </c>
      <c r="E499" s="1">
        <v>20</v>
      </c>
      <c r="F499" s="1" t="s">
        <v>29</v>
      </c>
      <c r="K499" s="3"/>
    </row>
    <row r="500" spans="1:11" x14ac:dyDescent="0.45">
      <c r="A500" s="1" t="s">
        <v>2342</v>
      </c>
      <c r="B500" s="1">
        <v>499</v>
      </c>
      <c r="C500" s="12" t="s">
        <v>2343</v>
      </c>
      <c r="D500" s="1" t="s">
        <v>2344</v>
      </c>
      <c r="E500" s="1">
        <v>20</v>
      </c>
      <c r="F500" s="1" t="s">
        <v>29</v>
      </c>
      <c r="K500" s="3"/>
    </row>
    <row r="501" spans="1:11" x14ac:dyDescent="0.45">
      <c r="A501" s="1" t="s">
        <v>2345</v>
      </c>
      <c r="B501" s="1">
        <v>500</v>
      </c>
      <c r="C501" s="12" t="s">
        <v>2346</v>
      </c>
      <c r="D501" s="1" t="s">
        <v>2347</v>
      </c>
      <c r="E501" s="1">
        <v>20</v>
      </c>
      <c r="F501" s="1" t="s">
        <v>29</v>
      </c>
      <c r="K501" s="3"/>
    </row>
    <row r="502" spans="1:11" x14ac:dyDescent="0.45">
      <c r="A502" s="1" t="s">
        <v>2348</v>
      </c>
      <c r="B502" s="1">
        <v>501</v>
      </c>
      <c r="C502" s="12" t="s">
        <v>2349</v>
      </c>
      <c r="D502" s="1" t="s">
        <v>2350</v>
      </c>
      <c r="E502" s="1">
        <v>20</v>
      </c>
      <c r="F502" s="1" t="s">
        <v>29</v>
      </c>
      <c r="K502" s="3"/>
    </row>
    <row r="503" spans="1:11" x14ac:dyDescent="0.45">
      <c r="A503" s="1" t="s">
        <v>2351</v>
      </c>
      <c r="B503" s="1">
        <v>502</v>
      </c>
      <c r="C503" s="12" t="s">
        <v>2352</v>
      </c>
      <c r="D503" s="1" t="s">
        <v>2353</v>
      </c>
      <c r="E503" s="1">
        <v>20</v>
      </c>
      <c r="F503" s="1" t="s">
        <v>29</v>
      </c>
      <c r="K503" s="3"/>
    </row>
    <row r="504" spans="1:11" x14ac:dyDescent="0.45">
      <c r="A504" s="1" t="s">
        <v>2354</v>
      </c>
      <c r="B504" s="1">
        <v>503</v>
      </c>
      <c r="C504" s="12" t="s">
        <v>2355</v>
      </c>
      <c r="D504" s="1" t="s">
        <v>2356</v>
      </c>
      <c r="E504" s="1">
        <v>20</v>
      </c>
      <c r="F504" s="1" t="s">
        <v>29</v>
      </c>
      <c r="K504" s="3"/>
    </row>
    <row r="505" spans="1:11" x14ac:dyDescent="0.45">
      <c r="A505" s="1" t="s">
        <v>2357</v>
      </c>
      <c r="B505" s="1">
        <v>504</v>
      </c>
      <c r="C505" s="12" t="s">
        <v>2358</v>
      </c>
      <c r="D505" s="1" t="s">
        <v>2359</v>
      </c>
      <c r="E505" s="1">
        <v>20</v>
      </c>
      <c r="F505" s="1" t="s">
        <v>29</v>
      </c>
      <c r="K505" s="3"/>
    </row>
    <row r="506" spans="1:11" x14ac:dyDescent="0.45">
      <c r="A506" s="1" t="s">
        <v>2360</v>
      </c>
      <c r="B506" s="1">
        <v>505</v>
      </c>
      <c r="C506" s="12" t="s">
        <v>2361</v>
      </c>
      <c r="D506" s="1" t="s">
        <v>2362</v>
      </c>
      <c r="E506" s="1">
        <v>20</v>
      </c>
      <c r="F506" s="1" t="s">
        <v>29</v>
      </c>
      <c r="K506" s="3"/>
    </row>
    <row r="507" spans="1:11" x14ac:dyDescent="0.45">
      <c r="A507" s="1" t="s">
        <v>2363</v>
      </c>
      <c r="B507" s="1">
        <v>506</v>
      </c>
      <c r="C507" s="12" t="s">
        <v>2364</v>
      </c>
      <c r="D507" s="1" t="s">
        <v>2365</v>
      </c>
      <c r="E507" s="1">
        <v>20</v>
      </c>
      <c r="F507" s="1" t="s">
        <v>29</v>
      </c>
      <c r="K507" s="3"/>
    </row>
    <row r="508" spans="1:11" x14ac:dyDescent="0.45">
      <c r="A508" s="1" t="s">
        <v>2366</v>
      </c>
      <c r="B508" s="1">
        <v>507</v>
      </c>
      <c r="C508" s="12" t="s">
        <v>2367</v>
      </c>
      <c r="D508" s="1" t="s">
        <v>2368</v>
      </c>
      <c r="E508" s="1">
        <v>20</v>
      </c>
      <c r="F508" s="1" t="s">
        <v>29</v>
      </c>
      <c r="K508" s="3"/>
    </row>
    <row r="509" spans="1:11" x14ac:dyDescent="0.45">
      <c r="A509" s="1" t="s">
        <v>2369</v>
      </c>
      <c r="B509" s="1">
        <v>508</v>
      </c>
      <c r="C509" s="12" t="s">
        <v>2370</v>
      </c>
      <c r="D509" s="1" t="s">
        <v>2371</v>
      </c>
      <c r="E509" s="1">
        <v>20</v>
      </c>
      <c r="F509" s="1" t="s">
        <v>29</v>
      </c>
      <c r="K509" s="3"/>
    </row>
    <row r="510" spans="1:11" x14ac:dyDescent="0.45">
      <c r="A510" s="1" t="s">
        <v>2372</v>
      </c>
      <c r="B510" s="1">
        <v>509</v>
      </c>
      <c r="C510" s="12" t="s">
        <v>2373</v>
      </c>
      <c r="D510" s="1" t="s">
        <v>2374</v>
      </c>
      <c r="E510" s="1">
        <v>20</v>
      </c>
      <c r="F510" s="1" t="s">
        <v>29</v>
      </c>
      <c r="K510" s="3"/>
    </row>
    <row r="511" spans="1:11" x14ac:dyDescent="0.45">
      <c r="A511" s="1" t="s">
        <v>2375</v>
      </c>
      <c r="B511" s="1">
        <v>510</v>
      </c>
      <c r="C511" s="12" t="s">
        <v>2376</v>
      </c>
      <c r="D511" s="1" t="s">
        <v>2377</v>
      </c>
      <c r="E511" s="1">
        <v>20</v>
      </c>
      <c r="F511" s="1" t="s">
        <v>29</v>
      </c>
      <c r="K511" s="3"/>
    </row>
    <row r="512" spans="1:11" x14ac:dyDescent="0.45">
      <c r="A512" s="1" t="s">
        <v>2378</v>
      </c>
      <c r="B512" s="1">
        <v>511</v>
      </c>
      <c r="C512" s="12" t="s">
        <v>2379</v>
      </c>
      <c r="D512" s="1" t="s">
        <v>2380</v>
      </c>
      <c r="E512" s="1">
        <v>20</v>
      </c>
      <c r="F512" s="1" t="s">
        <v>29</v>
      </c>
      <c r="K512" s="3"/>
    </row>
    <row r="513" spans="1:11" x14ac:dyDescent="0.45">
      <c r="A513" s="1" t="s">
        <v>2381</v>
      </c>
      <c r="B513" s="1">
        <v>512</v>
      </c>
      <c r="C513" s="12" t="s">
        <v>2382</v>
      </c>
      <c r="D513" s="1" t="s">
        <v>2383</v>
      </c>
      <c r="E513" s="1">
        <v>20</v>
      </c>
      <c r="F513" s="1" t="s">
        <v>29</v>
      </c>
      <c r="K513" s="3"/>
    </row>
    <row r="514" spans="1:11" x14ac:dyDescent="0.45">
      <c r="A514" s="1" t="s">
        <v>2384</v>
      </c>
      <c r="B514" s="1">
        <v>513</v>
      </c>
      <c r="C514" s="12" t="s">
        <v>2385</v>
      </c>
      <c r="D514" s="1" t="s">
        <v>2386</v>
      </c>
      <c r="E514" s="1">
        <v>20</v>
      </c>
      <c r="F514" s="1" t="s">
        <v>29</v>
      </c>
      <c r="K514" s="3"/>
    </row>
    <row r="515" spans="1:11" x14ac:dyDescent="0.45">
      <c r="A515" s="1" t="s">
        <v>2387</v>
      </c>
      <c r="B515" s="1">
        <v>514</v>
      </c>
      <c r="C515" s="12" t="s">
        <v>2388</v>
      </c>
      <c r="D515" s="1" t="s">
        <v>2389</v>
      </c>
      <c r="E515" s="1">
        <v>20</v>
      </c>
      <c r="F515" s="1" t="s">
        <v>29</v>
      </c>
      <c r="K515" s="3"/>
    </row>
    <row r="516" spans="1:11" x14ac:dyDescent="0.45">
      <c r="A516" s="1" t="s">
        <v>2390</v>
      </c>
      <c r="B516" s="1">
        <v>515</v>
      </c>
      <c r="C516" s="12" t="s">
        <v>2391</v>
      </c>
      <c r="D516" s="1" t="s">
        <v>2392</v>
      </c>
      <c r="E516" s="1">
        <v>20</v>
      </c>
      <c r="F516" s="1" t="s">
        <v>29</v>
      </c>
      <c r="K516" s="3"/>
    </row>
    <row r="517" spans="1:11" x14ac:dyDescent="0.45">
      <c r="A517" s="1" t="s">
        <v>2393</v>
      </c>
      <c r="B517" s="1">
        <v>516</v>
      </c>
      <c r="C517" s="12" t="s">
        <v>2394</v>
      </c>
      <c r="D517" s="1" t="s">
        <v>2395</v>
      </c>
      <c r="E517" s="1">
        <v>20</v>
      </c>
      <c r="F517" s="1" t="s">
        <v>29</v>
      </c>
      <c r="K517" s="3"/>
    </row>
    <row r="518" spans="1:11" x14ac:dyDescent="0.45">
      <c r="A518" s="1" t="s">
        <v>2396</v>
      </c>
      <c r="B518" s="1">
        <v>517</v>
      </c>
      <c r="C518" s="12" t="s">
        <v>2397</v>
      </c>
      <c r="D518" s="1" t="s">
        <v>2398</v>
      </c>
      <c r="E518" s="1">
        <v>20</v>
      </c>
      <c r="F518" s="1" t="s">
        <v>29</v>
      </c>
      <c r="K518" s="3"/>
    </row>
    <row r="519" spans="1:11" x14ac:dyDescent="0.45">
      <c r="A519" s="1" t="s">
        <v>2399</v>
      </c>
      <c r="B519" s="1">
        <v>518</v>
      </c>
      <c r="C519" s="12" t="s">
        <v>2400</v>
      </c>
      <c r="D519" s="1" t="s">
        <v>2401</v>
      </c>
      <c r="E519" s="1">
        <v>20</v>
      </c>
      <c r="F519" s="1" t="s">
        <v>29</v>
      </c>
      <c r="K519" s="3"/>
    </row>
    <row r="520" spans="1:11" x14ac:dyDescent="0.45">
      <c r="A520" s="1" t="s">
        <v>2402</v>
      </c>
      <c r="B520" s="1">
        <v>519</v>
      </c>
      <c r="C520" s="12" t="s">
        <v>2403</v>
      </c>
      <c r="D520" s="1" t="s">
        <v>2404</v>
      </c>
      <c r="E520" s="1">
        <v>20</v>
      </c>
      <c r="F520" s="1" t="s">
        <v>29</v>
      </c>
      <c r="K520" s="3"/>
    </row>
    <row r="521" spans="1:11" x14ac:dyDescent="0.45">
      <c r="A521" s="1" t="s">
        <v>2405</v>
      </c>
      <c r="B521" s="1">
        <v>520</v>
      </c>
      <c r="C521" s="12" t="s">
        <v>2406</v>
      </c>
      <c r="D521" s="1" t="s">
        <v>2407</v>
      </c>
      <c r="E521" s="1">
        <v>20</v>
      </c>
      <c r="F521" s="1" t="s">
        <v>29</v>
      </c>
      <c r="K521" s="3"/>
    </row>
    <row r="522" spans="1:11" x14ac:dyDescent="0.45">
      <c r="A522" s="1" t="s">
        <v>2408</v>
      </c>
      <c r="B522" s="1">
        <v>521</v>
      </c>
      <c r="C522" s="12" t="s">
        <v>2409</v>
      </c>
      <c r="D522" s="1" t="s">
        <v>2410</v>
      </c>
      <c r="E522" s="1">
        <v>20</v>
      </c>
      <c r="F522" s="1" t="s">
        <v>29</v>
      </c>
      <c r="K522" s="3"/>
    </row>
    <row r="523" spans="1:11" x14ac:dyDescent="0.45">
      <c r="A523" s="1" t="s">
        <v>2411</v>
      </c>
      <c r="B523" s="1">
        <v>522</v>
      </c>
      <c r="C523" s="12" t="s">
        <v>2412</v>
      </c>
      <c r="D523" s="1" t="s">
        <v>2413</v>
      </c>
      <c r="E523" s="1">
        <v>20</v>
      </c>
      <c r="F523" s="1" t="s">
        <v>29</v>
      </c>
      <c r="K523" s="3"/>
    </row>
    <row r="524" spans="1:11" x14ac:dyDescent="0.45">
      <c r="A524" s="1" t="s">
        <v>2414</v>
      </c>
      <c r="B524" s="1">
        <v>523</v>
      </c>
      <c r="C524" s="12" t="s">
        <v>2415</v>
      </c>
      <c r="D524" s="1" t="s">
        <v>2416</v>
      </c>
      <c r="E524" s="1">
        <v>20</v>
      </c>
      <c r="F524" s="1" t="s">
        <v>29</v>
      </c>
      <c r="K524" s="3"/>
    </row>
    <row r="525" spans="1:11" x14ac:dyDescent="0.45">
      <c r="A525" s="1" t="s">
        <v>2417</v>
      </c>
      <c r="B525" s="1">
        <v>524</v>
      </c>
      <c r="C525" s="12" t="s">
        <v>2418</v>
      </c>
      <c r="D525" s="1" t="s">
        <v>2419</v>
      </c>
      <c r="E525" s="1">
        <v>20</v>
      </c>
      <c r="F525" s="1" t="s">
        <v>29</v>
      </c>
      <c r="K525" s="3"/>
    </row>
    <row r="526" spans="1:11" x14ac:dyDescent="0.45">
      <c r="A526" s="1" t="s">
        <v>2420</v>
      </c>
      <c r="B526" s="1">
        <v>525</v>
      </c>
      <c r="C526" s="12" t="s">
        <v>2421</v>
      </c>
      <c r="D526" s="1" t="s">
        <v>2422</v>
      </c>
      <c r="E526" s="1">
        <v>20</v>
      </c>
      <c r="F526" s="1" t="s">
        <v>29</v>
      </c>
      <c r="K526" s="3"/>
    </row>
    <row r="527" spans="1:11" x14ac:dyDescent="0.45">
      <c r="A527" s="1" t="s">
        <v>2423</v>
      </c>
      <c r="B527" s="1">
        <v>526</v>
      </c>
      <c r="C527" s="12" t="s">
        <v>2424</v>
      </c>
      <c r="D527" s="1" t="s">
        <v>2425</v>
      </c>
      <c r="E527" s="1">
        <v>20</v>
      </c>
      <c r="F527" s="1" t="s">
        <v>29</v>
      </c>
      <c r="K527" s="3"/>
    </row>
    <row r="528" spans="1:11" x14ac:dyDescent="0.45">
      <c r="A528" s="1" t="s">
        <v>2426</v>
      </c>
      <c r="B528" s="1">
        <v>527</v>
      </c>
      <c r="C528" s="12" t="s">
        <v>2427</v>
      </c>
      <c r="D528" s="1" t="s">
        <v>2428</v>
      </c>
      <c r="E528" s="1">
        <v>20</v>
      </c>
      <c r="F528" s="1" t="s">
        <v>29</v>
      </c>
      <c r="K528" s="3"/>
    </row>
    <row r="529" spans="1:11" x14ac:dyDescent="0.45">
      <c r="A529" s="1" t="s">
        <v>2429</v>
      </c>
      <c r="B529" s="1">
        <v>528</v>
      </c>
      <c r="C529" s="12" t="s">
        <v>2430</v>
      </c>
      <c r="D529" s="1" t="s">
        <v>2431</v>
      </c>
      <c r="E529" s="1">
        <v>20</v>
      </c>
      <c r="F529" s="1" t="s">
        <v>29</v>
      </c>
      <c r="K529" s="3"/>
    </row>
    <row r="530" spans="1:11" x14ac:dyDescent="0.45">
      <c r="A530" s="1" t="s">
        <v>2432</v>
      </c>
      <c r="B530" s="1">
        <v>529</v>
      </c>
      <c r="C530" s="12" t="s">
        <v>2433</v>
      </c>
      <c r="D530" s="1" t="s">
        <v>2434</v>
      </c>
      <c r="E530" s="1">
        <v>20</v>
      </c>
      <c r="F530" s="1" t="s">
        <v>29</v>
      </c>
      <c r="K530" s="3"/>
    </row>
    <row r="531" spans="1:11" x14ac:dyDescent="0.45">
      <c r="A531" s="1" t="s">
        <v>2435</v>
      </c>
      <c r="B531" s="1">
        <v>530</v>
      </c>
      <c r="C531" s="12" t="s">
        <v>2436</v>
      </c>
      <c r="D531" s="1" t="s">
        <v>2437</v>
      </c>
      <c r="E531" s="1">
        <v>20</v>
      </c>
      <c r="F531" s="1" t="s">
        <v>29</v>
      </c>
      <c r="K531" s="3"/>
    </row>
    <row r="532" spans="1:11" x14ac:dyDescent="0.45">
      <c r="A532" s="1" t="s">
        <v>2438</v>
      </c>
      <c r="B532" s="1">
        <v>531</v>
      </c>
      <c r="C532" s="12" t="s">
        <v>2439</v>
      </c>
      <c r="D532" s="1" t="s">
        <v>2440</v>
      </c>
      <c r="E532" s="1">
        <v>20</v>
      </c>
      <c r="F532" s="1" t="s">
        <v>29</v>
      </c>
      <c r="K532" s="3"/>
    </row>
    <row r="533" spans="1:11" x14ac:dyDescent="0.45">
      <c r="A533" s="1" t="s">
        <v>2441</v>
      </c>
      <c r="B533" s="1">
        <v>532</v>
      </c>
      <c r="C533" s="12" t="s">
        <v>2442</v>
      </c>
      <c r="D533" s="1" t="s">
        <v>2443</v>
      </c>
      <c r="E533" s="1">
        <v>20</v>
      </c>
      <c r="F533" s="1" t="s">
        <v>29</v>
      </c>
      <c r="K533" s="3"/>
    </row>
    <row r="534" spans="1:11" x14ac:dyDescent="0.45">
      <c r="A534" s="1" t="s">
        <v>2444</v>
      </c>
      <c r="B534" s="1">
        <v>533</v>
      </c>
      <c r="C534" s="12" t="s">
        <v>2445</v>
      </c>
      <c r="D534" s="1" t="s">
        <v>2446</v>
      </c>
      <c r="E534" s="1">
        <v>20</v>
      </c>
      <c r="F534" s="1" t="s">
        <v>29</v>
      </c>
      <c r="K534" s="3"/>
    </row>
    <row r="535" spans="1:11" x14ac:dyDescent="0.45">
      <c r="A535" s="1" t="s">
        <v>2447</v>
      </c>
      <c r="B535" s="1">
        <v>534</v>
      </c>
      <c r="C535" s="12" t="s">
        <v>2448</v>
      </c>
      <c r="D535" s="1" t="s">
        <v>2449</v>
      </c>
      <c r="E535" s="1">
        <v>20</v>
      </c>
      <c r="F535" s="1" t="s">
        <v>29</v>
      </c>
      <c r="K535" s="3"/>
    </row>
    <row r="536" spans="1:11" x14ac:dyDescent="0.45">
      <c r="A536" s="1" t="s">
        <v>2450</v>
      </c>
      <c r="B536" s="1">
        <v>535</v>
      </c>
      <c r="C536" s="12" t="s">
        <v>2451</v>
      </c>
      <c r="D536" s="1" t="s">
        <v>2452</v>
      </c>
      <c r="E536" s="1">
        <v>20</v>
      </c>
      <c r="F536" s="1" t="s">
        <v>29</v>
      </c>
      <c r="K536" s="3"/>
    </row>
    <row r="537" spans="1:11" x14ac:dyDescent="0.45">
      <c r="A537" s="1" t="s">
        <v>2453</v>
      </c>
      <c r="B537" s="1">
        <v>536</v>
      </c>
      <c r="C537" s="12" t="s">
        <v>2454</v>
      </c>
      <c r="D537" s="1" t="s">
        <v>2455</v>
      </c>
      <c r="E537" s="1">
        <v>20</v>
      </c>
      <c r="F537" s="1" t="s">
        <v>29</v>
      </c>
      <c r="K537" s="3"/>
    </row>
    <row r="538" spans="1:11" x14ac:dyDescent="0.45">
      <c r="A538" s="1" t="s">
        <v>2456</v>
      </c>
      <c r="B538" s="1">
        <v>537</v>
      </c>
      <c r="C538" s="12" t="s">
        <v>2457</v>
      </c>
      <c r="D538" s="1" t="s">
        <v>2458</v>
      </c>
      <c r="E538" s="1">
        <v>20</v>
      </c>
      <c r="F538" s="1" t="s">
        <v>29</v>
      </c>
      <c r="K538" s="3"/>
    </row>
    <row r="539" spans="1:11" x14ac:dyDescent="0.45">
      <c r="A539" s="1" t="s">
        <v>2459</v>
      </c>
      <c r="B539" s="1">
        <v>538</v>
      </c>
      <c r="C539" s="12" t="s">
        <v>2460</v>
      </c>
      <c r="D539" s="1" t="s">
        <v>2461</v>
      </c>
      <c r="E539" s="1">
        <v>20</v>
      </c>
      <c r="F539" s="1" t="s">
        <v>29</v>
      </c>
      <c r="K539" s="3"/>
    </row>
    <row r="540" spans="1:11" x14ac:dyDescent="0.45">
      <c r="A540" s="1" t="s">
        <v>2462</v>
      </c>
      <c r="B540" s="1">
        <v>539</v>
      </c>
      <c r="C540" s="12" t="s">
        <v>2463</v>
      </c>
      <c r="D540" s="1" t="s">
        <v>2464</v>
      </c>
      <c r="E540" s="1">
        <v>20</v>
      </c>
      <c r="F540" s="1" t="s">
        <v>29</v>
      </c>
      <c r="K540" s="3"/>
    </row>
    <row r="541" spans="1:11" x14ac:dyDescent="0.45">
      <c r="A541" s="1" t="s">
        <v>2465</v>
      </c>
      <c r="B541" s="1">
        <v>540</v>
      </c>
      <c r="C541" s="12" t="s">
        <v>2466</v>
      </c>
      <c r="D541" s="1" t="s">
        <v>2467</v>
      </c>
      <c r="E541" s="1">
        <v>20</v>
      </c>
      <c r="F541" s="1" t="s">
        <v>29</v>
      </c>
      <c r="K541" s="3"/>
    </row>
    <row r="542" spans="1:11" x14ac:dyDescent="0.45">
      <c r="A542" s="1" t="s">
        <v>2468</v>
      </c>
      <c r="B542" s="1">
        <v>541</v>
      </c>
      <c r="C542" s="12" t="s">
        <v>2469</v>
      </c>
      <c r="D542" s="1" t="s">
        <v>2470</v>
      </c>
      <c r="E542" s="1">
        <v>20</v>
      </c>
      <c r="F542" s="1" t="s">
        <v>29</v>
      </c>
      <c r="K542" s="3"/>
    </row>
    <row r="543" spans="1:11" x14ac:dyDescent="0.45">
      <c r="A543" s="1" t="s">
        <v>2471</v>
      </c>
      <c r="B543" s="1">
        <v>542</v>
      </c>
      <c r="C543" s="12" t="s">
        <v>2472</v>
      </c>
      <c r="D543" s="1" t="s">
        <v>2473</v>
      </c>
      <c r="E543" s="1">
        <v>20</v>
      </c>
      <c r="F543" s="1" t="s">
        <v>29</v>
      </c>
      <c r="K543" s="3"/>
    </row>
    <row r="544" spans="1:11" x14ac:dyDescent="0.45">
      <c r="A544" s="1" t="s">
        <v>2474</v>
      </c>
      <c r="B544" s="1">
        <v>543</v>
      </c>
      <c r="C544" s="12" t="s">
        <v>2475</v>
      </c>
      <c r="D544" s="1" t="s">
        <v>2476</v>
      </c>
      <c r="E544" s="1">
        <v>20</v>
      </c>
      <c r="F544" s="1" t="s">
        <v>29</v>
      </c>
      <c r="K544" s="3"/>
    </row>
    <row r="545" spans="1:11" x14ac:dyDescent="0.45">
      <c r="A545" s="1" t="s">
        <v>2477</v>
      </c>
      <c r="B545" s="1">
        <v>544</v>
      </c>
      <c r="C545" s="12" t="s">
        <v>2478</v>
      </c>
      <c r="D545" s="1" t="s">
        <v>2479</v>
      </c>
      <c r="E545" s="1">
        <v>20</v>
      </c>
      <c r="F545" s="1" t="s">
        <v>29</v>
      </c>
      <c r="K545" s="3"/>
    </row>
    <row r="546" spans="1:11" x14ac:dyDescent="0.45">
      <c r="A546" s="1" t="s">
        <v>2480</v>
      </c>
      <c r="B546" s="1">
        <v>545</v>
      </c>
      <c r="C546" s="12" t="s">
        <v>2481</v>
      </c>
      <c r="D546" s="1" t="s">
        <v>2482</v>
      </c>
      <c r="E546" s="1">
        <v>20</v>
      </c>
      <c r="F546" s="1" t="s">
        <v>29</v>
      </c>
      <c r="K546" s="3"/>
    </row>
    <row r="547" spans="1:11" x14ac:dyDescent="0.45">
      <c r="A547" s="1" t="s">
        <v>2483</v>
      </c>
      <c r="B547" s="1">
        <v>546</v>
      </c>
      <c r="C547" s="12" t="s">
        <v>2484</v>
      </c>
      <c r="D547" s="1" t="s">
        <v>2485</v>
      </c>
      <c r="E547" s="1">
        <v>20</v>
      </c>
      <c r="F547" s="1" t="s">
        <v>29</v>
      </c>
      <c r="K547" s="3"/>
    </row>
    <row r="548" spans="1:11" x14ac:dyDescent="0.45">
      <c r="A548" s="1" t="s">
        <v>2486</v>
      </c>
      <c r="B548" s="1">
        <v>547</v>
      </c>
      <c r="C548" s="12" t="s">
        <v>2487</v>
      </c>
      <c r="D548" s="1" t="s">
        <v>2488</v>
      </c>
      <c r="E548" s="1">
        <v>20</v>
      </c>
      <c r="F548" s="1" t="s">
        <v>29</v>
      </c>
      <c r="K548" s="3"/>
    </row>
    <row r="549" spans="1:11" x14ac:dyDescent="0.45">
      <c r="A549" s="1" t="s">
        <v>2489</v>
      </c>
      <c r="B549" s="1">
        <v>548</v>
      </c>
      <c r="C549" s="12" t="s">
        <v>2490</v>
      </c>
      <c r="D549" s="1" t="s">
        <v>2491</v>
      </c>
      <c r="E549" s="1">
        <v>20</v>
      </c>
      <c r="F549" s="1" t="s">
        <v>29</v>
      </c>
      <c r="K549" s="3"/>
    </row>
    <row r="550" spans="1:11" x14ac:dyDescent="0.45">
      <c r="A550" s="1" t="s">
        <v>2492</v>
      </c>
      <c r="B550" s="1">
        <v>549</v>
      </c>
      <c r="C550" s="12" t="s">
        <v>2493</v>
      </c>
      <c r="D550" s="1" t="s">
        <v>2494</v>
      </c>
      <c r="E550" s="1">
        <v>20</v>
      </c>
      <c r="F550" s="1" t="s">
        <v>29</v>
      </c>
      <c r="K550" s="3"/>
    </row>
    <row r="551" spans="1:11" x14ac:dyDescent="0.45">
      <c r="A551" s="1" t="s">
        <v>2495</v>
      </c>
      <c r="B551" s="1">
        <v>550</v>
      </c>
      <c r="C551" s="12" t="s">
        <v>2496</v>
      </c>
      <c r="D551" s="1" t="s">
        <v>2497</v>
      </c>
      <c r="E551" s="1">
        <v>20</v>
      </c>
      <c r="F551" s="1" t="s">
        <v>29</v>
      </c>
      <c r="K551" s="3"/>
    </row>
    <row r="552" spans="1:11" x14ac:dyDescent="0.45">
      <c r="A552" s="1" t="s">
        <v>2498</v>
      </c>
      <c r="B552" s="1">
        <v>551</v>
      </c>
      <c r="C552" s="12" t="s">
        <v>2499</v>
      </c>
      <c r="D552" s="1" t="s">
        <v>2500</v>
      </c>
      <c r="E552" s="1">
        <v>20</v>
      </c>
      <c r="F552" s="1" t="s">
        <v>29</v>
      </c>
      <c r="K552" s="3"/>
    </row>
    <row r="553" spans="1:11" x14ac:dyDescent="0.45">
      <c r="A553" s="1" t="s">
        <v>2501</v>
      </c>
      <c r="B553" s="1">
        <v>552</v>
      </c>
      <c r="C553" s="12" t="s">
        <v>2502</v>
      </c>
      <c r="D553" s="1" t="s">
        <v>2503</v>
      </c>
      <c r="E553" s="1">
        <v>20</v>
      </c>
      <c r="F553" s="1" t="s">
        <v>29</v>
      </c>
      <c r="K553" s="3"/>
    </row>
    <row r="554" spans="1:11" x14ac:dyDescent="0.45">
      <c r="A554" s="1" t="s">
        <v>2504</v>
      </c>
      <c r="B554" s="1">
        <v>553</v>
      </c>
      <c r="C554" s="12" t="s">
        <v>2505</v>
      </c>
      <c r="D554" s="1" t="s">
        <v>2506</v>
      </c>
      <c r="E554" s="1">
        <v>20</v>
      </c>
      <c r="F554" s="1" t="s">
        <v>29</v>
      </c>
      <c r="K554" s="3"/>
    </row>
    <row r="555" spans="1:11" x14ac:dyDescent="0.45">
      <c r="A555" s="1" t="s">
        <v>2507</v>
      </c>
      <c r="B555" s="1">
        <v>554</v>
      </c>
      <c r="C555" s="12" t="s">
        <v>2508</v>
      </c>
      <c r="D555" s="1" t="s">
        <v>2509</v>
      </c>
      <c r="E555" s="1">
        <v>20</v>
      </c>
      <c r="F555" s="1" t="s">
        <v>29</v>
      </c>
      <c r="K555" s="3"/>
    </row>
    <row r="556" spans="1:11" x14ac:dyDescent="0.45">
      <c r="A556" s="1" t="s">
        <v>2510</v>
      </c>
      <c r="B556" s="1">
        <v>555</v>
      </c>
      <c r="C556" s="12" t="s">
        <v>2511</v>
      </c>
      <c r="D556" s="1" t="s">
        <v>2512</v>
      </c>
      <c r="E556" s="1">
        <v>20</v>
      </c>
      <c r="F556" s="1" t="s">
        <v>29</v>
      </c>
      <c r="K556" s="3"/>
    </row>
    <row r="557" spans="1:11" x14ac:dyDescent="0.45">
      <c r="A557" s="1" t="s">
        <v>2513</v>
      </c>
      <c r="B557" s="1">
        <v>556</v>
      </c>
      <c r="C557" s="12" t="s">
        <v>2514</v>
      </c>
      <c r="D557" s="1" t="s">
        <v>2515</v>
      </c>
      <c r="E557" s="1">
        <v>20</v>
      </c>
      <c r="F557" s="1" t="s">
        <v>29</v>
      </c>
      <c r="K557" s="3"/>
    </row>
    <row r="558" spans="1:11" x14ac:dyDescent="0.45">
      <c r="A558" s="1" t="s">
        <v>2516</v>
      </c>
      <c r="B558" s="1">
        <v>557</v>
      </c>
      <c r="C558" s="12" t="s">
        <v>2517</v>
      </c>
      <c r="D558" s="1" t="s">
        <v>2518</v>
      </c>
      <c r="E558" s="1">
        <v>20</v>
      </c>
      <c r="F558" s="1" t="s">
        <v>29</v>
      </c>
      <c r="K558" s="3"/>
    </row>
    <row r="559" spans="1:11" x14ac:dyDescent="0.45">
      <c r="A559" s="1" t="s">
        <v>2519</v>
      </c>
      <c r="B559" s="1">
        <v>558</v>
      </c>
      <c r="C559" s="12" t="s">
        <v>2520</v>
      </c>
      <c r="D559" s="1" t="s">
        <v>2521</v>
      </c>
      <c r="E559" s="1">
        <v>20</v>
      </c>
      <c r="F559" s="1" t="s">
        <v>29</v>
      </c>
      <c r="K559" s="3"/>
    </row>
    <row r="560" spans="1:11" x14ac:dyDescent="0.45">
      <c r="A560" s="1" t="s">
        <v>2522</v>
      </c>
      <c r="B560" s="1">
        <v>559</v>
      </c>
      <c r="C560" s="12" t="s">
        <v>2523</v>
      </c>
      <c r="D560" s="1" t="s">
        <v>2524</v>
      </c>
      <c r="E560" s="1">
        <v>20</v>
      </c>
      <c r="F560" s="1" t="s">
        <v>29</v>
      </c>
      <c r="K560" s="3"/>
    </row>
    <row r="561" spans="1:11" x14ac:dyDescent="0.45">
      <c r="A561" s="1" t="s">
        <v>2525</v>
      </c>
      <c r="B561" s="1">
        <v>560</v>
      </c>
      <c r="C561" s="12" t="s">
        <v>2526</v>
      </c>
      <c r="D561" s="1" t="s">
        <v>2527</v>
      </c>
      <c r="E561" s="1">
        <v>20</v>
      </c>
      <c r="F561" s="1" t="s">
        <v>29</v>
      </c>
      <c r="K561" s="3"/>
    </row>
    <row r="562" spans="1:11" x14ac:dyDescent="0.45">
      <c r="A562" s="1" t="s">
        <v>2528</v>
      </c>
      <c r="B562" s="1">
        <v>561</v>
      </c>
      <c r="C562" s="12" t="s">
        <v>2529</v>
      </c>
      <c r="D562" s="1" t="s">
        <v>2530</v>
      </c>
      <c r="E562" s="1">
        <v>20</v>
      </c>
      <c r="F562" s="1" t="s">
        <v>29</v>
      </c>
      <c r="K562" s="3"/>
    </row>
    <row r="563" spans="1:11" x14ac:dyDescent="0.45">
      <c r="A563" s="1" t="s">
        <v>2531</v>
      </c>
      <c r="B563" s="1">
        <v>562</v>
      </c>
      <c r="C563" s="12" t="s">
        <v>2532</v>
      </c>
      <c r="D563" s="1" t="s">
        <v>2533</v>
      </c>
      <c r="E563" s="1">
        <v>20</v>
      </c>
      <c r="F563" s="1" t="s">
        <v>29</v>
      </c>
      <c r="K563" s="3"/>
    </row>
    <row r="564" spans="1:11" x14ac:dyDescent="0.45">
      <c r="A564" s="1" t="s">
        <v>2534</v>
      </c>
      <c r="B564" s="1">
        <v>563</v>
      </c>
      <c r="C564" s="12" t="s">
        <v>2535</v>
      </c>
      <c r="D564" s="1" t="s">
        <v>2536</v>
      </c>
      <c r="E564" s="1">
        <v>20</v>
      </c>
      <c r="F564" s="1" t="s">
        <v>29</v>
      </c>
      <c r="K564" s="3"/>
    </row>
    <row r="565" spans="1:11" x14ac:dyDescent="0.45">
      <c r="A565" s="1" t="s">
        <v>2537</v>
      </c>
      <c r="B565" s="1">
        <v>564</v>
      </c>
      <c r="C565" s="12" t="s">
        <v>2538</v>
      </c>
      <c r="D565" s="1" t="s">
        <v>2539</v>
      </c>
      <c r="E565" s="1">
        <v>20</v>
      </c>
      <c r="F565" s="1" t="s">
        <v>29</v>
      </c>
      <c r="K565" s="3"/>
    </row>
    <row r="566" spans="1:11" x14ac:dyDescent="0.45">
      <c r="A566" s="1" t="s">
        <v>2540</v>
      </c>
      <c r="B566" s="1">
        <v>565</v>
      </c>
      <c r="C566" s="12" t="s">
        <v>2541</v>
      </c>
      <c r="D566" s="1" t="s">
        <v>2542</v>
      </c>
      <c r="E566" s="1">
        <v>20</v>
      </c>
      <c r="F566" s="1" t="s">
        <v>29</v>
      </c>
      <c r="K566" s="3"/>
    </row>
    <row r="567" spans="1:11" x14ac:dyDescent="0.45">
      <c r="A567" s="1" t="s">
        <v>2543</v>
      </c>
      <c r="B567" s="1">
        <v>566</v>
      </c>
      <c r="C567" s="12" t="s">
        <v>2544</v>
      </c>
      <c r="D567" s="1" t="s">
        <v>2545</v>
      </c>
      <c r="E567" s="1">
        <v>20</v>
      </c>
      <c r="F567" s="1" t="s">
        <v>29</v>
      </c>
      <c r="K567" s="3"/>
    </row>
    <row r="568" spans="1:11" x14ac:dyDescent="0.45">
      <c r="A568" s="1" t="s">
        <v>2546</v>
      </c>
      <c r="B568" s="1">
        <v>567</v>
      </c>
      <c r="C568" s="12" t="s">
        <v>2547</v>
      </c>
      <c r="D568" s="1" t="s">
        <v>2548</v>
      </c>
      <c r="E568" s="1">
        <v>20</v>
      </c>
      <c r="F568" s="1" t="s">
        <v>29</v>
      </c>
      <c r="K568" s="3"/>
    </row>
    <row r="569" spans="1:11" x14ac:dyDescent="0.45">
      <c r="A569" s="1" t="s">
        <v>2549</v>
      </c>
      <c r="B569" s="1">
        <v>568</v>
      </c>
      <c r="C569" s="12" t="s">
        <v>2550</v>
      </c>
      <c r="D569" s="1" t="s">
        <v>2551</v>
      </c>
      <c r="E569" s="1">
        <v>20</v>
      </c>
      <c r="F569" s="1" t="s">
        <v>29</v>
      </c>
      <c r="K569" s="3"/>
    </row>
    <row r="570" spans="1:11" x14ac:dyDescent="0.45">
      <c r="A570" s="1" t="s">
        <v>2552</v>
      </c>
      <c r="B570" s="1">
        <v>569</v>
      </c>
      <c r="C570" s="12" t="s">
        <v>2553</v>
      </c>
      <c r="D570" s="1" t="s">
        <v>2554</v>
      </c>
      <c r="E570" s="1">
        <v>20</v>
      </c>
      <c r="F570" s="1" t="s">
        <v>29</v>
      </c>
      <c r="K570" s="3"/>
    </row>
    <row r="571" spans="1:11" x14ac:dyDescent="0.45">
      <c r="A571" s="1" t="s">
        <v>2555</v>
      </c>
      <c r="B571" s="1">
        <v>570</v>
      </c>
      <c r="C571" s="12" t="s">
        <v>2556</v>
      </c>
      <c r="D571" s="1" t="s">
        <v>2557</v>
      </c>
      <c r="E571" s="1">
        <v>20</v>
      </c>
      <c r="F571" s="1" t="s">
        <v>29</v>
      </c>
      <c r="K571" s="3"/>
    </row>
    <row r="572" spans="1:11" x14ac:dyDescent="0.45">
      <c r="A572" s="1" t="s">
        <v>2558</v>
      </c>
      <c r="B572" s="1">
        <v>571</v>
      </c>
      <c r="C572" s="12" t="s">
        <v>2559</v>
      </c>
      <c r="D572" s="1" t="s">
        <v>2560</v>
      </c>
      <c r="E572" s="1">
        <v>20</v>
      </c>
      <c r="F572" s="1" t="s">
        <v>29</v>
      </c>
      <c r="K572" s="3"/>
    </row>
    <row r="573" spans="1:11" x14ac:dyDescent="0.45">
      <c r="A573" s="1" t="s">
        <v>2561</v>
      </c>
      <c r="B573" s="1">
        <v>572</v>
      </c>
      <c r="C573" s="12" t="s">
        <v>2562</v>
      </c>
      <c r="D573" s="1" t="s">
        <v>2563</v>
      </c>
      <c r="E573" s="1">
        <v>20</v>
      </c>
      <c r="F573" s="1" t="s">
        <v>29</v>
      </c>
      <c r="K573" s="3"/>
    </row>
    <row r="574" spans="1:11" x14ac:dyDescent="0.45">
      <c r="A574" s="1" t="s">
        <v>2564</v>
      </c>
      <c r="B574" s="1">
        <v>573</v>
      </c>
      <c r="C574" s="12" t="s">
        <v>2565</v>
      </c>
      <c r="D574" s="1" t="s">
        <v>2566</v>
      </c>
      <c r="E574" s="1">
        <v>20</v>
      </c>
      <c r="F574" s="1" t="s">
        <v>29</v>
      </c>
      <c r="K574" s="3"/>
    </row>
    <row r="575" spans="1:11" x14ac:dyDescent="0.45">
      <c r="A575" s="1" t="s">
        <v>2567</v>
      </c>
      <c r="B575" s="1">
        <v>574</v>
      </c>
      <c r="C575" s="12" t="s">
        <v>2568</v>
      </c>
      <c r="D575" s="1" t="s">
        <v>2569</v>
      </c>
      <c r="E575" s="1">
        <v>20</v>
      </c>
      <c r="F575" s="1" t="s">
        <v>29</v>
      </c>
      <c r="K575" s="3"/>
    </row>
    <row r="576" spans="1:11" x14ac:dyDescent="0.45">
      <c r="A576" s="1" t="s">
        <v>2570</v>
      </c>
      <c r="B576" s="1">
        <v>575</v>
      </c>
      <c r="C576" s="12" t="s">
        <v>2571</v>
      </c>
      <c r="D576" s="1" t="s">
        <v>2572</v>
      </c>
      <c r="E576" s="1">
        <v>20</v>
      </c>
      <c r="F576" s="1" t="s">
        <v>29</v>
      </c>
      <c r="K576" s="3"/>
    </row>
    <row r="577" spans="1:11" x14ac:dyDescent="0.45">
      <c r="A577" s="1" t="s">
        <v>2573</v>
      </c>
      <c r="B577" s="1">
        <v>576</v>
      </c>
      <c r="C577" s="12" t="s">
        <v>2574</v>
      </c>
      <c r="D577" s="1" t="s">
        <v>2575</v>
      </c>
      <c r="E577" s="1">
        <v>20</v>
      </c>
      <c r="F577" s="1" t="s">
        <v>29</v>
      </c>
      <c r="K577" s="3"/>
    </row>
    <row r="578" spans="1:11" x14ac:dyDescent="0.45">
      <c r="A578" s="1" t="s">
        <v>2576</v>
      </c>
      <c r="B578" s="1">
        <v>577</v>
      </c>
      <c r="C578" s="12" t="s">
        <v>2577</v>
      </c>
      <c r="D578" s="1" t="s">
        <v>2578</v>
      </c>
      <c r="E578" s="1">
        <v>20</v>
      </c>
      <c r="F578" s="1" t="s">
        <v>29</v>
      </c>
      <c r="K578" s="3"/>
    </row>
    <row r="579" spans="1:11" x14ac:dyDescent="0.45">
      <c r="A579" s="1" t="s">
        <v>2579</v>
      </c>
      <c r="B579" s="1">
        <v>578</v>
      </c>
      <c r="C579" s="12" t="s">
        <v>2580</v>
      </c>
      <c r="D579" s="1" t="s">
        <v>2581</v>
      </c>
      <c r="E579" s="1">
        <v>20</v>
      </c>
      <c r="F579" s="1" t="s">
        <v>29</v>
      </c>
      <c r="K579" s="3"/>
    </row>
    <row r="580" spans="1:11" x14ac:dyDescent="0.45">
      <c r="A580" s="1" t="s">
        <v>2582</v>
      </c>
      <c r="B580" s="1">
        <v>579</v>
      </c>
      <c r="C580" s="12" t="s">
        <v>2583</v>
      </c>
      <c r="D580" s="1" t="s">
        <v>2584</v>
      </c>
      <c r="E580" s="1">
        <v>20</v>
      </c>
      <c r="F580" s="1" t="s">
        <v>29</v>
      </c>
      <c r="K580" s="3"/>
    </row>
    <row r="581" spans="1:11" x14ac:dyDescent="0.45">
      <c r="A581" s="1" t="s">
        <v>2585</v>
      </c>
      <c r="B581" s="1">
        <v>580</v>
      </c>
      <c r="C581" s="12" t="s">
        <v>2586</v>
      </c>
      <c r="D581" s="1" t="s">
        <v>2587</v>
      </c>
      <c r="E581" s="1">
        <v>20</v>
      </c>
      <c r="F581" s="1" t="s">
        <v>29</v>
      </c>
      <c r="K581" s="3"/>
    </row>
    <row r="582" spans="1:11" x14ac:dyDescent="0.45">
      <c r="A582" s="1" t="s">
        <v>2588</v>
      </c>
      <c r="B582" s="1">
        <v>581</v>
      </c>
      <c r="C582" s="12" t="s">
        <v>2589</v>
      </c>
      <c r="D582" s="1" t="s">
        <v>2590</v>
      </c>
      <c r="E582" s="1">
        <v>20</v>
      </c>
      <c r="F582" s="1" t="s">
        <v>29</v>
      </c>
      <c r="K582" s="3"/>
    </row>
    <row r="583" spans="1:11" x14ac:dyDescent="0.45">
      <c r="A583" s="1" t="s">
        <v>2591</v>
      </c>
      <c r="B583" s="1">
        <v>582</v>
      </c>
      <c r="C583" s="12" t="s">
        <v>2592</v>
      </c>
      <c r="D583" s="1" t="s">
        <v>2593</v>
      </c>
      <c r="E583" s="1">
        <v>20</v>
      </c>
      <c r="F583" s="1" t="s">
        <v>29</v>
      </c>
      <c r="K583" s="3"/>
    </row>
    <row r="584" spans="1:11" x14ac:dyDescent="0.45">
      <c r="A584" s="1" t="s">
        <v>2594</v>
      </c>
      <c r="B584" s="1">
        <v>583</v>
      </c>
      <c r="C584" s="12" t="s">
        <v>2595</v>
      </c>
      <c r="D584" s="1" t="s">
        <v>2596</v>
      </c>
      <c r="E584" s="1">
        <v>20</v>
      </c>
      <c r="F584" s="1" t="s">
        <v>29</v>
      </c>
      <c r="K584" s="3"/>
    </row>
    <row r="585" spans="1:11" x14ac:dyDescent="0.45">
      <c r="A585" s="1" t="s">
        <v>2597</v>
      </c>
      <c r="B585" s="1">
        <v>584</v>
      </c>
      <c r="C585" s="12" t="s">
        <v>2598</v>
      </c>
      <c r="D585" s="1" t="s">
        <v>2599</v>
      </c>
      <c r="E585" s="1">
        <v>20</v>
      </c>
      <c r="F585" s="1" t="s">
        <v>29</v>
      </c>
      <c r="K585" s="3"/>
    </row>
    <row r="586" spans="1:11" x14ac:dyDescent="0.45">
      <c r="A586" s="1" t="s">
        <v>2600</v>
      </c>
      <c r="B586" s="1">
        <v>585</v>
      </c>
      <c r="C586" s="12" t="s">
        <v>2601</v>
      </c>
      <c r="D586" s="1" t="s">
        <v>2602</v>
      </c>
      <c r="E586" s="1">
        <v>20</v>
      </c>
      <c r="F586" s="1" t="s">
        <v>29</v>
      </c>
      <c r="K586" s="3"/>
    </row>
    <row r="587" spans="1:11" x14ac:dyDescent="0.45">
      <c r="A587" s="1" t="s">
        <v>2603</v>
      </c>
      <c r="B587" s="1">
        <v>586</v>
      </c>
      <c r="C587" s="12" t="s">
        <v>2604</v>
      </c>
      <c r="D587" s="1" t="s">
        <v>2605</v>
      </c>
      <c r="E587" s="1">
        <v>20</v>
      </c>
      <c r="F587" s="1" t="s">
        <v>29</v>
      </c>
      <c r="K587" s="3"/>
    </row>
    <row r="588" spans="1:11" x14ac:dyDescent="0.45">
      <c r="A588" s="1" t="s">
        <v>2606</v>
      </c>
      <c r="B588" s="1">
        <v>587</v>
      </c>
      <c r="C588" s="12" t="s">
        <v>2607</v>
      </c>
      <c r="D588" s="1" t="s">
        <v>2608</v>
      </c>
      <c r="E588" s="1">
        <v>20</v>
      </c>
      <c r="F588" s="1" t="s">
        <v>29</v>
      </c>
      <c r="K588" s="3"/>
    </row>
    <row r="589" spans="1:11" x14ac:dyDescent="0.45">
      <c r="A589" s="1" t="s">
        <v>2609</v>
      </c>
      <c r="B589" s="1">
        <v>588</v>
      </c>
      <c r="C589" s="12" t="s">
        <v>2610</v>
      </c>
      <c r="D589" s="1" t="s">
        <v>2611</v>
      </c>
      <c r="E589" s="1">
        <v>20</v>
      </c>
      <c r="F589" s="1" t="s">
        <v>29</v>
      </c>
      <c r="K589" s="3"/>
    </row>
    <row r="590" spans="1:11" x14ac:dyDescent="0.45">
      <c r="A590" s="1" t="s">
        <v>2612</v>
      </c>
      <c r="B590" s="1">
        <v>589</v>
      </c>
      <c r="C590" s="12" t="s">
        <v>2613</v>
      </c>
      <c r="D590" s="1" t="s">
        <v>2614</v>
      </c>
      <c r="E590" s="1">
        <v>20</v>
      </c>
      <c r="F590" s="1" t="s">
        <v>29</v>
      </c>
      <c r="K590" s="3"/>
    </row>
    <row r="591" spans="1:11" x14ac:dyDescent="0.45">
      <c r="A591" s="1" t="s">
        <v>2615</v>
      </c>
      <c r="B591" s="1">
        <v>590</v>
      </c>
      <c r="C591" s="12" t="s">
        <v>2616</v>
      </c>
      <c r="D591" s="1" t="s">
        <v>2617</v>
      </c>
      <c r="E591" s="1">
        <v>20</v>
      </c>
      <c r="F591" s="1" t="s">
        <v>29</v>
      </c>
      <c r="K591" s="3"/>
    </row>
    <row r="592" spans="1:11" x14ac:dyDescent="0.45">
      <c r="A592" s="1" t="s">
        <v>2618</v>
      </c>
      <c r="B592" s="1">
        <v>591</v>
      </c>
      <c r="C592" s="12" t="s">
        <v>2619</v>
      </c>
      <c r="D592" s="1" t="s">
        <v>2620</v>
      </c>
      <c r="E592" s="1">
        <v>20</v>
      </c>
      <c r="F592" s="1" t="s">
        <v>29</v>
      </c>
      <c r="K592" s="3"/>
    </row>
    <row r="593" spans="1:11" x14ac:dyDescent="0.45">
      <c r="A593" s="1" t="s">
        <v>2621</v>
      </c>
      <c r="B593" s="1">
        <v>592</v>
      </c>
      <c r="C593" s="12" t="s">
        <v>2622</v>
      </c>
      <c r="D593" s="1" t="s">
        <v>2623</v>
      </c>
      <c r="E593" s="1">
        <v>20</v>
      </c>
      <c r="F593" s="1" t="s">
        <v>29</v>
      </c>
      <c r="K593" s="3"/>
    </row>
    <row r="594" spans="1:11" x14ac:dyDescent="0.45">
      <c r="A594" s="1" t="s">
        <v>2624</v>
      </c>
      <c r="B594" s="1">
        <v>593</v>
      </c>
      <c r="C594" s="12" t="s">
        <v>2625</v>
      </c>
      <c r="D594" s="1" t="s">
        <v>2626</v>
      </c>
      <c r="E594" s="1">
        <v>20</v>
      </c>
      <c r="F594" s="1" t="s">
        <v>29</v>
      </c>
      <c r="K594" s="3"/>
    </row>
    <row r="595" spans="1:11" x14ac:dyDescent="0.45">
      <c r="A595" s="1" t="s">
        <v>2627</v>
      </c>
      <c r="B595" s="1">
        <v>594</v>
      </c>
      <c r="C595" s="12" t="s">
        <v>2628</v>
      </c>
      <c r="D595" s="1" t="s">
        <v>2629</v>
      </c>
      <c r="E595" s="1">
        <v>20</v>
      </c>
      <c r="F595" s="1" t="s">
        <v>29</v>
      </c>
      <c r="K595" s="3"/>
    </row>
    <row r="596" spans="1:11" x14ac:dyDescent="0.45">
      <c r="A596" s="1" t="s">
        <v>2630</v>
      </c>
      <c r="B596" s="1">
        <v>595</v>
      </c>
      <c r="C596" s="12" t="s">
        <v>2631</v>
      </c>
      <c r="D596" s="1" t="s">
        <v>2632</v>
      </c>
      <c r="E596" s="1">
        <v>20</v>
      </c>
      <c r="F596" s="1" t="s">
        <v>29</v>
      </c>
      <c r="K596" s="3"/>
    </row>
    <row r="597" spans="1:11" x14ac:dyDescent="0.45">
      <c r="A597" s="1" t="s">
        <v>2633</v>
      </c>
      <c r="B597" s="1">
        <v>596</v>
      </c>
      <c r="C597" s="12" t="s">
        <v>2634</v>
      </c>
      <c r="D597" s="1" t="s">
        <v>2635</v>
      </c>
      <c r="E597" s="1">
        <v>20</v>
      </c>
      <c r="F597" s="1" t="s">
        <v>29</v>
      </c>
      <c r="K597" s="3"/>
    </row>
    <row r="598" spans="1:11" x14ac:dyDescent="0.45">
      <c r="A598" s="1" t="s">
        <v>2636</v>
      </c>
      <c r="B598" s="1">
        <v>597</v>
      </c>
      <c r="C598" s="12" t="s">
        <v>2637</v>
      </c>
      <c r="D598" s="1" t="s">
        <v>2638</v>
      </c>
      <c r="E598" s="1">
        <v>20</v>
      </c>
      <c r="F598" s="1" t="s">
        <v>29</v>
      </c>
      <c r="K598" s="3"/>
    </row>
    <row r="599" spans="1:11" x14ac:dyDescent="0.45">
      <c r="A599" s="1" t="s">
        <v>2639</v>
      </c>
      <c r="B599" s="1">
        <v>598</v>
      </c>
      <c r="C599" s="12" t="s">
        <v>2640</v>
      </c>
      <c r="D599" s="1" t="s">
        <v>2641</v>
      </c>
      <c r="E599" s="1">
        <v>20</v>
      </c>
      <c r="F599" s="1" t="s">
        <v>29</v>
      </c>
      <c r="K599" s="3"/>
    </row>
    <row r="600" spans="1:11" x14ac:dyDescent="0.45">
      <c r="A600" s="1" t="s">
        <v>2642</v>
      </c>
      <c r="B600" s="1">
        <v>599</v>
      </c>
      <c r="C600" s="12" t="s">
        <v>2643</v>
      </c>
      <c r="D600" s="1" t="s">
        <v>2644</v>
      </c>
      <c r="E600" s="1">
        <v>20</v>
      </c>
      <c r="F600" s="1" t="s">
        <v>29</v>
      </c>
      <c r="K600" s="3"/>
    </row>
    <row r="601" spans="1:11" x14ac:dyDescent="0.45">
      <c r="A601" s="1" t="s">
        <v>2645</v>
      </c>
      <c r="B601" s="1">
        <v>600</v>
      </c>
      <c r="C601" s="12" t="s">
        <v>2646</v>
      </c>
      <c r="D601" s="1" t="s">
        <v>2647</v>
      </c>
      <c r="E601" s="1">
        <v>20</v>
      </c>
      <c r="F601" s="1" t="s">
        <v>29</v>
      </c>
      <c r="K601" s="3"/>
    </row>
    <row r="602" spans="1:11" x14ac:dyDescent="0.45">
      <c r="A602" s="1" t="s">
        <v>2648</v>
      </c>
      <c r="B602" s="1">
        <v>601</v>
      </c>
      <c r="C602" s="12" t="s">
        <v>2649</v>
      </c>
      <c r="D602" s="1" t="s">
        <v>2650</v>
      </c>
      <c r="E602" s="1">
        <v>20</v>
      </c>
      <c r="F602" s="1" t="s">
        <v>29</v>
      </c>
      <c r="K602" s="3"/>
    </row>
    <row r="603" spans="1:11" x14ac:dyDescent="0.45">
      <c r="A603" s="1" t="s">
        <v>2651</v>
      </c>
      <c r="B603" s="1">
        <v>602</v>
      </c>
      <c r="C603" s="12" t="s">
        <v>2652</v>
      </c>
      <c r="D603" s="1" t="s">
        <v>2653</v>
      </c>
      <c r="E603" s="1">
        <v>20</v>
      </c>
      <c r="F603" s="1" t="s">
        <v>29</v>
      </c>
      <c r="K603" s="3"/>
    </row>
    <row r="604" spans="1:11" x14ac:dyDescent="0.45">
      <c r="A604" s="1" t="s">
        <v>2654</v>
      </c>
      <c r="B604" s="1">
        <v>603</v>
      </c>
      <c r="C604" s="12" t="s">
        <v>2655</v>
      </c>
      <c r="D604" s="1" t="s">
        <v>2656</v>
      </c>
      <c r="E604" s="1">
        <v>20</v>
      </c>
      <c r="F604" s="1" t="s">
        <v>29</v>
      </c>
      <c r="K604" s="3"/>
    </row>
    <row r="605" spans="1:11" x14ac:dyDescent="0.45">
      <c r="A605" s="1" t="s">
        <v>2657</v>
      </c>
      <c r="B605" s="1">
        <v>604</v>
      </c>
      <c r="C605" s="12" t="s">
        <v>2658</v>
      </c>
      <c r="D605" s="1" t="s">
        <v>2659</v>
      </c>
      <c r="E605" s="1">
        <v>20</v>
      </c>
      <c r="F605" s="1" t="s">
        <v>29</v>
      </c>
      <c r="K605" s="3"/>
    </row>
    <row r="606" spans="1:11" x14ac:dyDescent="0.45">
      <c r="A606" s="1" t="s">
        <v>2660</v>
      </c>
      <c r="B606" s="1">
        <v>605</v>
      </c>
      <c r="C606" s="12" t="s">
        <v>2661</v>
      </c>
      <c r="D606" s="1" t="s">
        <v>2662</v>
      </c>
      <c r="E606" s="1">
        <v>20</v>
      </c>
      <c r="F606" s="1" t="s">
        <v>29</v>
      </c>
      <c r="K606" s="3"/>
    </row>
    <row r="607" spans="1:11" x14ac:dyDescent="0.45">
      <c r="A607" s="1" t="s">
        <v>2663</v>
      </c>
      <c r="B607" s="1">
        <v>606</v>
      </c>
      <c r="C607" s="12" t="s">
        <v>2664</v>
      </c>
      <c r="D607" s="1" t="s">
        <v>2665</v>
      </c>
      <c r="E607" s="1">
        <v>20</v>
      </c>
      <c r="F607" s="1" t="s">
        <v>29</v>
      </c>
      <c r="K607" s="3"/>
    </row>
    <row r="608" spans="1:11" x14ac:dyDescent="0.45">
      <c r="A608" s="1" t="s">
        <v>2666</v>
      </c>
      <c r="B608" s="1">
        <v>607</v>
      </c>
      <c r="C608" s="12" t="s">
        <v>2667</v>
      </c>
      <c r="D608" s="1" t="s">
        <v>2668</v>
      </c>
      <c r="E608" s="1">
        <v>20</v>
      </c>
      <c r="F608" s="1" t="s">
        <v>29</v>
      </c>
      <c r="K608" s="3"/>
    </row>
    <row r="609" spans="1:11" x14ac:dyDescent="0.45">
      <c r="A609" s="1" t="s">
        <v>2669</v>
      </c>
      <c r="B609" s="1">
        <v>608</v>
      </c>
      <c r="C609" s="12" t="s">
        <v>2670</v>
      </c>
      <c r="D609" s="1" t="s">
        <v>2671</v>
      </c>
      <c r="E609" s="1">
        <v>20</v>
      </c>
      <c r="F609" s="1" t="s">
        <v>29</v>
      </c>
      <c r="K609" s="3"/>
    </row>
    <row r="610" spans="1:11" x14ac:dyDescent="0.45">
      <c r="A610" s="1" t="s">
        <v>2672</v>
      </c>
      <c r="B610" s="1">
        <v>609</v>
      </c>
      <c r="C610" s="12" t="s">
        <v>2673</v>
      </c>
      <c r="D610" s="1" t="s">
        <v>2674</v>
      </c>
      <c r="E610" s="1">
        <v>20</v>
      </c>
      <c r="F610" s="1" t="s">
        <v>29</v>
      </c>
      <c r="K610" s="3"/>
    </row>
    <row r="611" spans="1:11" x14ac:dyDescent="0.45">
      <c r="A611" s="1" t="s">
        <v>2675</v>
      </c>
      <c r="B611" s="1">
        <v>610</v>
      </c>
      <c r="C611" s="12" t="s">
        <v>2676</v>
      </c>
      <c r="D611" s="1" t="s">
        <v>2677</v>
      </c>
      <c r="E611" s="1">
        <v>20</v>
      </c>
      <c r="F611" s="1" t="s">
        <v>29</v>
      </c>
      <c r="K611" s="3"/>
    </row>
    <row r="612" spans="1:11" x14ac:dyDescent="0.45">
      <c r="A612" s="1" t="s">
        <v>2678</v>
      </c>
      <c r="B612" s="1">
        <v>611</v>
      </c>
      <c r="C612" s="12" t="s">
        <v>2679</v>
      </c>
      <c r="D612" s="1" t="s">
        <v>2680</v>
      </c>
      <c r="E612" s="1">
        <v>20</v>
      </c>
      <c r="F612" s="1" t="s">
        <v>29</v>
      </c>
      <c r="K612" s="3"/>
    </row>
    <row r="613" spans="1:11" x14ac:dyDescent="0.45">
      <c r="A613" s="1" t="s">
        <v>2681</v>
      </c>
      <c r="B613" s="1">
        <v>612</v>
      </c>
      <c r="C613" s="12" t="s">
        <v>2682</v>
      </c>
      <c r="D613" s="1" t="s">
        <v>2683</v>
      </c>
      <c r="E613" s="1">
        <v>20</v>
      </c>
      <c r="F613" s="1" t="s">
        <v>29</v>
      </c>
      <c r="K613" s="3"/>
    </row>
    <row r="614" spans="1:11" x14ac:dyDescent="0.45">
      <c r="A614" s="1" t="s">
        <v>2684</v>
      </c>
      <c r="B614" s="1">
        <v>613</v>
      </c>
      <c r="C614" s="12" t="s">
        <v>2685</v>
      </c>
      <c r="D614" s="1" t="s">
        <v>2686</v>
      </c>
      <c r="E614" s="1">
        <v>20</v>
      </c>
      <c r="F614" s="1" t="s">
        <v>29</v>
      </c>
      <c r="K614" s="3"/>
    </row>
    <row r="615" spans="1:11" x14ac:dyDescent="0.45">
      <c r="A615" s="1" t="s">
        <v>2687</v>
      </c>
      <c r="B615" s="1">
        <v>614</v>
      </c>
      <c r="C615" s="12" t="s">
        <v>2688</v>
      </c>
      <c r="D615" s="1" t="s">
        <v>2689</v>
      </c>
      <c r="E615" s="1">
        <v>20</v>
      </c>
      <c r="F615" s="1" t="s">
        <v>29</v>
      </c>
      <c r="K615" s="3"/>
    </row>
    <row r="616" spans="1:11" x14ac:dyDescent="0.45">
      <c r="A616" s="1" t="s">
        <v>2690</v>
      </c>
      <c r="B616" s="1">
        <v>615</v>
      </c>
      <c r="C616" s="12" t="s">
        <v>2691</v>
      </c>
      <c r="D616" s="1" t="s">
        <v>2692</v>
      </c>
      <c r="E616" s="1">
        <v>20</v>
      </c>
      <c r="F616" s="1" t="s">
        <v>29</v>
      </c>
      <c r="K616" s="3"/>
    </row>
    <row r="617" spans="1:11" x14ac:dyDescent="0.45">
      <c r="A617" s="1" t="s">
        <v>2693</v>
      </c>
      <c r="B617" s="1">
        <v>616</v>
      </c>
      <c r="C617" s="12" t="s">
        <v>2694</v>
      </c>
      <c r="D617" s="1" t="s">
        <v>2695</v>
      </c>
      <c r="E617" s="1">
        <v>20</v>
      </c>
      <c r="F617" s="1" t="s">
        <v>29</v>
      </c>
      <c r="K617" s="3"/>
    </row>
    <row r="618" spans="1:11" x14ac:dyDescent="0.45">
      <c r="A618" s="1" t="s">
        <v>2696</v>
      </c>
      <c r="B618" s="1">
        <v>617</v>
      </c>
      <c r="C618" s="12" t="s">
        <v>2697</v>
      </c>
      <c r="D618" s="1" t="s">
        <v>2698</v>
      </c>
      <c r="E618" s="1">
        <v>20</v>
      </c>
      <c r="F618" s="1" t="s">
        <v>29</v>
      </c>
      <c r="K618" s="3"/>
    </row>
    <row r="619" spans="1:11" x14ac:dyDescent="0.45">
      <c r="A619" s="1" t="s">
        <v>2699</v>
      </c>
      <c r="B619" s="1">
        <v>618</v>
      </c>
      <c r="C619" s="12" t="s">
        <v>2700</v>
      </c>
      <c r="D619" s="1" t="s">
        <v>2701</v>
      </c>
      <c r="E619" s="1">
        <v>20</v>
      </c>
      <c r="F619" s="1" t="s">
        <v>29</v>
      </c>
      <c r="K619" s="3"/>
    </row>
    <row r="620" spans="1:11" x14ac:dyDescent="0.45">
      <c r="A620" s="1" t="s">
        <v>2702</v>
      </c>
      <c r="B620" s="1">
        <v>619</v>
      </c>
      <c r="C620" s="12" t="s">
        <v>2703</v>
      </c>
      <c r="D620" s="1" t="s">
        <v>2704</v>
      </c>
      <c r="E620" s="1">
        <v>20</v>
      </c>
      <c r="F620" s="1" t="s">
        <v>29</v>
      </c>
      <c r="K620" s="3"/>
    </row>
    <row r="621" spans="1:11" x14ac:dyDescent="0.45">
      <c r="A621" s="1" t="s">
        <v>2705</v>
      </c>
      <c r="B621" s="1">
        <v>620</v>
      </c>
      <c r="C621" s="12" t="s">
        <v>2706</v>
      </c>
      <c r="D621" s="1" t="s">
        <v>2707</v>
      </c>
      <c r="E621" s="1">
        <v>20</v>
      </c>
      <c r="F621" s="1" t="s">
        <v>29</v>
      </c>
      <c r="K621" s="3"/>
    </row>
    <row r="622" spans="1:11" x14ac:dyDescent="0.45">
      <c r="A622" s="1" t="s">
        <v>2708</v>
      </c>
      <c r="B622" s="1">
        <v>621</v>
      </c>
      <c r="C622" s="12" t="s">
        <v>2709</v>
      </c>
      <c r="D622" s="1" t="s">
        <v>2710</v>
      </c>
      <c r="E622" s="1">
        <v>20</v>
      </c>
      <c r="F622" s="1" t="s">
        <v>29</v>
      </c>
      <c r="K622" s="3"/>
    </row>
    <row r="623" spans="1:11" x14ac:dyDescent="0.45">
      <c r="A623" s="1" t="s">
        <v>2711</v>
      </c>
      <c r="B623" s="1">
        <v>622</v>
      </c>
      <c r="C623" s="12" t="s">
        <v>2712</v>
      </c>
      <c r="D623" s="1" t="s">
        <v>2713</v>
      </c>
      <c r="E623" s="1">
        <v>20</v>
      </c>
      <c r="F623" s="1" t="s">
        <v>29</v>
      </c>
      <c r="K623" s="3"/>
    </row>
    <row r="624" spans="1:11" x14ac:dyDescent="0.45">
      <c r="A624" s="1" t="s">
        <v>2714</v>
      </c>
      <c r="B624" s="1">
        <v>623</v>
      </c>
      <c r="C624" s="12" t="s">
        <v>2715</v>
      </c>
      <c r="D624" s="1" t="s">
        <v>2716</v>
      </c>
      <c r="E624" s="1">
        <v>20</v>
      </c>
      <c r="F624" s="1" t="s">
        <v>29</v>
      </c>
      <c r="K624" s="3"/>
    </row>
    <row r="625" spans="1:11" x14ac:dyDescent="0.45">
      <c r="A625" s="1" t="s">
        <v>2717</v>
      </c>
      <c r="B625" s="1">
        <v>624</v>
      </c>
      <c r="C625" s="12" t="s">
        <v>2718</v>
      </c>
      <c r="D625" s="1" t="s">
        <v>2719</v>
      </c>
      <c r="E625" s="1">
        <v>20</v>
      </c>
      <c r="F625" s="1" t="s">
        <v>29</v>
      </c>
      <c r="K625" s="3"/>
    </row>
    <row r="626" spans="1:11" x14ac:dyDescent="0.45">
      <c r="A626" s="1" t="s">
        <v>2720</v>
      </c>
      <c r="B626" s="1">
        <v>625</v>
      </c>
      <c r="C626" s="12" t="s">
        <v>2721</v>
      </c>
      <c r="D626" s="1" t="s">
        <v>2722</v>
      </c>
      <c r="E626" s="1">
        <v>20</v>
      </c>
      <c r="F626" s="1" t="s">
        <v>29</v>
      </c>
      <c r="K626" s="3"/>
    </row>
    <row r="627" spans="1:11" x14ac:dyDescent="0.45">
      <c r="A627" s="1" t="s">
        <v>2723</v>
      </c>
      <c r="B627" s="1">
        <v>626</v>
      </c>
      <c r="C627" s="12" t="s">
        <v>2724</v>
      </c>
      <c r="D627" s="1" t="s">
        <v>2725</v>
      </c>
      <c r="E627" s="1">
        <v>20</v>
      </c>
      <c r="F627" s="1" t="s">
        <v>29</v>
      </c>
      <c r="K627" s="3"/>
    </row>
    <row r="628" spans="1:11" x14ac:dyDescent="0.45">
      <c r="A628" s="1" t="s">
        <v>2726</v>
      </c>
      <c r="B628" s="1">
        <v>627</v>
      </c>
      <c r="C628" s="12" t="s">
        <v>2727</v>
      </c>
      <c r="D628" s="1" t="s">
        <v>2728</v>
      </c>
      <c r="E628" s="1">
        <v>20</v>
      </c>
      <c r="F628" s="1" t="s">
        <v>29</v>
      </c>
      <c r="K628" s="3"/>
    </row>
    <row r="629" spans="1:11" x14ac:dyDescent="0.45">
      <c r="A629" s="1" t="s">
        <v>2729</v>
      </c>
      <c r="B629" s="1">
        <v>628</v>
      </c>
      <c r="C629" s="12" t="s">
        <v>2730</v>
      </c>
      <c r="D629" s="1" t="s">
        <v>2731</v>
      </c>
      <c r="E629" s="1">
        <v>20</v>
      </c>
      <c r="F629" s="1" t="s">
        <v>29</v>
      </c>
      <c r="K629" s="3"/>
    </row>
    <row r="630" spans="1:11" x14ac:dyDescent="0.45">
      <c r="A630" s="1" t="s">
        <v>2732</v>
      </c>
      <c r="B630" s="1">
        <v>629</v>
      </c>
      <c r="C630" s="12" t="s">
        <v>2733</v>
      </c>
      <c r="D630" s="1" t="s">
        <v>2734</v>
      </c>
      <c r="E630" s="1">
        <v>20</v>
      </c>
      <c r="F630" s="1" t="s">
        <v>29</v>
      </c>
      <c r="K630" s="3"/>
    </row>
    <row r="631" spans="1:11" x14ac:dyDescent="0.45">
      <c r="A631" s="1" t="s">
        <v>2735</v>
      </c>
      <c r="B631" s="1">
        <v>630</v>
      </c>
      <c r="C631" s="12" t="s">
        <v>2736</v>
      </c>
      <c r="D631" s="1" t="s">
        <v>2737</v>
      </c>
      <c r="E631" s="1">
        <v>20</v>
      </c>
      <c r="F631" s="1" t="s">
        <v>29</v>
      </c>
      <c r="K631" s="3"/>
    </row>
    <row r="632" spans="1:11" x14ac:dyDescent="0.45">
      <c r="A632" s="1" t="s">
        <v>2738</v>
      </c>
      <c r="B632" s="1">
        <v>631</v>
      </c>
      <c r="C632" s="12" t="s">
        <v>2739</v>
      </c>
      <c r="D632" s="1" t="s">
        <v>2740</v>
      </c>
      <c r="E632" s="1">
        <v>20</v>
      </c>
      <c r="F632" s="1" t="s">
        <v>29</v>
      </c>
      <c r="K632" s="3"/>
    </row>
    <row r="633" spans="1:11" x14ac:dyDescent="0.45">
      <c r="A633" s="1" t="s">
        <v>2741</v>
      </c>
      <c r="B633" s="1">
        <v>632</v>
      </c>
      <c r="C633" s="12" t="s">
        <v>2742</v>
      </c>
      <c r="D633" s="1" t="s">
        <v>2743</v>
      </c>
      <c r="E633" s="1">
        <v>20</v>
      </c>
      <c r="F633" s="1" t="s">
        <v>29</v>
      </c>
      <c r="K633" s="3"/>
    </row>
    <row r="634" spans="1:11" x14ac:dyDescent="0.45">
      <c r="A634" s="1" t="s">
        <v>2744</v>
      </c>
      <c r="B634" s="1">
        <v>633</v>
      </c>
      <c r="C634" s="12" t="s">
        <v>2745</v>
      </c>
      <c r="D634" s="1" t="s">
        <v>2746</v>
      </c>
      <c r="E634" s="1">
        <v>20</v>
      </c>
      <c r="F634" s="1" t="s">
        <v>29</v>
      </c>
      <c r="K634" s="3"/>
    </row>
    <row r="635" spans="1:11" x14ac:dyDescent="0.45">
      <c r="A635" s="1" t="s">
        <v>2747</v>
      </c>
      <c r="B635" s="1">
        <v>634</v>
      </c>
      <c r="C635" s="12" t="s">
        <v>3096</v>
      </c>
      <c r="D635" s="1" t="s">
        <v>2748</v>
      </c>
      <c r="E635" s="1">
        <v>20</v>
      </c>
      <c r="F635" s="1" t="s">
        <v>29</v>
      </c>
      <c r="K635" s="3"/>
    </row>
    <row r="636" spans="1:11" x14ac:dyDescent="0.45">
      <c r="A636" s="1" t="s">
        <v>2749</v>
      </c>
      <c r="B636" s="1">
        <v>635</v>
      </c>
      <c r="C636" s="12" t="s">
        <v>2750</v>
      </c>
      <c r="D636" s="1" t="s">
        <v>2751</v>
      </c>
      <c r="E636" s="1">
        <v>20</v>
      </c>
      <c r="F636" s="1" t="s">
        <v>29</v>
      </c>
      <c r="K636" s="3"/>
    </row>
    <row r="637" spans="1:11" x14ac:dyDescent="0.45">
      <c r="A637" s="1" t="s">
        <v>2752</v>
      </c>
      <c r="B637" s="1">
        <v>636</v>
      </c>
      <c r="C637" s="12" t="s">
        <v>2753</v>
      </c>
      <c r="D637" s="1" t="s">
        <v>2754</v>
      </c>
      <c r="E637" s="1">
        <v>20</v>
      </c>
      <c r="F637" s="1" t="s">
        <v>29</v>
      </c>
      <c r="K637" s="3"/>
    </row>
    <row r="638" spans="1:11" x14ac:dyDescent="0.45">
      <c r="A638" s="1" t="s">
        <v>2755</v>
      </c>
      <c r="B638" s="1">
        <v>637</v>
      </c>
      <c r="C638" s="12" t="s">
        <v>2756</v>
      </c>
      <c r="D638" s="1" t="s">
        <v>2757</v>
      </c>
      <c r="E638" s="1">
        <v>20</v>
      </c>
      <c r="F638" s="1" t="s">
        <v>29</v>
      </c>
      <c r="K638" s="3"/>
    </row>
    <row r="639" spans="1:11" x14ac:dyDescent="0.45">
      <c r="A639" s="1" t="s">
        <v>2758</v>
      </c>
      <c r="B639" s="1">
        <v>638</v>
      </c>
      <c r="C639" s="12" t="s">
        <v>2759</v>
      </c>
      <c r="D639" s="1" t="s">
        <v>2760</v>
      </c>
      <c r="E639" s="1">
        <v>20</v>
      </c>
      <c r="F639" s="1" t="s">
        <v>29</v>
      </c>
      <c r="K639" s="3"/>
    </row>
    <row r="640" spans="1:11" x14ac:dyDescent="0.45">
      <c r="A640" s="1" t="s">
        <v>2761</v>
      </c>
      <c r="B640" s="1">
        <v>639</v>
      </c>
      <c r="C640" s="12" t="s">
        <v>2762</v>
      </c>
      <c r="D640" s="1" t="s">
        <v>2763</v>
      </c>
      <c r="E640" s="1">
        <v>20</v>
      </c>
      <c r="F640" s="1" t="s">
        <v>29</v>
      </c>
      <c r="K640" s="3"/>
    </row>
    <row r="641" spans="1:11" x14ac:dyDescent="0.45">
      <c r="A641" s="1" t="s">
        <v>2764</v>
      </c>
      <c r="B641" s="1">
        <v>640</v>
      </c>
      <c r="C641" s="12" t="s">
        <v>2765</v>
      </c>
      <c r="D641" s="1" t="s">
        <v>2766</v>
      </c>
      <c r="E641" s="1">
        <v>20</v>
      </c>
      <c r="F641" s="1" t="s">
        <v>29</v>
      </c>
      <c r="K641" s="3"/>
    </row>
    <row r="642" spans="1:11" x14ac:dyDescent="0.45">
      <c r="A642" s="1" t="s">
        <v>2767</v>
      </c>
      <c r="B642" s="1">
        <v>641</v>
      </c>
      <c r="C642" s="12" t="s">
        <v>2768</v>
      </c>
      <c r="D642" s="1" t="s">
        <v>2769</v>
      </c>
      <c r="E642" s="1">
        <v>20</v>
      </c>
      <c r="F642" s="1" t="s">
        <v>29</v>
      </c>
      <c r="K642" s="3"/>
    </row>
    <row r="643" spans="1:11" x14ac:dyDescent="0.45">
      <c r="A643" s="1" t="s">
        <v>2770</v>
      </c>
      <c r="B643" s="1">
        <v>642</v>
      </c>
      <c r="C643" s="12" t="s">
        <v>2771</v>
      </c>
      <c r="D643" s="1" t="s">
        <v>2772</v>
      </c>
      <c r="E643" s="1">
        <v>20</v>
      </c>
      <c r="F643" s="1" t="s">
        <v>29</v>
      </c>
      <c r="K643" s="3"/>
    </row>
    <row r="644" spans="1:11" x14ac:dyDescent="0.45">
      <c r="A644" s="1" t="s">
        <v>2773</v>
      </c>
      <c r="B644" s="1">
        <v>643</v>
      </c>
      <c r="C644" s="12" t="s">
        <v>2774</v>
      </c>
      <c r="D644" s="1" t="s">
        <v>2775</v>
      </c>
      <c r="E644" s="1">
        <v>20</v>
      </c>
      <c r="F644" s="1" t="s">
        <v>29</v>
      </c>
      <c r="K644" s="3"/>
    </row>
    <row r="645" spans="1:11" x14ac:dyDescent="0.45">
      <c r="A645" s="1" t="s">
        <v>2776</v>
      </c>
      <c r="B645" s="1">
        <v>644</v>
      </c>
      <c r="C645" s="12" t="s">
        <v>2777</v>
      </c>
      <c r="D645" s="1" t="s">
        <v>2778</v>
      </c>
      <c r="E645" s="1">
        <v>20</v>
      </c>
      <c r="F645" s="1" t="s">
        <v>29</v>
      </c>
      <c r="K645" s="3"/>
    </row>
    <row r="646" spans="1:11" x14ac:dyDescent="0.45">
      <c r="A646" s="1" t="s">
        <v>2779</v>
      </c>
      <c r="B646" s="1">
        <v>645</v>
      </c>
      <c r="C646" s="12" t="s">
        <v>2780</v>
      </c>
      <c r="D646" s="1" t="s">
        <v>2781</v>
      </c>
      <c r="E646" s="1">
        <v>20</v>
      </c>
      <c r="F646" s="1" t="s">
        <v>29</v>
      </c>
      <c r="K646" s="3"/>
    </row>
    <row r="647" spans="1:11" x14ac:dyDescent="0.45">
      <c r="A647" s="1" t="s">
        <v>2782</v>
      </c>
      <c r="B647" s="1">
        <v>646</v>
      </c>
      <c r="C647" s="12" t="s">
        <v>2783</v>
      </c>
      <c r="D647" s="1" t="s">
        <v>2784</v>
      </c>
      <c r="E647" s="1">
        <v>20</v>
      </c>
      <c r="F647" s="1" t="s">
        <v>29</v>
      </c>
      <c r="K647" s="3"/>
    </row>
    <row r="648" spans="1:11" x14ac:dyDescent="0.45">
      <c r="A648" s="1" t="s">
        <v>3037</v>
      </c>
      <c r="B648" s="1">
        <v>647</v>
      </c>
      <c r="C648" s="12" t="s">
        <v>3038</v>
      </c>
      <c r="D648" s="1" t="s">
        <v>3685</v>
      </c>
      <c r="E648" s="1">
        <v>21</v>
      </c>
      <c r="F648" s="1" t="s">
        <v>29</v>
      </c>
      <c r="K648" s="3"/>
    </row>
    <row r="649" spans="1:11" x14ac:dyDescent="0.45">
      <c r="A649" s="1" t="s">
        <v>3039</v>
      </c>
      <c r="B649" s="1">
        <v>648</v>
      </c>
      <c r="C649" s="12" t="s">
        <v>3040</v>
      </c>
      <c r="D649" s="1" t="s">
        <v>3687</v>
      </c>
      <c r="E649" s="1">
        <v>21</v>
      </c>
      <c r="F649" s="1" t="s">
        <v>29</v>
      </c>
      <c r="K649" s="3"/>
    </row>
    <row r="650" spans="1:11" x14ac:dyDescent="0.45">
      <c r="A650" s="1" t="s">
        <v>3041</v>
      </c>
      <c r="B650" s="1">
        <v>649</v>
      </c>
      <c r="C650" s="12" t="s">
        <v>3042</v>
      </c>
      <c r="D650" s="1" t="s">
        <v>3945</v>
      </c>
      <c r="E650" s="1">
        <v>20</v>
      </c>
      <c r="F650" s="1" t="s">
        <v>29</v>
      </c>
      <c r="K650" s="3"/>
    </row>
    <row r="651" spans="1:11" x14ac:dyDescent="0.45">
      <c r="A651" s="1" t="s">
        <v>3043</v>
      </c>
      <c r="B651" s="1">
        <v>650</v>
      </c>
      <c r="C651" s="12" t="s">
        <v>3044</v>
      </c>
      <c r="D651" s="1" t="s">
        <v>3946</v>
      </c>
      <c r="E651" s="1">
        <v>20</v>
      </c>
      <c r="F651" s="1" t="s">
        <v>29</v>
      </c>
      <c r="K651" s="3"/>
    </row>
    <row r="652" spans="1:11" x14ac:dyDescent="0.45">
      <c r="A652" s="1" t="s">
        <v>3068</v>
      </c>
      <c r="B652" s="1">
        <v>651</v>
      </c>
      <c r="C652" s="12" t="s">
        <v>3082</v>
      </c>
      <c r="D652" s="1" t="s">
        <v>3073</v>
      </c>
      <c r="E652" s="1">
        <v>20</v>
      </c>
      <c r="F652" s="1" t="s">
        <v>29</v>
      </c>
      <c r="K652" s="3"/>
    </row>
    <row r="653" spans="1:11" x14ac:dyDescent="0.45">
      <c r="A653" s="1" t="s">
        <v>3069</v>
      </c>
      <c r="B653" s="1">
        <v>652</v>
      </c>
      <c r="C653" s="12" t="s">
        <v>3083</v>
      </c>
      <c r="D653" s="1" t="s">
        <v>3074</v>
      </c>
      <c r="E653" s="1">
        <v>20</v>
      </c>
      <c r="F653" s="1" t="s">
        <v>29</v>
      </c>
      <c r="K653" s="3"/>
    </row>
    <row r="654" spans="1:11" x14ac:dyDescent="0.45">
      <c r="A654" s="1" t="s">
        <v>3070</v>
      </c>
      <c r="B654" s="1">
        <v>653</v>
      </c>
      <c r="C654" s="12" t="s">
        <v>3084</v>
      </c>
      <c r="D654" s="1" t="s">
        <v>3075</v>
      </c>
      <c r="E654" s="1">
        <v>20</v>
      </c>
      <c r="F654" s="1" t="s">
        <v>29</v>
      </c>
      <c r="K654" s="3"/>
    </row>
    <row r="655" spans="1:11" x14ac:dyDescent="0.45">
      <c r="A655" s="1" t="s">
        <v>3071</v>
      </c>
      <c r="B655" s="1">
        <v>654</v>
      </c>
      <c r="C655" s="12" t="s">
        <v>3085</v>
      </c>
      <c r="D655" s="1" t="s">
        <v>3066</v>
      </c>
      <c r="E655" s="1">
        <v>20</v>
      </c>
      <c r="F655" s="1" t="s">
        <v>29</v>
      </c>
      <c r="K655" s="3"/>
    </row>
    <row r="656" spans="1:11" x14ac:dyDescent="0.45">
      <c r="A656" s="1" t="s">
        <v>3072</v>
      </c>
      <c r="B656" s="1">
        <v>655</v>
      </c>
      <c r="C656" s="12" t="s">
        <v>3086</v>
      </c>
      <c r="D656" s="1" t="s">
        <v>3076</v>
      </c>
      <c r="E656" s="1">
        <v>20</v>
      </c>
      <c r="F656" s="1" t="s">
        <v>29</v>
      </c>
      <c r="K656" s="3"/>
    </row>
    <row r="657" spans="1:11" x14ac:dyDescent="0.45">
      <c r="A657" s="1" t="s">
        <v>3097</v>
      </c>
      <c r="B657" s="1">
        <v>656</v>
      </c>
      <c r="C657" s="12" t="s">
        <v>3098</v>
      </c>
      <c r="D657" s="1" t="s">
        <v>3099</v>
      </c>
      <c r="E657" s="1">
        <v>12</v>
      </c>
      <c r="F657" s="1" t="s">
        <v>29</v>
      </c>
      <c r="K657" s="3"/>
    </row>
    <row r="658" spans="1:11" x14ac:dyDescent="0.45">
      <c r="A658" s="1" t="s">
        <v>3101</v>
      </c>
      <c r="B658" s="1">
        <v>657</v>
      </c>
      <c r="C658" s="12" t="s">
        <v>3439</v>
      </c>
      <c r="D658" s="1" t="s">
        <v>3102</v>
      </c>
      <c r="E658" s="1">
        <v>20</v>
      </c>
      <c r="F658" s="1" t="s">
        <v>29</v>
      </c>
      <c r="K658" s="3"/>
    </row>
    <row r="659" spans="1:11" x14ac:dyDescent="0.45">
      <c r="A659" s="1" t="s">
        <v>3103</v>
      </c>
      <c r="B659" s="1">
        <v>658</v>
      </c>
      <c r="C659" s="12" t="s">
        <v>3440</v>
      </c>
      <c r="D659" s="1" t="s">
        <v>3104</v>
      </c>
      <c r="E659" s="1">
        <v>20</v>
      </c>
      <c r="F659" s="1" t="s">
        <v>29</v>
      </c>
      <c r="K659" s="3"/>
    </row>
    <row r="660" spans="1:11" x14ac:dyDescent="0.45">
      <c r="A660" s="1" t="s">
        <v>3105</v>
      </c>
      <c r="B660" s="1">
        <v>659</v>
      </c>
      <c r="C660" s="12" t="s">
        <v>3441</v>
      </c>
      <c r="D660" s="1" t="s">
        <v>3106</v>
      </c>
      <c r="E660" s="1">
        <v>20</v>
      </c>
      <c r="F660" s="1" t="s">
        <v>29</v>
      </c>
      <c r="K660" s="3"/>
    </row>
    <row r="661" spans="1:11" x14ac:dyDescent="0.45">
      <c r="A661" s="1" t="s">
        <v>3107</v>
      </c>
      <c r="B661" s="1">
        <v>660</v>
      </c>
      <c r="C661" s="12" t="s">
        <v>3442</v>
      </c>
      <c r="D661" s="1" t="s">
        <v>3108</v>
      </c>
      <c r="E661" s="1">
        <v>20</v>
      </c>
      <c r="F661" s="1" t="s">
        <v>29</v>
      </c>
      <c r="K661" s="3"/>
    </row>
    <row r="662" spans="1:11" x14ac:dyDescent="0.45">
      <c r="A662" s="1" t="s">
        <v>3109</v>
      </c>
      <c r="B662" s="1">
        <v>661</v>
      </c>
      <c r="C662" s="12" t="s">
        <v>3443</v>
      </c>
      <c r="D662" s="1" t="s">
        <v>3110</v>
      </c>
      <c r="E662" s="1">
        <v>20</v>
      </c>
      <c r="F662" s="1" t="s">
        <v>29</v>
      </c>
      <c r="K662" s="3"/>
    </row>
    <row r="663" spans="1:11" x14ac:dyDescent="0.45">
      <c r="A663" s="1" t="s">
        <v>3111</v>
      </c>
      <c r="B663" s="1">
        <v>662</v>
      </c>
      <c r="C663" s="12" t="s">
        <v>3444</v>
      </c>
      <c r="D663" s="1" t="s">
        <v>3112</v>
      </c>
      <c r="E663" s="1">
        <v>20</v>
      </c>
      <c r="F663" s="1" t="s">
        <v>29</v>
      </c>
      <c r="K663" s="3"/>
    </row>
    <row r="664" spans="1:11" x14ac:dyDescent="0.45">
      <c r="A664" s="1" t="s">
        <v>3113</v>
      </c>
      <c r="B664" s="1">
        <v>663</v>
      </c>
      <c r="C664" s="12" t="s">
        <v>3445</v>
      </c>
      <c r="D664" s="1" t="s">
        <v>3114</v>
      </c>
      <c r="E664" s="1">
        <v>20</v>
      </c>
      <c r="F664" s="1" t="s">
        <v>29</v>
      </c>
      <c r="K664" s="3"/>
    </row>
    <row r="665" spans="1:11" x14ac:dyDescent="0.45">
      <c r="A665" s="1" t="s">
        <v>3115</v>
      </c>
      <c r="B665" s="1">
        <v>664</v>
      </c>
      <c r="C665" s="12" t="s">
        <v>3446</v>
      </c>
      <c r="D665" s="1" t="s">
        <v>3116</v>
      </c>
      <c r="E665" s="1">
        <v>20</v>
      </c>
      <c r="F665" s="1" t="s">
        <v>29</v>
      </c>
      <c r="K665" s="3"/>
    </row>
    <row r="666" spans="1:11" x14ac:dyDescent="0.45">
      <c r="A666" s="1" t="s">
        <v>3117</v>
      </c>
      <c r="B666" s="1">
        <v>665</v>
      </c>
      <c r="C666" s="12" t="s">
        <v>3447</v>
      </c>
      <c r="D666" s="1" t="s">
        <v>3118</v>
      </c>
      <c r="E666" s="1">
        <v>20</v>
      </c>
      <c r="F666" s="1" t="s">
        <v>29</v>
      </c>
      <c r="K666" s="3"/>
    </row>
    <row r="667" spans="1:11" x14ac:dyDescent="0.45">
      <c r="A667" s="1" t="s">
        <v>3119</v>
      </c>
      <c r="B667" s="1">
        <v>666</v>
      </c>
      <c r="C667" s="12" t="s">
        <v>3448</v>
      </c>
      <c r="D667" s="1" t="s">
        <v>3120</v>
      </c>
      <c r="E667" s="1">
        <v>20</v>
      </c>
      <c r="F667" s="1" t="s">
        <v>29</v>
      </c>
      <c r="K667" s="3"/>
    </row>
    <row r="668" spans="1:11" x14ac:dyDescent="0.45">
      <c r="A668" s="1" t="s">
        <v>3121</v>
      </c>
      <c r="B668" s="1">
        <v>667</v>
      </c>
      <c r="C668" s="12" t="s">
        <v>3449</v>
      </c>
      <c r="D668" s="1" t="s">
        <v>3122</v>
      </c>
      <c r="E668" s="1">
        <v>20</v>
      </c>
      <c r="F668" s="1" t="s">
        <v>29</v>
      </c>
      <c r="K668" s="3"/>
    </row>
    <row r="669" spans="1:11" x14ac:dyDescent="0.45">
      <c r="A669" s="1" t="s">
        <v>3123</v>
      </c>
      <c r="B669" s="1">
        <v>668</v>
      </c>
      <c r="C669" s="12" t="s">
        <v>3450</v>
      </c>
      <c r="D669" s="1" t="s">
        <v>3124</v>
      </c>
      <c r="E669" s="1">
        <v>20</v>
      </c>
      <c r="F669" s="1" t="s">
        <v>29</v>
      </c>
      <c r="K669" s="3"/>
    </row>
    <row r="670" spans="1:11" x14ac:dyDescent="0.45">
      <c r="A670" s="1" t="s">
        <v>3125</v>
      </c>
      <c r="B670" s="1">
        <v>669</v>
      </c>
      <c r="C670" s="12" t="s">
        <v>3451</v>
      </c>
      <c r="D670" s="1" t="s">
        <v>3126</v>
      </c>
      <c r="E670" s="1">
        <v>20</v>
      </c>
      <c r="F670" s="1" t="s">
        <v>29</v>
      </c>
      <c r="K670" s="3"/>
    </row>
    <row r="671" spans="1:11" x14ac:dyDescent="0.45">
      <c r="A671" s="1" t="s">
        <v>3127</v>
      </c>
      <c r="B671" s="1">
        <v>670</v>
      </c>
      <c r="C671" s="12" t="s">
        <v>3452</v>
      </c>
      <c r="D671" s="1" t="s">
        <v>3128</v>
      </c>
      <c r="E671" s="1">
        <v>20</v>
      </c>
      <c r="F671" s="1" t="s">
        <v>29</v>
      </c>
      <c r="K671" s="3"/>
    </row>
    <row r="672" spans="1:11" x14ac:dyDescent="0.45">
      <c r="A672" s="1" t="s">
        <v>3129</v>
      </c>
      <c r="B672" s="1">
        <v>671</v>
      </c>
      <c r="C672" s="12" t="s">
        <v>3453</v>
      </c>
      <c r="D672" s="1" t="s">
        <v>3130</v>
      </c>
      <c r="E672" s="1">
        <v>20</v>
      </c>
      <c r="F672" s="1" t="s">
        <v>29</v>
      </c>
      <c r="K672" s="3"/>
    </row>
    <row r="673" spans="1:11" x14ac:dyDescent="0.45">
      <c r="A673" s="1" t="s">
        <v>3131</v>
      </c>
      <c r="B673" s="1">
        <v>672</v>
      </c>
      <c r="C673" s="12" t="s">
        <v>3454</v>
      </c>
      <c r="D673" s="1" t="s">
        <v>3132</v>
      </c>
      <c r="E673" s="1">
        <v>20</v>
      </c>
      <c r="F673" s="1" t="s">
        <v>29</v>
      </c>
      <c r="K673" s="3"/>
    </row>
    <row r="674" spans="1:11" x14ac:dyDescent="0.45">
      <c r="A674" s="1" t="s">
        <v>3133</v>
      </c>
      <c r="B674" s="1">
        <v>673</v>
      </c>
      <c r="C674" s="12" t="s">
        <v>3455</v>
      </c>
      <c r="D674" s="1" t="s">
        <v>3134</v>
      </c>
      <c r="E674" s="1">
        <v>20</v>
      </c>
      <c r="F674" s="1" t="s">
        <v>29</v>
      </c>
      <c r="K674" s="3"/>
    </row>
    <row r="675" spans="1:11" x14ac:dyDescent="0.45">
      <c r="A675" s="1" t="s">
        <v>3135</v>
      </c>
      <c r="B675" s="1">
        <v>674</v>
      </c>
      <c r="C675" s="12" t="s">
        <v>3456</v>
      </c>
      <c r="D675" s="1" t="s">
        <v>3136</v>
      </c>
      <c r="E675" s="1">
        <v>20</v>
      </c>
      <c r="F675" s="1" t="s">
        <v>29</v>
      </c>
      <c r="K675" s="3"/>
    </row>
    <row r="676" spans="1:11" x14ac:dyDescent="0.45">
      <c r="A676" s="1" t="s">
        <v>3137</v>
      </c>
      <c r="B676" s="1">
        <v>675</v>
      </c>
      <c r="C676" s="12" t="s">
        <v>3457</v>
      </c>
      <c r="D676" s="1" t="s">
        <v>3138</v>
      </c>
      <c r="E676" s="1">
        <v>20</v>
      </c>
      <c r="F676" s="1" t="s">
        <v>29</v>
      </c>
      <c r="K676" s="3"/>
    </row>
    <row r="677" spans="1:11" x14ac:dyDescent="0.45">
      <c r="A677" s="1" t="s">
        <v>3139</v>
      </c>
      <c r="B677" s="1">
        <v>676</v>
      </c>
      <c r="C677" s="12" t="s">
        <v>3458</v>
      </c>
      <c r="D677" s="1" t="s">
        <v>3140</v>
      </c>
      <c r="E677" s="1">
        <v>20</v>
      </c>
      <c r="F677" s="1" t="s">
        <v>29</v>
      </c>
      <c r="K677" s="3"/>
    </row>
    <row r="678" spans="1:11" x14ac:dyDescent="0.45">
      <c r="A678" s="1" t="s">
        <v>3141</v>
      </c>
      <c r="B678" s="1">
        <v>677</v>
      </c>
      <c r="C678" s="12" t="s">
        <v>3459</v>
      </c>
      <c r="D678" s="1" t="s">
        <v>3142</v>
      </c>
      <c r="E678" s="1">
        <v>20</v>
      </c>
      <c r="F678" s="1" t="s">
        <v>29</v>
      </c>
      <c r="K678" s="3"/>
    </row>
    <row r="679" spans="1:11" x14ac:dyDescent="0.45">
      <c r="A679" s="1" t="s">
        <v>3143</v>
      </c>
      <c r="B679" s="1">
        <v>678</v>
      </c>
      <c r="C679" s="12" t="s">
        <v>3460</v>
      </c>
      <c r="D679" s="1" t="s">
        <v>3144</v>
      </c>
      <c r="E679" s="1">
        <v>20</v>
      </c>
      <c r="F679" s="1" t="s">
        <v>29</v>
      </c>
      <c r="K679" s="3"/>
    </row>
    <row r="680" spans="1:11" x14ac:dyDescent="0.45">
      <c r="A680" s="1" t="s">
        <v>3145</v>
      </c>
      <c r="B680" s="1">
        <v>679</v>
      </c>
      <c r="C680" s="12" t="s">
        <v>3461</v>
      </c>
      <c r="D680" s="1" t="s">
        <v>3146</v>
      </c>
      <c r="E680" s="1">
        <v>20</v>
      </c>
      <c r="F680" s="1" t="s">
        <v>29</v>
      </c>
      <c r="K680" s="3"/>
    </row>
    <row r="681" spans="1:11" x14ac:dyDescent="0.45">
      <c r="A681" s="1" t="s">
        <v>3147</v>
      </c>
      <c r="B681" s="1">
        <v>680</v>
      </c>
      <c r="C681" s="12" t="s">
        <v>3462</v>
      </c>
      <c r="D681" s="1" t="s">
        <v>3148</v>
      </c>
      <c r="E681" s="1">
        <v>20</v>
      </c>
      <c r="F681" s="1" t="s">
        <v>29</v>
      </c>
      <c r="K681" s="3"/>
    </row>
    <row r="682" spans="1:11" x14ac:dyDescent="0.45">
      <c r="A682" s="1" t="s">
        <v>3149</v>
      </c>
      <c r="B682" s="1">
        <v>681</v>
      </c>
      <c r="C682" s="12" t="s">
        <v>3463</v>
      </c>
      <c r="D682" s="1" t="s">
        <v>3150</v>
      </c>
      <c r="E682" s="1">
        <v>20</v>
      </c>
      <c r="F682" s="1" t="s">
        <v>29</v>
      </c>
      <c r="K682" s="3"/>
    </row>
    <row r="683" spans="1:11" x14ac:dyDescent="0.45">
      <c r="A683" s="1" t="s">
        <v>3151</v>
      </c>
      <c r="B683" s="1">
        <v>682</v>
      </c>
      <c r="C683" s="12" t="s">
        <v>3464</v>
      </c>
      <c r="D683" s="1" t="s">
        <v>3152</v>
      </c>
      <c r="E683" s="1">
        <v>20</v>
      </c>
      <c r="F683" s="1" t="s">
        <v>29</v>
      </c>
      <c r="K683" s="3"/>
    </row>
    <row r="684" spans="1:11" x14ac:dyDescent="0.45">
      <c r="A684" s="1" t="s">
        <v>3153</v>
      </c>
      <c r="B684" s="1">
        <v>683</v>
      </c>
      <c r="C684" s="12" t="s">
        <v>3465</v>
      </c>
      <c r="D684" s="1" t="s">
        <v>3154</v>
      </c>
      <c r="E684" s="1">
        <v>20</v>
      </c>
      <c r="F684" s="1" t="s">
        <v>29</v>
      </c>
      <c r="K684" s="3"/>
    </row>
    <row r="685" spans="1:11" x14ac:dyDescent="0.45">
      <c r="A685" s="1" t="s">
        <v>3155</v>
      </c>
      <c r="B685" s="1">
        <v>684</v>
      </c>
      <c r="C685" s="12" t="s">
        <v>3466</v>
      </c>
      <c r="D685" s="1" t="s">
        <v>3156</v>
      </c>
      <c r="E685" s="1">
        <v>20</v>
      </c>
      <c r="F685" s="1" t="s">
        <v>29</v>
      </c>
      <c r="K685" s="3"/>
    </row>
    <row r="686" spans="1:11" x14ac:dyDescent="0.45">
      <c r="A686" s="1" t="s">
        <v>3157</v>
      </c>
      <c r="B686" s="1">
        <v>685</v>
      </c>
      <c r="C686" s="12" t="s">
        <v>3467</v>
      </c>
      <c r="D686" s="1" t="s">
        <v>3158</v>
      </c>
      <c r="E686" s="1">
        <v>20</v>
      </c>
      <c r="F686" s="1" t="s">
        <v>29</v>
      </c>
      <c r="K686" s="3"/>
    </row>
    <row r="687" spans="1:11" x14ac:dyDescent="0.45">
      <c r="A687" s="1" t="s">
        <v>3159</v>
      </c>
      <c r="B687" s="1">
        <v>686</v>
      </c>
      <c r="C687" s="12" t="s">
        <v>3468</v>
      </c>
      <c r="D687" s="1" t="s">
        <v>3160</v>
      </c>
      <c r="E687" s="1">
        <v>20</v>
      </c>
      <c r="F687" s="1" t="s">
        <v>29</v>
      </c>
      <c r="K687" s="3"/>
    </row>
    <row r="688" spans="1:11" x14ac:dyDescent="0.45">
      <c r="A688" s="1" t="s">
        <v>3161</v>
      </c>
      <c r="B688" s="1">
        <v>687</v>
      </c>
      <c r="C688" s="12" t="s">
        <v>3469</v>
      </c>
      <c r="D688" s="1" t="s">
        <v>3162</v>
      </c>
      <c r="E688" s="1">
        <v>20</v>
      </c>
      <c r="F688" s="1" t="s">
        <v>29</v>
      </c>
      <c r="K688" s="3"/>
    </row>
    <row r="689" spans="1:11" x14ac:dyDescent="0.45">
      <c r="A689" s="1" t="s">
        <v>3163</v>
      </c>
      <c r="B689" s="1">
        <v>688</v>
      </c>
      <c r="C689" s="12" t="s">
        <v>3470</v>
      </c>
      <c r="D689" s="1" t="s">
        <v>3164</v>
      </c>
      <c r="E689" s="1">
        <v>20</v>
      </c>
      <c r="F689" s="1" t="s">
        <v>29</v>
      </c>
      <c r="K689" s="3"/>
    </row>
    <row r="690" spans="1:11" x14ac:dyDescent="0.45">
      <c r="A690" s="1" t="s">
        <v>3165</v>
      </c>
      <c r="B690" s="1">
        <v>689</v>
      </c>
      <c r="C690" s="12" t="s">
        <v>3471</v>
      </c>
      <c r="D690" s="1" t="s">
        <v>3166</v>
      </c>
      <c r="E690" s="1">
        <v>20</v>
      </c>
      <c r="F690" s="1" t="s">
        <v>29</v>
      </c>
      <c r="K690" s="3"/>
    </row>
    <row r="691" spans="1:11" x14ac:dyDescent="0.45">
      <c r="A691" s="1" t="s">
        <v>3167</v>
      </c>
      <c r="B691" s="1">
        <v>690</v>
      </c>
      <c r="C691" s="12" t="s">
        <v>3472</v>
      </c>
      <c r="D691" s="1" t="s">
        <v>3168</v>
      </c>
      <c r="E691" s="1">
        <v>20</v>
      </c>
      <c r="F691" s="1" t="s">
        <v>29</v>
      </c>
      <c r="K691" s="3"/>
    </row>
    <row r="692" spans="1:11" x14ac:dyDescent="0.45">
      <c r="A692" s="1" t="s">
        <v>3169</v>
      </c>
      <c r="B692" s="1">
        <v>691</v>
      </c>
      <c r="C692" s="12" t="s">
        <v>3473</v>
      </c>
      <c r="D692" s="1" t="s">
        <v>3170</v>
      </c>
      <c r="E692" s="1">
        <v>20</v>
      </c>
      <c r="F692" s="1" t="s">
        <v>29</v>
      </c>
      <c r="K692" s="3"/>
    </row>
    <row r="693" spans="1:11" x14ac:dyDescent="0.45">
      <c r="A693" s="1" t="s">
        <v>3171</v>
      </c>
      <c r="B693" s="1">
        <v>692</v>
      </c>
      <c r="C693" s="12" t="s">
        <v>3474</v>
      </c>
      <c r="D693" s="1" t="s">
        <v>3172</v>
      </c>
      <c r="E693" s="1">
        <v>20</v>
      </c>
      <c r="F693" s="1" t="s">
        <v>29</v>
      </c>
      <c r="K693" s="3"/>
    </row>
    <row r="694" spans="1:11" x14ac:dyDescent="0.45">
      <c r="A694" s="1" t="s">
        <v>3173</v>
      </c>
      <c r="B694" s="1">
        <v>693</v>
      </c>
      <c r="C694" s="12" t="s">
        <v>3475</v>
      </c>
      <c r="D694" s="1" t="s">
        <v>3174</v>
      </c>
      <c r="E694" s="1">
        <v>20</v>
      </c>
      <c r="F694" s="1" t="s">
        <v>29</v>
      </c>
      <c r="K694" s="3"/>
    </row>
    <row r="695" spans="1:11" x14ac:dyDescent="0.45">
      <c r="A695" s="1" t="s">
        <v>3175</v>
      </c>
      <c r="B695" s="1">
        <v>694</v>
      </c>
      <c r="C695" s="12" t="s">
        <v>3476</v>
      </c>
      <c r="D695" s="1" t="s">
        <v>3176</v>
      </c>
      <c r="E695" s="1">
        <v>20</v>
      </c>
      <c r="F695" s="1" t="s">
        <v>29</v>
      </c>
      <c r="K695" s="3"/>
    </row>
    <row r="696" spans="1:11" x14ac:dyDescent="0.45">
      <c r="A696" s="1" t="s">
        <v>3177</v>
      </c>
      <c r="B696" s="1">
        <v>695</v>
      </c>
      <c r="C696" s="12" t="s">
        <v>3477</v>
      </c>
      <c r="D696" s="1" t="s">
        <v>3178</v>
      </c>
      <c r="E696" s="1">
        <v>20</v>
      </c>
      <c r="F696" s="1" t="s">
        <v>29</v>
      </c>
      <c r="K696" s="3"/>
    </row>
    <row r="697" spans="1:11" x14ac:dyDescent="0.45">
      <c r="A697" s="1" t="s">
        <v>3179</v>
      </c>
      <c r="B697" s="1">
        <v>696</v>
      </c>
      <c r="C697" s="12" t="s">
        <v>3478</v>
      </c>
      <c r="D697" s="1" t="s">
        <v>3180</v>
      </c>
      <c r="E697" s="1">
        <v>20</v>
      </c>
      <c r="F697" s="1" t="s">
        <v>29</v>
      </c>
      <c r="K697" s="3"/>
    </row>
    <row r="698" spans="1:11" x14ac:dyDescent="0.45">
      <c r="A698" s="1" t="s">
        <v>3181</v>
      </c>
      <c r="B698" s="1">
        <v>697</v>
      </c>
      <c r="C698" s="12" t="s">
        <v>3479</v>
      </c>
      <c r="D698" s="1" t="s">
        <v>3182</v>
      </c>
      <c r="E698" s="1">
        <v>20</v>
      </c>
      <c r="F698" s="1" t="s">
        <v>29</v>
      </c>
      <c r="K698" s="3"/>
    </row>
    <row r="699" spans="1:11" x14ac:dyDescent="0.45">
      <c r="A699" s="1" t="s">
        <v>3183</v>
      </c>
      <c r="B699" s="1">
        <v>698</v>
      </c>
      <c r="C699" s="12" t="s">
        <v>3480</v>
      </c>
      <c r="D699" s="1" t="s">
        <v>3184</v>
      </c>
      <c r="E699" s="1">
        <v>20</v>
      </c>
      <c r="F699" s="1" t="s">
        <v>29</v>
      </c>
      <c r="K699" s="3"/>
    </row>
    <row r="700" spans="1:11" x14ac:dyDescent="0.45">
      <c r="A700" s="1" t="s">
        <v>3185</v>
      </c>
      <c r="B700" s="1">
        <v>699</v>
      </c>
      <c r="C700" s="12" t="s">
        <v>3481</v>
      </c>
      <c r="D700" s="1" t="s">
        <v>3186</v>
      </c>
      <c r="E700" s="1">
        <v>20</v>
      </c>
      <c r="F700" s="1" t="s">
        <v>29</v>
      </c>
      <c r="K700" s="3"/>
    </row>
    <row r="701" spans="1:11" x14ac:dyDescent="0.45">
      <c r="A701" s="1" t="s">
        <v>3187</v>
      </c>
      <c r="B701" s="1">
        <v>700</v>
      </c>
      <c r="C701" s="12" t="s">
        <v>3482</v>
      </c>
      <c r="D701" s="1" t="s">
        <v>3188</v>
      </c>
      <c r="E701" s="1">
        <v>20</v>
      </c>
      <c r="F701" s="1" t="s">
        <v>29</v>
      </c>
      <c r="K701" s="3"/>
    </row>
    <row r="702" spans="1:11" x14ac:dyDescent="0.45">
      <c r="A702" s="1" t="s">
        <v>3189</v>
      </c>
      <c r="B702" s="1">
        <v>701</v>
      </c>
      <c r="C702" s="12" t="s">
        <v>3483</v>
      </c>
      <c r="D702" s="1" t="s">
        <v>3190</v>
      </c>
      <c r="E702" s="1">
        <v>20</v>
      </c>
      <c r="F702" s="1" t="s">
        <v>29</v>
      </c>
      <c r="K702" s="3"/>
    </row>
    <row r="703" spans="1:11" x14ac:dyDescent="0.45">
      <c r="A703" s="1" t="s">
        <v>3191</v>
      </c>
      <c r="B703" s="1">
        <v>702</v>
      </c>
      <c r="C703" s="12" t="s">
        <v>3484</v>
      </c>
      <c r="D703" s="1" t="s">
        <v>3192</v>
      </c>
      <c r="E703" s="1">
        <v>20</v>
      </c>
      <c r="F703" s="1" t="s">
        <v>29</v>
      </c>
      <c r="K703" s="3"/>
    </row>
    <row r="704" spans="1:11" x14ac:dyDescent="0.45">
      <c r="A704" s="1" t="s">
        <v>3193</v>
      </c>
      <c r="B704" s="1">
        <v>703</v>
      </c>
      <c r="C704" s="12" t="s">
        <v>3485</v>
      </c>
      <c r="D704" s="1" t="s">
        <v>3194</v>
      </c>
      <c r="E704" s="1">
        <v>20</v>
      </c>
      <c r="F704" s="1" t="s">
        <v>29</v>
      </c>
      <c r="K704" s="3"/>
    </row>
    <row r="705" spans="1:11" x14ac:dyDescent="0.45">
      <c r="A705" s="1" t="s">
        <v>3195</v>
      </c>
      <c r="B705" s="1">
        <v>704</v>
      </c>
      <c r="C705" s="12" t="s">
        <v>3486</v>
      </c>
      <c r="D705" s="1" t="s">
        <v>515</v>
      </c>
      <c r="E705" s="1">
        <v>20</v>
      </c>
      <c r="F705" s="1" t="s">
        <v>29</v>
      </c>
      <c r="K705" s="3"/>
    </row>
    <row r="706" spans="1:11" x14ac:dyDescent="0.45">
      <c r="A706" s="1" t="s">
        <v>3196</v>
      </c>
      <c r="B706" s="1">
        <v>705</v>
      </c>
      <c r="C706" s="12" t="s">
        <v>3487</v>
      </c>
      <c r="D706" s="1" t="s">
        <v>3197</v>
      </c>
      <c r="E706" s="1">
        <v>20</v>
      </c>
      <c r="F706" s="1" t="s">
        <v>29</v>
      </c>
      <c r="K706" s="3"/>
    </row>
    <row r="707" spans="1:11" x14ac:dyDescent="0.45">
      <c r="A707" s="1" t="s">
        <v>3198</v>
      </c>
      <c r="B707" s="1">
        <v>706</v>
      </c>
      <c r="C707" s="12" t="s">
        <v>3488</v>
      </c>
      <c r="D707" s="1" t="s">
        <v>3199</v>
      </c>
      <c r="E707" s="1">
        <v>20</v>
      </c>
      <c r="F707" s="1" t="s">
        <v>29</v>
      </c>
      <c r="K707" s="3"/>
    </row>
    <row r="708" spans="1:11" x14ac:dyDescent="0.45">
      <c r="A708" s="1" t="s">
        <v>3200</v>
      </c>
      <c r="B708" s="1">
        <v>707</v>
      </c>
      <c r="C708" s="12" t="s">
        <v>3489</v>
      </c>
      <c r="D708" s="1" t="s">
        <v>3201</v>
      </c>
      <c r="E708" s="1">
        <v>20</v>
      </c>
      <c r="F708" s="1" t="s">
        <v>29</v>
      </c>
      <c r="K708" s="3"/>
    </row>
    <row r="709" spans="1:11" x14ac:dyDescent="0.45">
      <c r="A709" s="1" t="s">
        <v>3202</v>
      </c>
      <c r="B709" s="1">
        <v>708</v>
      </c>
      <c r="C709" s="12" t="s">
        <v>3490</v>
      </c>
      <c r="D709" s="1" t="s">
        <v>3203</v>
      </c>
      <c r="E709" s="1">
        <v>20</v>
      </c>
      <c r="F709" s="1" t="s">
        <v>29</v>
      </c>
      <c r="K709" s="3"/>
    </row>
    <row r="710" spans="1:11" x14ac:dyDescent="0.45">
      <c r="A710" s="1" t="s">
        <v>3204</v>
      </c>
      <c r="B710" s="1">
        <v>709</v>
      </c>
      <c r="C710" s="12" t="s">
        <v>3491</v>
      </c>
      <c r="D710" s="1" t="s">
        <v>3205</v>
      </c>
      <c r="E710" s="1">
        <v>20</v>
      </c>
      <c r="F710" s="1" t="s">
        <v>29</v>
      </c>
      <c r="K710" s="3"/>
    </row>
    <row r="711" spans="1:11" x14ac:dyDescent="0.45">
      <c r="A711" s="1" t="s">
        <v>3206</v>
      </c>
      <c r="B711" s="1">
        <v>710</v>
      </c>
      <c r="C711" s="12" t="s">
        <v>3492</v>
      </c>
      <c r="D711" s="1" t="s">
        <v>3207</v>
      </c>
      <c r="E711" s="1">
        <v>20</v>
      </c>
      <c r="F711" s="1" t="s">
        <v>29</v>
      </c>
      <c r="K711" s="3"/>
    </row>
    <row r="712" spans="1:11" x14ac:dyDescent="0.45">
      <c r="A712" s="1" t="s">
        <v>3208</v>
      </c>
      <c r="B712" s="1">
        <v>711</v>
      </c>
      <c r="C712" s="12" t="s">
        <v>3493</v>
      </c>
      <c r="D712" s="1" t="s">
        <v>3209</v>
      </c>
      <c r="E712" s="1">
        <v>20</v>
      </c>
      <c r="F712" s="1" t="s">
        <v>29</v>
      </c>
      <c r="K712" s="3"/>
    </row>
    <row r="713" spans="1:11" x14ac:dyDescent="0.45">
      <c r="A713" s="1" t="s">
        <v>3210</v>
      </c>
      <c r="B713" s="1">
        <v>712</v>
      </c>
      <c r="C713" s="12" t="s">
        <v>3494</v>
      </c>
      <c r="D713" s="1" t="s">
        <v>3211</v>
      </c>
      <c r="E713" s="1">
        <v>20</v>
      </c>
      <c r="F713" s="1" t="s">
        <v>29</v>
      </c>
      <c r="K713" s="3"/>
    </row>
    <row r="714" spans="1:11" x14ac:dyDescent="0.45">
      <c r="A714" s="1" t="s">
        <v>3212</v>
      </c>
      <c r="B714" s="1">
        <v>713</v>
      </c>
      <c r="C714" s="12" t="s">
        <v>3495</v>
      </c>
      <c r="D714" s="1" t="s">
        <v>3213</v>
      </c>
      <c r="E714" s="1">
        <v>20</v>
      </c>
      <c r="F714" s="1" t="s">
        <v>29</v>
      </c>
      <c r="K714" s="3"/>
    </row>
    <row r="715" spans="1:11" x14ac:dyDescent="0.45">
      <c r="A715" s="1" t="s">
        <v>3214</v>
      </c>
      <c r="B715" s="1">
        <v>714</v>
      </c>
      <c r="C715" s="12" t="s">
        <v>3496</v>
      </c>
      <c r="D715" s="1" t="s">
        <v>3215</v>
      </c>
      <c r="E715" s="1">
        <v>20</v>
      </c>
      <c r="F715" s="1" t="s">
        <v>29</v>
      </c>
      <c r="K715" s="3"/>
    </row>
    <row r="716" spans="1:11" x14ac:dyDescent="0.45">
      <c r="A716" s="1" t="s">
        <v>3216</v>
      </c>
      <c r="B716" s="1">
        <v>715</v>
      </c>
      <c r="C716" s="12" t="s">
        <v>3497</v>
      </c>
      <c r="D716" s="1" t="s">
        <v>3217</v>
      </c>
      <c r="E716" s="1">
        <v>20</v>
      </c>
      <c r="F716" s="1" t="s">
        <v>29</v>
      </c>
      <c r="K716" s="3"/>
    </row>
    <row r="717" spans="1:11" x14ac:dyDescent="0.45">
      <c r="A717" s="1" t="s">
        <v>3218</v>
      </c>
      <c r="B717" s="1">
        <v>716</v>
      </c>
      <c r="C717" s="12" t="s">
        <v>3498</v>
      </c>
      <c r="D717" s="1" t="s">
        <v>3219</v>
      </c>
      <c r="E717" s="1">
        <v>20</v>
      </c>
      <c r="F717" s="1" t="s">
        <v>29</v>
      </c>
      <c r="K717" s="3"/>
    </row>
    <row r="718" spans="1:11" x14ac:dyDescent="0.45">
      <c r="A718" s="1" t="s">
        <v>3220</v>
      </c>
      <c r="B718" s="1">
        <v>717</v>
      </c>
      <c r="C718" s="12" t="s">
        <v>3499</v>
      </c>
      <c r="D718" s="1" t="s">
        <v>3221</v>
      </c>
      <c r="E718" s="1">
        <v>20</v>
      </c>
      <c r="F718" s="1" t="s">
        <v>29</v>
      </c>
      <c r="K718" s="3"/>
    </row>
    <row r="719" spans="1:11" x14ac:dyDescent="0.45">
      <c r="A719" s="1" t="s">
        <v>3222</v>
      </c>
      <c r="B719" s="1">
        <v>718</v>
      </c>
      <c r="C719" s="12" t="s">
        <v>3500</v>
      </c>
      <c r="D719" s="1" t="s">
        <v>3223</v>
      </c>
      <c r="E719" s="1">
        <v>20</v>
      </c>
      <c r="F719" s="1" t="s">
        <v>29</v>
      </c>
      <c r="K719" s="3"/>
    </row>
    <row r="720" spans="1:11" x14ac:dyDescent="0.45">
      <c r="A720" s="1" t="s">
        <v>3224</v>
      </c>
      <c r="B720" s="1">
        <v>719</v>
      </c>
      <c r="C720" s="12" t="s">
        <v>3501</v>
      </c>
      <c r="D720" s="1" t="s">
        <v>3225</v>
      </c>
      <c r="E720" s="1">
        <v>20</v>
      </c>
      <c r="F720" s="1" t="s">
        <v>29</v>
      </c>
      <c r="K720" s="3"/>
    </row>
    <row r="721" spans="1:11" x14ac:dyDescent="0.45">
      <c r="A721" s="1" t="s">
        <v>3226</v>
      </c>
      <c r="B721" s="1">
        <v>720</v>
      </c>
      <c r="C721" s="12" t="s">
        <v>3502</v>
      </c>
      <c r="D721" s="1" t="s">
        <v>3227</v>
      </c>
      <c r="E721" s="1">
        <v>20</v>
      </c>
      <c r="F721" s="1" t="s">
        <v>29</v>
      </c>
      <c r="K721" s="3"/>
    </row>
    <row r="722" spans="1:11" x14ac:dyDescent="0.45">
      <c r="A722" s="1" t="s">
        <v>3228</v>
      </c>
      <c r="B722" s="1">
        <v>721</v>
      </c>
      <c r="C722" s="12" t="s">
        <v>3503</v>
      </c>
      <c r="D722" s="1" t="s">
        <v>3229</v>
      </c>
      <c r="E722" s="1">
        <v>20</v>
      </c>
      <c r="F722" s="1" t="s">
        <v>29</v>
      </c>
      <c r="K722" s="3"/>
    </row>
    <row r="723" spans="1:11" x14ac:dyDescent="0.45">
      <c r="A723" s="1" t="s">
        <v>3230</v>
      </c>
      <c r="B723" s="1">
        <v>722</v>
      </c>
      <c r="C723" s="12" t="s">
        <v>3504</v>
      </c>
      <c r="D723" s="1" t="s">
        <v>3231</v>
      </c>
      <c r="E723" s="1">
        <v>20</v>
      </c>
      <c r="F723" s="1" t="s">
        <v>29</v>
      </c>
      <c r="K723" s="3"/>
    </row>
    <row r="724" spans="1:11" x14ac:dyDescent="0.45">
      <c r="A724" s="1" t="s">
        <v>3232</v>
      </c>
      <c r="B724" s="1">
        <v>723</v>
      </c>
      <c r="C724" s="12" t="s">
        <v>3505</v>
      </c>
      <c r="D724" s="1" t="s">
        <v>3233</v>
      </c>
      <c r="E724" s="1">
        <v>20</v>
      </c>
      <c r="F724" s="1" t="s">
        <v>29</v>
      </c>
      <c r="K724" s="3"/>
    </row>
    <row r="725" spans="1:11" x14ac:dyDescent="0.45">
      <c r="A725" s="1" t="s">
        <v>3234</v>
      </c>
      <c r="B725" s="1">
        <v>724</v>
      </c>
      <c r="C725" s="12" t="s">
        <v>3506</v>
      </c>
      <c r="D725" s="1" t="s">
        <v>3235</v>
      </c>
      <c r="E725" s="1">
        <v>20</v>
      </c>
      <c r="F725" s="1" t="s">
        <v>29</v>
      </c>
      <c r="K725" s="3"/>
    </row>
    <row r="726" spans="1:11" x14ac:dyDescent="0.45">
      <c r="A726" s="1" t="s">
        <v>3236</v>
      </c>
      <c r="B726" s="1">
        <v>725</v>
      </c>
      <c r="C726" s="12" t="s">
        <v>3507</v>
      </c>
      <c r="D726" s="1" t="s">
        <v>3237</v>
      </c>
      <c r="E726" s="1">
        <v>20</v>
      </c>
      <c r="F726" s="1" t="s">
        <v>29</v>
      </c>
      <c r="K726" s="3"/>
    </row>
    <row r="727" spans="1:11" x14ac:dyDescent="0.45">
      <c r="A727" s="1" t="s">
        <v>3238</v>
      </c>
      <c r="B727" s="1">
        <v>726</v>
      </c>
      <c r="C727" s="12" t="s">
        <v>3508</v>
      </c>
      <c r="D727" s="1" t="s">
        <v>3239</v>
      </c>
      <c r="E727" s="1">
        <v>20</v>
      </c>
      <c r="F727" s="1" t="s">
        <v>29</v>
      </c>
      <c r="K727" s="3"/>
    </row>
    <row r="728" spans="1:11" x14ac:dyDescent="0.45">
      <c r="A728" s="1" t="s">
        <v>3240</v>
      </c>
      <c r="B728" s="1">
        <v>727</v>
      </c>
      <c r="C728" s="12" t="s">
        <v>3509</v>
      </c>
      <c r="D728" s="1" t="s">
        <v>3241</v>
      </c>
      <c r="E728" s="1">
        <v>20</v>
      </c>
      <c r="F728" s="1" t="s">
        <v>29</v>
      </c>
      <c r="K728" s="3"/>
    </row>
    <row r="729" spans="1:11" x14ac:dyDescent="0.45">
      <c r="A729" s="1" t="s">
        <v>3242</v>
      </c>
      <c r="B729" s="1">
        <v>728</v>
      </c>
      <c r="C729" s="12" t="s">
        <v>3510</v>
      </c>
      <c r="D729" s="1" t="s">
        <v>3243</v>
      </c>
      <c r="E729" s="1">
        <v>20</v>
      </c>
      <c r="F729" s="1" t="s">
        <v>29</v>
      </c>
      <c r="K729" s="3"/>
    </row>
    <row r="730" spans="1:11" x14ac:dyDescent="0.45">
      <c r="A730" s="1" t="s">
        <v>3244</v>
      </c>
      <c r="B730" s="1">
        <v>729</v>
      </c>
      <c r="C730" s="12" t="s">
        <v>3511</v>
      </c>
      <c r="D730" s="1" t="s">
        <v>3245</v>
      </c>
      <c r="E730" s="1">
        <v>20</v>
      </c>
      <c r="F730" s="1" t="s">
        <v>29</v>
      </c>
      <c r="K730" s="3"/>
    </row>
    <row r="731" spans="1:11" x14ac:dyDescent="0.45">
      <c r="A731" s="1" t="s">
        <v>3246</v>
      </c>
      <c r="B731" s="1">
        <v>730</v>
      </c>
      <c r="C731" s="12" t="s">
        <v>3512</v>
      </c>
      <c r="D731" s="1" t="s">
        <v>3247</v>
      </c>
      <c r="E731" s="1">
        <v>20</v>
      </c>
      <c r="F731" s="1" t="s">
        <v>29</v>
      </c>
      <c r="K731" s="3"/>
    </row>
    <row r="732" spans="1:11" x14ac:dyDescent="0.45">
      <c r="A732" s="1" t="s">
        <v>3248</v>
      </c>
      <c r="B732" s="1">
        <v>731</v>
      </c>
      <c r="C732" s="12" t="s">
        <v>3513</v>
      </c>
      <c r="D732" s="1" t="s">
        <v>3249</v>
      </c>
      <c r="E732" s="1">
        <v>20</v>
      </c>
      <c r="F732" s="1" t="s">
        <v>29</v>
      </c>
      <c r="K732" s="3"/>
    </row>
    <row r="733" spans="1:11" x14ac:dyDescent="0.45">
      <c r="A733" s="1" t="s">
        <v>3250</v>
      </c>
      <c r="B733" s="1">
        <v>732</v>
      </c>
      <c r="C733" s="12" t="s">
        <v>3514</v>
      </c>
      <c r="D733" s="1" t="s">
        <v>3251</v>
      </c>
      <c r="E733" s="1">
        <v>20</v>
      </c>
      <c r="F733" s="1" t="s">
        <v>29</v>
      </c>
      <c r="K733" s="3"/>
    </row>
    <row r="734" spans="1:11" x14ac:dyDescent="0.45">
      <c r="A734" s="1" t="s">
        <v>3252</v>
      </c>
      <c r="B734" s="1">
        <v>733</v>
      </c>
      <c r="C734" s="12" t="s">
        <v>3515</v>
      </c>
      <c r="D734" s="1" t="s">
        <v>3253</v>
      </c>
      <c r="E734" s="1">
        <v>20</v>
      </c>
      <c r="F734" s="1" t="s">
        <v>29</v>
      </c>
      <c r="K734" s="3"/>
    </row>
    <row r="735" spans="1:11" x14ac:dyDescent="0.45">
      <c r="A735" s="1" t="s">
        <v>3254</v>
      </c>
      <c r="B735" s="1">
        <v>734</v>
      </c>
      <c r="C735" s="12" t="s">
        <v>3516</v>
      </c>
      <c r="D735" s="1" t="s">
        <v>3255</v>
      </c>
      <c r="E735" s="1">
        <v>20</v>
      </c>
      <c r="F735" s="1" t="s">
        <v>29</v>
      </c>
      <c r="K735" s="3"/>
    </row>
    <row r="736" spans="1:11" x14ac:dyDescent="0.45">
      <c r="A736" s="1" t="s">
        <v>3256</v>
      </c>
      <c r="B736" s="1">
        <v>735</v>
      </c>
      <c r="C736" s="12" t="s">
        <v>3517</v>
      </c>
      <c r="D736" s="1" t="s">
        <v>3257</v>
      </c>
      <c r="E736" s="1">
        <v>20</v>
      </c>
      <c r="F736" s="1" t="s">
        <v>29</v>
      </c>
      <c r="K736" s="3"/>
    </row>
    <row r="737" spans="1:11" x14ac:dyDescent="0.45">
      <c r="A737" s="1" t="s">
        <v>3258</v>
      </c>
      <c r="B737" s="1">
        <v>736</v>
      </c>
      <c r="C737" s="12" t="s">
        <v>3518</v>
      </c>
      <c r="D737" s="1" t="s">
        <v>3259</v>
      </c>
      <c r="E737" s="1">
        <v>20</v>
      </c>
      <c r="F737" s="1" t="s">
        <v>29</v>
      </c>
      <c r="K737" s="3"/>
    </row>
    <row r="738" spans="1:11" x14ac:dyDescent="0.45">
      <c r="A738" s="1" t="s">
        <v>3260</v>
      </c>
      <c r="B738" s="1">
        <v>737</v>
      </c>
      <c r="C738" s="12" t="s">
        <v>3519</v>
      </c>
      <c r="D738" s="1" t="s">
        <v>3261</v>
      </c>
      <c r="E738" s="1">
        <v>20</v>
      </c>
      <c r="F738" s="1" t="s">
        <v>29</v>
      </c>
      <c r="K738" s="3"/>
    </row>
    <row r="739" spans="1:11" x14ac:dyDescent="0.45">
      <c r="A739" s="1" t="s">
        <v>3262</v>
      </c>
      <c r="B739" s="1">
        <v>738</v>
      </c>
      <c r="C739" s="12" t="s">
        <v>3520</v>
      </c>
      <c r="D739" s="1" t="s">
        <v>3263</v>
      </c>
      <c r="E739" s="1">
        <v>20</v>
      </c>
      <c r="F739" s="1" t="s">
        <v>29</v>
      </c>
      <c r="K739" s="3"/>
    </row>
    <row r="740" spans="1:11" x14ac:dyDescent="0.45">
      <c r="A740" s="1" t="s">
        <v>3264</v>
      </c>
      <c r="B740" s="1">
        <v>739</v>
      </c>
      <c r="C740" s="12" t="s">
        <v>3521</v>
      </c>
      <c r="D740" s="1" t="s">
        <v>3265</v>
      </c>
      <c r="E740" s="1">
        <v>20</v>
      </c>
      <c r="F740" s="1" t="s">
        <v>29</v>
      </c>
      <c r="K740" s="3"/>
    </row>
    <row r="741" spans="1:11" x14ac:dyDescent="0.45">
      <c r="A741" s="1" t="s">
        <v>3266</v>
      </c>
      <c r="B741" s="1">
        <v>740</v>
      </c>
      <c r="C741" s="12" t="s">
        <v>3522</v>
      </c>
      <c r="D741" s="1" t="s">
        <v>3267</v>
      </c>
      <c r="E741" s="1">
        <v>20</v>
      </c>
      <c r="F741" s="1" t="s">
        <v>29</v>
      </c>
      <c r="K741" s="3"/>
    </row>
    <row r="742" spans="1:11" x14ac:dyDescent="0.45">
      <c r="A742" s="1" t="s">
        <v>3268</v>
      </c>
      <c r="B742" s="1">
        <v>741</v>
      </c>
      <c r="C742" s="12" t="s">
        <v>3523</v>
      </c>
      <c r="D742" s="1" t="s">
        <v>3269</v>
      </c>
      <c r="E742" s="1">
        <v>20</v>
      </c>
      <c r="F742" s="1" t="s">
        <v>29</v>
      </c>
      <c r="K742" s="3"/>
    </row>
    <row r="743" spans="1:11" x14ac:dyDescent="0.45">
      <c r="A743" s="1" t="s">
        <v>3270</v>
      </c>
      <c r="B743" s="1">
        <v>742</v>
      </c>
      <c r="C743" s="12" t="s">
        <v>3524</v>
      </c>
      <c r="D743" s="1" t="s">
        <v>3271</v>
      </c>
      <c r="E743" s="1">
        <v>20</v>
      </c>
      <c r="F743" s="1" t="s">
        <v>29</v>
      </c>
      <c r="K743" s="3"/>
    </row>
    <row r="744" spans="1:11" x14ac:dyDescent="0.45">
      <c r="A744" s="1" t="s">
        <v>3272</v>
      </c>
      <c r="B744" s="1">
        <v>743</v>
      </c>
      <c r="C744" s="12" t="s">
        <v>3525</v>
      </c>
      <c r="D744" s="1" t="s">
        <v>3273</v>
      </c>
      <c r="E744" s="1">
        <v>20</v>
      </c>
      <c r="F744" s="1" t="s">
        <v>29</v>
      </c>
      <c r="K744" s="3"/>
    </row>
    <row r="745" spans="1:11" x14ac:dyDescent="0.45">
      <c r="A745" s="1" t="s">
        <v>3274</v>
      </c>
      <c r="B745" s="1">
        <v>744</v>
      </c>
      <c r="C745" s="12" t="s">
        <v>3526</v>
      </c>
      <c r="D745" s="1" t="s">
        <v>3275</v>
      </c>
      <c r="E745" s="1">
        <v>20</v>
      </c>
      <c r="F745" s="1" t="s">
        <v>29</v>
      </c>
      <c r="K745" s="3"/>
    </row>
    <row r="746" spans="1:11" x14ac:dyDescent="0.45">
      <c r="A746" s="1" t="s">
        <v>3276</v>
      </c>
      <c r="B746" s="1">
        <v>745</v>
      </c>
      <c r="C746" s="12" t="s">
        <v>3527</v>
      </c>
      <c r="D746" s="1" t="s">
        <v>3277</v>
      </c>
      <c r="E746" s="1">
        <v>20</v>
      </c>
      <c r="F746" s="1" t="s">
        <v>29</v>
      </c>
      <c r="K746" s="3"/>
    </row>
    <row r="747" spans="1:11" x14ac:dyDescent="0.45">
      <c r="A747" s="1" t="s">
        <v>3278</v>
      </c>
      <c r="B747" s="1">
        <v>746</v>
      </c>
      <c r="C747" s="12" t="s">
        <v>3528</v>
      </c>
      <c r="D747" s="1" t="s">
        <v>3279</v>
      </c>
      <c r="E747" s="1">
        <v>20</v>
      </c>
      <c r="F747" s="1" t="s">
        <v>29</v>
      </c>
      <c r="K747" s="3"/>
    </row>
    <row r="748" spans="1:11" x14ac:dyDescent="0.45">
      <c r="A748" s="1" t="s">
        <v>3280</v>
      </c>
      <c r="B748" s="1">
        <v>747</v>
      </c>
      <c r="C748" s="12" t="s">
        <v>3529</v>
      </c>
      <c r="D748" s="1" t="s">
        <v>3281</v>
      </c>
      <c r="E748" s="1">
        <v>20</v>
      </c>
      <c r="F748" s="1" t="s">
        <v>29</v>
      </c>
      <c r="K748" s="3"/>
    </row>
    <row r="749" spans="1:11" x14ac:dyDescent="0.45">
      <c r="A749" s="1" t="s">
        <v>3282</v>
      </c>
      <c r="B749" s="1">
        <v>748</v>
      </c>
      <c r="C749" s="12" t="s">
        <v>3530</v>
      </c>
      <c r="D749" s="1" t="s">
        <v>3283</v>
      </c>
      <c r="E749" s="1">
        <v>20</v>
      </c>
      <c r="F749" s="1" t="s">
        <v>29</v>
      </c>
      <c r="K749" s="3"/>
    </row>
    <row r="750" spans="1:11" x14ac:dyDescent="0.45">
      <c r="A750" s="1" t="s">
        <v>3284</v>
      </c>
      <c r="B750" s="1">
        <v>749</v>
      </c>
      <c r="C750" s="12" t="s">
        <v>3531</v>
      </c>
      <c r="D750" s="1" t="s">
        <v>3285</v>
      </c>
      <c r="E750" s="1">
        <v>20</v>
      </c>
      <c r="F750" s="1" t="s">
        <v>29</v>
      </c>
      <c r="K750" s="3"/>
    </row>
    <row r="751" spans="1:11" x14ac:dyDescent="0.45">
      <c r="A751" s="1" t="s">
        <v>3286</v>
      </c>
      <c r="B751" s="1">
        <v>750</v>
      </c>
      <c r="C751" s="12" t="s">
        <v>3532</v>
      </c>
      <c r="D751" s="1" t="s">
        <v>3287</v>
      </c>
      <c r="E751" s="1">
        <v>20</v>
      </c>
      <c r="F751" s="1" t="s">
        <v>29</v>
      </c>
      <c r="K751" s="3"/>
    </row>
    <row r="752" spans="1:11" x14ac:dyDescent="0.45">
      <c r="A752" s="1" t="s">
        <v>3288</v>
      </c>
      <c r="B752" s="1">
        <v>751</v>
      </c>
      <c r="C752" s="12" t="s">
        <v>3533</v>
      </c>
      <c r="D752" s="1" t="s">
        <v>3289</v>
      </c>
      <c r="E752" s="1">
        <v>20</v>
      </c>
      <c r="F752" s="1" t="s">
        <v>29</v>
      </c>
      <c r="K752" s="3"/>
    </row>
    <row r="753" spans="1:11" x14ac:dyDescent="0.45">
      <c r="A753" s="1" t="s">
        <v>3290</v>
      </c>
      <c r="B753" s="1">
        <v>752</v>
      </c>
      <c r="C753" s="12" t="s">
        <v>3534</v>
      </c>
      <c r="D753" s="1" t="s">
        <v>3291</v>
      </c>
      <c r="E753" s="1">
        <v>20</v>
      </c>
      <c r="F753" s="1" t="s">
        <v>29</v>
      </c>
      <c r="K753" s="3"/>
    </row>
    <row r="754" spans="1:11" x14ac:dyDescent="0.45">
      <c r="A754" s="1" t="s">
        <v>3292</v>
      </c>
      <c r="B754" s="1">
        <v>753</v>
      </c>
      <c r="C754" s="12" t="s">
        <v>3535</v>
      </c>
      <c r="D754" s="1" t="s">
        <v>3293</v>
      </c>
      <c r="E754" s="1">
        <v>20</v>
      </c>
      <c r="F754" s="1" t="s">
        <v>29</v>
      </c>
      <c r="K754" s="3"/>
    </row>
    <row r="755" spans="1:11" x14ac:dyDescent="0.45">
      <c r="A755" s="1" t="s">
        <v>3294</v>
      </c>
      <c r="B755" s="1">
        <v>754</v>
      </c>
      <c r="C755" s="12" t="s">
        <v>3536</v>
      </c>
      <c r="D755" s="1" t="s">
        <v>3295</v>
      </c>
      <c r="E755" s="1">
        <v>20</v>
      </c>
      <c r="F755" s="1" t="s">
        <v>29</v>
      </c>
      <c r="K755" s="3"/>
    </row>
    <row r="756" spans="1:11" x14ac:dyDescent="0.45">
      <c r="A756" s="1" t="s">
        <v>3296</v>
      </c>
      <c r="B756" s="1">
        <v>755</v>
      </c>
      <c r="C756" s="12" t="s">
        <v>3537</v>
      </c>
      <c r="D756" s="1" t="s">
        <v>3297</v>
      </c>
      <c r="E756" s="1">
        <v>20</v>
      </c>
      <c r="F756" s="1" t="s">
        <v>29</v>
      </c>
      <c r="K756" s="3"/>
    </row>
    <row r="757" spans="1:11" x14ac:dyDescent="0.45">
      <c r="A757" s="1" t="s">
        <v>3298</v>
      </c>
      <c r="B757" s="1">
        <v>756</v>
      </c>
      <c r="C757" s="12" t="s">
        <v>3538</v>
      </c>
      <c r="D757" s="1" t="s">
        <v>3299</v>
      </c>
      <c r="E757" s="1">
        <v>20</v>
      </c>
      <c r="F757" s="1" t="s">
        <v>29</v>
      </c>
      <c r="K757" s="3"/>
    </row>
    <row r="758" spans="1:11" x14ac:dyDescent="0.45">
      <c r="A758" s="1" t="s">
        <v>3300</v>
      </c>
      <c r="B758" s="1">
        <v>757</v>
      </c>
      <c r="C758" s="12" t="s">
        <v>3539</v>
      </c>
      <c r="D758" s="1" t="s">
        <v>3301</v>
      </c>
      <c r="E758" s="1">
        <v>20</v>
      </c>
      <c r="F758" s="1" t="s">
        <v>29</v>
      </c>
      <c r="K758" s="3"/>
    </row>
    <row r="759" spans="1:11" x14ac:dyDescent="0.45">
      <c r="A759" s="1" t="s">
        <v>3302</v>
      </c>
      <c r="B759" s="1">
        <v>758</v>
      </c>
      <c r="C759" s="12" t="s">
        <v>3540</v>
      </c>
      <c r="D759" s="1" t="s">
        <v>3303</v>
      </c>
      <c r="E759" s="1">
        <v>20</v>
      </c>
      <c r="F759" s="1" t="s">
        <v>29</v>
      </c>
      <c r="K759" s="3"/>
    </row>
    <row r="760" spans="1:11" x14ac:dyDescent="0.45">
      <c r="A760" s="1" t="s">
        <v>3304</v>
      </c>
      <c r="B760" s="1">
        <v>759</v>
      </c>
      <c r="C760" s="12" t="s">
        <v>3541</v>
      </c>
      <c r="D760" s="1" t="s">
        <v>3305</v>
      </c>
      <c r="E760" s="1">
        <v>20</v>
      </c>
      <c r="F760" s="1" t="s">
        <v>29</v>
      </c>
      <c r="K760" s="3"/>
    </row>
    <row r="761" spans="1:11" x14ac:dyDescent="0.45">
      <c r="A761" s="1" t="s">
        <v>3306</v>
      </c>
      <c r="B761" s="1">
        <v>760</v>
      </c>
      <c r="C761" s="12" t="s">
        <v>3542</v>
      </c>
      <c r="D761" s="1" t="s">
        <v>3307</v>
      </c>
      <c r="E761" s="1">
        <v>20</v>
      </c>
      <c r="F761" s="1" t="s">
        <v>29</v>
      </c>
      <c r="K761" s="3"/>
    </row>
    <row r="762" spans="1:11" x14ac:dyDescent="0.45">
      <c r="A762" s="1" t="s">
        <v>3308</v>
      </c>
      <c r="B762" s="1">
        <v>761</v>
      </c>
      <c r="C762" s="12" t="s">
        <v>3543</v>
      </c>
      <c r="D762" s="1" t="s">
        <v>3309</v>
      </c>
      <c r="E762" s="1">
        <v>20</v>
      </c>
      <c r="F762" s="1" t="s">
        <v>29</v>
      </c>
      <c r="K762" s="3"/>
    </row>
    <row r="763" spans="1:11" x14ac:dyDescent="0.45">
      <c r="A763" s="1" t="s">
        <v>3310</v>
      </c>
      <c r="B763" s="1">
        <v>762</v>
      </c>
      <c r="C763" s="12" t="s">
        <v>3544</v>
      </c>
      <c r="D763" s="1" t="s">
        <v>3311</v>
      </c>
      <c r="E763" s="1">
        <v>20</v>
      </c>
      <c r="F763" s="1" t="s">
        <v>29</v>
      </c>
      <c r="K763" s="3"/>
    </row>
    <row r="764" spans="1:11" x14ac:dyDescent="0.45">
      <c r="A764" s="1" t="s">
        <v>3312</v>
      </c>
      <c r="B764" s="1">
        <v>763</v>
      </c>
      <c r="C764" s="12" t="s">
        <v>3545</v>
      </c>
      <c r="D764" s="1" t="s">
        <v>3313</v>
      </c>
      <c r="E764" s="1">
        <v>20</v>
      </c>
      <c r="F764" s="1" t="s">
        <v>29</v>
      </c>
      <c r="K764" s="3"/>
    </row>
    <row r="765" spans="1:11" x14ac:dyDescent="0.45">
      <c r="A765" s="1" t="s">
        <v>3314</v>
      </c>
      <c r="B765" s="1">
        <v>764</v>
      </c>
      <c r="C765" s="12" t="s">
        <v>3546</v>
      </c>
      <c r="D765" s="1" t="s">
        <v>3315</v>
      </c>
      <c r="E765" s="1">
        <v>20</v>
      </c>
      <c r="F765" s="1" t="s">
        <v>29</v>
      </c>
      <c r="K765" s="3"/>
    </row>
    <row r="766" spans="1:11" x14ac:dyDescent="0.45">
      <c r="A766" s="1" t="s">
        <v>3316</v>
      </c>
      <c r="B766" s="1">
        <v>765</v>
      </c>
      <c r="C766" s="12" t="s">
        <v>3547</v>
      </c>
      <c r="D766" s="1" t="s">
        <v>3317</v>
      </c>
      <c r="E766" s="1">
        <v>20</v>
      </c>
      <c r="F766" s="1" t="s">
        <v>29</v>
      </c>
      <c r="K766" s="3"/>
    </row>
    <row r="767" spans="1:11" x14ac:dyDescent="0.45">
      <c r="A767" s="1" t="s">
        <v>3318</v>
      </c>
      <c r="B767" s="1">
        <v>766</v>
      </c>
      <c r="C767" s="12" t="s">
        <v>3548</v>
      </c>
      <c r="D767" s="1" t="s">
        <v>3319</v>
      </c>
      <c r="E767" s="1">
        <v>20</v>
      </c>
      <c r="F767" s="1" t="s">
        <v>29</v>
      </c>
      <c r="K767" s="3"/>
    </row>
    <row r="768" spans="1:11" x14ac:dyDescent="0.45">
      <c r="A768" s="1" t="s">
        <v>3320</v>
      </c>
      <c r="B768" s="1">
        <v>767</v>
      </c>
      <c r="C768" s="12" t="s">
        <v>3549</v>
      </c>
      <c r="D768" s="1" t="s">
        <v>3321</v>
      </c>
      <c r="E768" s="1">
        <v>20</v>
      </c>
      <c r="F768" s="1" t="s">
        <v>29</v>
      </c>
      <c r="K768" s="3"/>
    </row>
    <row r="769" spans="1:11" x14ac:dyDescent="0.45">
      <c r="A769" s="1" t="s">
        <v>3322</v>
      </c>
      <c r="B769" s="1">
        <v>768</v>
      </c>
      <c r="C769" s="12" t="s">
        <v>3550</v>
      </c>
      <c r="D769" s="1" t="s">
        <v>3323</v>
      </c>
      <c r="E769" s="1">
        <v>20</v>
      </c>
      <c r="F769" s="1" t="s">
        <v>29</v>
      </c>
      <c r="K769" s="3"/>
    </row>
    <row r="770" spans="1:11" x14ac:dyDescent="0.45">
      <c r="A770" s="1" t="s">
        <v>3324</v>
      </c>
      <c r="B770" s="1">
        <v>769</v>
      </c>
      <c r="C770" s="12" t="s">
        <v>3551</v>
      </c>
      <c r="D770" s="1" t="s">
        <v>3325</v>
      </c>
      <c r="E770" s="1">
        <v>20</v>
      </c>
      <c r="F770" s="1" t="s">
        <v>29</v>
      </c>
      <c r="K770" s="3"/>
    </row>
    <row r="771" spans="1:11" x14ac:dyDescent="0.45">
      <c r="A771" s="1" t="s">
        <v>3664</v>
      </c>
      <c r="B771" s="1">
        <v>770</v>
      </c>
      <c r="C771" s="12" t="s">
        <v>3668</v>
      </c>
      <c r="D771" s="1" t="s">
        <v>3680</v>
      </c>
      <c r="E771" s="1">
        <v>21</v>
      </c>
      <c r="F771" s="1" t="s">
        <v>29</v>
      </c>
      <c r="K771" s="3"/>
    </row>
    <row r="772" spans="1:11" x14ac:dyDescent="0.45">
      <c r="A772" s="1" t="s">
        <v>3665</v>
      </c>
      <c r="B772" s="1">
        <v>771</v>
      </c>
      <c r="C772" s="12" t="s">
        <v>3669</v>
      </c>
      <c r="D772" s="1" t="s">
        <v>3681</v>
      </c>
      <c r="E772" s="1">
        <v>21</v>
      </c>
      <c r="F772" s="1" t="s">
        <v>29</v>
      </c>
      <c r="K772" s="3"/>
    </row>
    <row r="773" spans="1:11" x14ac:dyDescent="0.45">
      <c r="A773" s="1" t="s">
        <v>3670</v>
      </c>
      <c r="B773" s="1">
        <v>772</v>
      </c>
      <c r="C773" s="12" t="s">
        <v>3671</v>
      </c>
      <c r="D773" s="1" t="s">
        <v>3676</v>
      </c>
      <c r="E773" s="1">
        <v>20</v>
      </c>
      <c r="F773" s="1" t="s">
        <v>29</v>
      </c>
      <c r="K773" s="3"/>
    </row>
    <row r="774" spans="1:11" x14ac:dyDescent="0.45">
      <c r="A774" s="1" t="s">
        <v>3672</v>
      </c>
      <c r="B774" s="1">
        <v>773</v>
      </c>
      <c r="C774" s="12" t="s">
        <v>3673</v>
      </c>
      <c r="D774" s="1" t="s">
        <v>3677</v>
      </c>
      <c r="E774" s="1">
        <v>20</v>
      </c>
      <c r="F774" s="1" t="s">
        <v>29</v>
      </c>
      <c r="K774" s="3"/>
    </row>
    <row r="775" spans="1:11" x14ac:dyDescent="0.45">
      <c r="B775" s="1">
        <v>774</v>
      </c>
      <c r="C775" s="12" t="s">
        <v>3684</v>
      </c>
      <c r="D775" s="1" t="s">
        <v>3685</v>
      </c>
      <c r="E775" s="1">
        <v>21</v>
      </c>
      <c r="F775" s="1" t="s">
        <v>29</v>
      </c>
      <c r="G775" s="1" t="s">
        <v>3947</v>
      </c>
      <c r="H775" s="1" t="s">
        <v>3037</v>
      </c>
      <c r="K775" s="3"/>
    </row>
    <row r="776" spans="1:11" x14ac:dyDescent="0.45">
      <c r="B776" s="1">
        <v>775</v>
      </c>
      <c r="C776" s="12" t="s">
        <v>3686</v>
      </c>
      <c r="D776" s="1" t="s">
        <v>3687</v>
      </c>
      <c r="E776" s="1">
        <v>21</v>
      </c>
      <c r="F776" s="1" t="s">
        <v>29</v>
      </c>
      <c r="G776" s="1" t="s">
        <v>3947</v>
      </c>
      <c r="H776" s="1" t="s">
        <v>3039</v>
      </c>
      <c r="K776" s="3"/>
    </row>
    <row r="777" spans="1:11" x14ac:dyDescent="0.45">
      <c r="A777" s="1" t="s">
        <v>3688</v>
      </c>
      <c r="B777" s="1">
        <v>776</v>
      </c>
      <c r="C777" s="12" t="s">
        <v>3689</v>
      </c>
      <c r="D777" s="1" t="s">
        <v>3723</v>
      </c>
      <c r="E777" s="1">
        <v>21</v>
      </c>
      <c r="F777" s="1" t="s">
        <v>29</v>
      </c>
      <c r="K777" s="3"/>
    </row>
    <row r="778" spans="1:11" x14ac:dyDescent="0.45">
      <c r="A778" s="1" t="s">
        <v>3690</v>
      </c>
      <c r="B778" s="1">
        <v>777</v>
      </c>
      <c r="C778" s="12" t="s">
        <v>3691</v>
      </c>
      <c r="D778" s="1" t="s">
        <v>3692</v>
      </c>
      <c r="E778" s="1">
        <v>16</v>
      </c>
      <c r="F778" s="1" t="s">
        <v>29</v>
      </c>
      <c r="K778" s="3"/>
    </row>
    <row r="779" spans="1:11" x14ac:dyDescent="0.45">
      <c r="A779" s="1" t="s">
        <v>3693</v>
      </c>
      <c r="B779" s="1">
        <v>778</v>
      </c>
      <c r="C779" s="12" t="s">
        <v>3694</v>
      </c>
      <c r="D779" s="1" t="s">
        <v>3695</v>
      </c>
      <c r="E779" s="1">
        <v>11</v>
      </c>
      <c r="F779" s="1" t="s">
        <v>29</v>
      </c>
      <c r="K779" s="3"/>
    </row>
    <row r="780" spans="1:11" x14ac:dyDescent="0.45">
      <c r="A780" s="1" t="s">
        <v>3696</v>
      </c>
      <c r="B780" s="1">
        <v>779</v>
      </c>
      <c r="C780" s="12" t="s">
        <v>3697</v>
      </c>
      <c r="D780" s="1" t="s">
        <v>3698</v>
      </c>
      <c r="E780" s="1">
        <v>16</v>
      </c>
      <c r="F780" s="1" t="s">
        <v>29</v>
      </c>
      <c r="K780" s="3"/>
    </row>
    <row r="781" spans="1:11" x14ac:dyDescent="0.45">
      <c r="A781" s="1" t="s">
        <v>3699</v>
      </c>
      <c r="B781" s="1">
        <v>780</v>
      </c>
      <c r="C781" s="12" t="s">
        <v>3700</v>
      </c>
      <c r="D781" s="1" t="s">
        <v>3701</v>
      </c>
      <c r="E781" s="1">
        <v>11</v>
      </c>
      <c r="F781" s="1" t="s">
        <v>29</v>
      </c>
      <c r="K781" s="3"/>
    </row>
    <row r="782" spans="1:11" x14ac:dyDescent="0.45">
      <c r="A782" s="1" t="s">
        <v>3702</v>
      </c>
      <c r="B782" s="1">
        <v>781</v>
      </c>
      <c r="C782" s="12" t="s">
        <v>3703</v>
      </c>
      <c r="D782" s="1" t="s">
        <v>3704</v>
      </c>
      <c r="E782" s="1">
        <v>31</v>
      </c>
      <c r="F782" s="1" t="s">
        <v>29</v>
      </c>
      <c r="K782" s="3"/>
    </row>
    <row r="783" spans="1:11" x14ac:dyDescent="0.45">
      <c r="A783" s="1" t="s">
        <v>3705</v>
      </c>
      <c r="B783" s="1">
        <v>782</v>
      </c>
      <c r="C783" s="12" t="s">
        <v>3706</v>
      </c>
      <c r="D783" s="1" t="s">
        <v>3707</v>
      </c>
      <c r="E783" s="1">
        <v>31</v>
      </c>
      <c r="F783" s="1" t="s">
        <v>29</v>
      </c>
      <c r="K783" s="3"/>
    </row>
    <row r="784" spans="1:11" x14ac:dyDescent="0.45">
      <c r="A784" s="1" t="s">
        <v>3737</v>
      </c>
      <c r="B784" s="1">
        <v>783</v>
      </c>
      <c r="C784" s="12" t="s">
        <v>3738</v>
      </c>
      <c r="D784" s="1" t="s">
        <v>3763</v>
      </c>
      <c r="E784" s="1">
        <v>20</v>
      </c>
      <c r="F784" s="1" t="s">
        <v>29</v>
      </c>
      <c r="K784" s="3"/>
    </row>
    <row r="785" spans="1:11" x14ac:dyDescent="0.45">
      <c r="A785" s="1" t="s">
        <v>3739</v>
      </c>
      <c r="B785" s="1">
        <v>784</v>
      </c>
      <c r="C785" s="12" t="s">
        <v>3740</v>
      </c>
      <c r="D785" s="1" t="s">
        <v>3741</v>
      </c>
      <c r="E785" s="1">
        <v>20</v>
      </c>
      <c r="F785" s="1" t="s">
        <v>29</v>
      </c>
      <c r="K785" s="3"/>
    </row>
    <row r="786" spans="1:11" x14ac:dyDescent="0.45">
      <c r="A786" s="1" t="s">
        <v>3764</v>
      </c>
      <c r="B786" s="1">
        <v>785</v>
      </c>
      <c r="C786" s="12" t="s">
        <v>3766</v>
      </c>
      <c r="D786" s="1" t="s">
        <v>3765</v>
      </c>
      <c r="E786" s="1">
        <v>17</v>
      </c>
      <c r="F786" s="1" t="s">
        <v>29</v>
      </c>
      <c r="K786" s="3"/>
    </row>
    <row r="787" spans="1:11" x14ac:dyDescent="0.45">
      <c r="B787" s="1">
        <v>786</v>
      </c>
      <c r="C787" s="12" t="s">
        <v>3773</v>
      </c>
      <c r="D787" s="1" t="s">
        <v>46</v>
      </c>
      <c r="E787" s="1">
        <v>16</v>
      </c>
      <c r="F787" s="1" t="s">
        <v>29</v>
      </c>
      <c r="G787" s="1" t="s">
        <v>3947</v>
      </c>
      <c r="H787" s="1" t="s">
        <v>82</v>
      </c>
      <c r="K787" s="3"/>
    </row>
    <row r="788" spans="1:11" x14ac:dyDescent="0.45">
      <c r="B788" s="1">
        <v>787</v>
      </c>
      <c r="C788" s="12" t="s">
        <v>3777</v>
      </c>
      <c r="D788" s="1" t="s">
        <v>3687</v>
      </c>
      <c r="E788" s="1">
        <v>21</v>
      </c>
      <c r="F788" s="1" t="s">
        <v>29</v>
      </c>
      <c r="G788" s="1" t="s">
        <v>3947</v>
      </c>
      <c r="H788" s="1" t="s">
        <v>3039</v>
      </c>
      <c r="K788" s="3"/>
    </row>
    <row r="789" spans="1:11" x14ac:dyDescent="0.45">
      <c r="B789" s="1">
        <v>788</v>
      </c>
      <c r="C789" s="12" t="s">
        <v>3778</v>
      </c>
      <c r="D789" s="1" t="s">
        <v>3687</v>
      </c>
      <c r="E789" s="1">
        <v>21</v>
      </c>
      <c r="F789" s="1" t="s">
        <v>29</v>
      </c>
      <c r="G789" s="1" t="s">
        <v>3947</v>
      </c>
      <c r="H789" s="1" t="s">
        <v>3039</v>
      </c>
      <c r="K789" s="3"/>
    </row>
    <row r="790" spans="1:11" x14ac:dyDescent="0.45">
      <c r="A790" s="1" t="s">
        <v>3788</v>
      </c>
      <c r="B790" s="1">
        <v>790</v>
      </c>
      <c r="C790" s="12" t="s">
        <v>3789</v>
      </c>
      <c r="D790" s="1" t="s">
        <v>3787</v>
      </c>
      <c r="E790" s="1">
        <v>22</v>
      </c>
      <c r="F790" s="1" t="s">
        <v>29</v>
      </c>
      <c r="K790" s="3"/>
    </row>
    <row r="791" spans="1:11" x14ac:dyDescent="0.45">
      <c r="A791" s="1" t="s">
        <v>3790</v>
      </c>
      <c r="B791" s="1">
        <v>791</v>
      </c>
      <c r="C791" s="12" t="s">
        <v>3791</v>
      </c>
      <c r="D791" s="1" t="s">
        <v>3792</v>
      </c>
      <c r="E791" s="1">
        <v>25</v>
      </c>
      <c r="F791" s="1" t="s">
        <v>29</v>
      </c>
      <c r="K791" s="3"/>
    </row>
    <row r="792" spans="1:11" x14ac:dyDescent="0.45">
      <c r="A792" s="1" t="s">
        <v>3795</v>
      </c>
      <c r="B792" s="1">
        <v>792</v>
      </c>
      <c r="C792" s="12" t="s">
        <v>3796</v>
      </c>
      <c r="D792" s="1" t="s">
        <v>3797</v>
      </c>
      <c r="E792" s="1">
        <v>20</v>
      </c>
      <c r="F792" s="1" t="s">
        <v>29</v>
      </c>
      <c r="K792" s="3"/>
    </row>
    <row r="793" spans="1:11" x14ac:dyDescent="0.45">
      <c r="A793" s="1" t="s">
        <v>3798</v>
      </c>
      <c r="B793" s="1">
        <v>793</v>
      </c>
      <c r="C793" s="12" t="s">
        <v>3799</v>
      </c>
      <c r="D793" s="1" t="s">
        <v>3800</v>
      </c>
      <c r="E793" s="1">
        <v>20</v>
      </c>
      <c r="F793" s="1" t="s">
        <v>29</v>
      </c>
      <c r="K793" s="3"/>
    </row>
    <row r="794" spans="1:11" x14ac:dyDescent="0.45">
      <c r="A794" s="1" t="s">
        <v>3835</v>
      </c>
      <c r="B794" s="1">
        <v>794</v>
      </c>
      <c r="C794" s="12" t="s">
        <v>3836</v>
      </c>
      <c r="D794" s="1" t="s">
        <v>3837</v>
      </c>
      <c r="E794" s="1">
        <v>20</v>
      </c>
      <c r="F794" s="1" t="s">
        <v>29</v>
      </c>
      <c r="K794" s="3"/>
    </row>
    <row r="795" spans="1:11" x14ac:dyDescent="0.45">
      <c r="A795" s="1" t="s">
        <v>3838</v>
      </c>
      <c r="B795" s="1">
        <v>795</v>
      </c>
      <c r="C795" s="12" t="s">
        <v>3839</v>
      </c>
      <c r="D795" s="1" t="s">
        <v>3840</v>
      </c>
      <c r="E795" s="1">
        <v>20</v>
      </c>
      <c r="F795" s="1" t="s">
        <v>29</v>
      </c>
      <c r="K795" s="3"/>
    </row>
    <row r="796" spans="1:11" x14ac:dyDescent="0.45">
      <c r="A796" s="1" t="s">
        <v>3841</v>
      </c>
      <c r="B796" s="1">
        <v>796</v>
      </c>
      <c r="C796" s="12" t="s">
        <v>3842</v>
      </c>
      <c r="D796" s="1" t="s">
        <v>3843</v>
      </c>
      <c r="E796" s="1">
        <v>20</v>
      </c>
      <c r="F796" s="1" t="s">
        <v>29</v>
      </c>
      <c r="K796" s="3"/>
    </row>
    <row r="797" spans="1:11" x14ac:dyDescent="0.45">
      <c r="A797" s="1" t="s">
        <v>3844</v>
      </c>
      <c r="B797" s="1">
        <v>797</v>
      </c>
      <c r="C797" s="12" t="s">
        <v>3845</v>
      </c>
      <c r="D797" s="1" t="s">
        <v>3846</v>
      </c>
      <c r="E797" s="1">
        <v>20</v>
      </c>
      <c r="F797" s="1" t="s">
        <v>29</v>
      </c>
      <c r="K797" s="3"/>
    </row>
    <row r="798" spans="1:11" x14ac:dyDescent="0.45">
      <c r="A798" s="1" t="s">
        <v>3847</v>
      </c>
      <c r="B798" s="1">
        <v>798</v>
      </c>
      <c r="C798" s="12" t="s">
        <v>3848</v>
      </c>
      <c r="D798" s="1" t="s">
        <v>3849</v>
      </c>
      <c r="E798" s="1">
        <v>20</v>
      </c>
      <c r="F798" s="1" t="s">
        <v>29</v>
      </c>
      <c r="K798" s="3"/>
    </row>
    <row r="799" spans="1:11" x14ac:dyDescent="0.45">
      <c r="A799" s="1" t="s">
        <v>3850</v>
      </c>
      <c r="B799" s="1">
        <v>799</v>
      </c>
      <c r="C799" s="12" t="s">
        <v>3851</v>
      </c>
      <c r="D799" s="1" t="s">
        <v>3852</v>
      </c>
      <c r="E799" s="1">
        <v>20</v>
      </c>
      <c r="F799" s="1" t="s">
        <v>29</v>
      </c>
      <c r="K799" s="3"/>
    </row>
    <row r="800" spans="1:11" x14ac:dyDescent="0.45">
      <c r="A800" s="1" t="s">
        <v>3864</v>
      </c>
      <c r="B800" s="1">
        <v>800</v>
      </c>
      <c r="C800" s="12" t="s">
        <v>3877</v>
      </c>
      <c r="D800" s="1" t="s">
        <v>3865</v>
      </c>
      <c r="E800" s="1">
        <v>10</v>
      </c>
      <c r="F800" s="1" t="s">
        <v>29</v>
      </c>
      <c r="K800" s="3"/>
    </row>
    <row r="801" spans="1:11" x14ac:dyDescent="0.45">
      <c r="A801" s="1" t="s">
        <v>3866</v>
      </c>
      <c r="B801" s="1">
        <v>801</v>
      </c>
      <c r="C801" s="12" t="s">
        <v>3867</v>
      </c>
      <c r="D801" s="1" t="s">
        <v>3868</v>
      </c>
      <c r="E801" s="1">
        <v>30</v>
      </c>
      <c r="F801" s="1" t="s">
        <v>29</v>
      </c>
      <c r="K801" s="3"/>
    </row>
    <row r="802" spans="1:11" x14ac:dyDescent="0.45">
      <c r="A802" s="1" t="s">
        <v>3879</v>
      </c>
      <c r="B802" s="1">
        <v>802</v>
      </c>
      <c r="C802" s="12" t="s">
        <v>3890</v>
      </c>
      <c r="D802" s="1" t="s">
        <v>3880</v>
      </c>
      <c r="E802" s="1">
        <v>10</v>
      </c>
      <c r="F802" s="1" t="s">
        <v>29</v>
      </c>
      <c r="K802" s="3"/>
    </row>
    <row r="803" spans="1:11" x14ac:dyDescent="0.45">
      <c r="A803" s="1" t="s">
        <v>3882</v>
      </c>
      <c r="B803" s="1">
        <v>803</v>
      </c>
      <c r="C803" s="12" t="s">
        <v>3891</v>
      </c>
      <c r="D803" s="1" t="s">
        <v>3883</v>
      </c>
      <c r="E803" s="1">
        <v>30</v>
      </c>
      <c r="F803" s="1" t="s">
        <v>29</v>
      </c>
      <c r="K803" s="3"/>
    </row>
    <row r="804" spans="1:11" x14ac:dyDescent="0.45">
      <c r="A804" s="1" t="s">
        <v>3936</v>
      </c>
      <c r="B804" s="1">
        <v>804</v>
      </c>
      <c r="C804" s="12" t="s">
        <v>3919</v>
      </c>
      <c r="D804" s="1" t="s">
        <v>3920</v>
      </c>
      <c r="E804" s="1">
        <v>15</v>
      </c>
      <c r="F804" s="1" t="s">
        <v>29</v>
      </c>
      <c r="K804" s="3"/>
    </row>
    <row r="805" spans="1:11" x14ac:dyDescent="0.45">
      <c r="A805" s="1" t="s">
        <v>3921</v>
      </c>
      <c r="B805" s="1">
        <v>805</v>
      </c>
      <c r="C805" s="12" t="s">
        <v>3937</v>
      </c>
      <c r="D805" s="1" t="s">
        <v>3922</v>
      </c>
      <c r="E805" s="1">
        <v>15</v>
      </c>
      <c r="F805" s="1" t="s">
        <v>29</v>
      </c>
      <c r="K805" s="3"/>
    </row>
    <row r="806" spans="1:11" x14ac:dyDescent="0.45">
      <c r="A806" s="1" t="s">
        <v>3923</v>
      </c>
      <c r="B806" s="1">
        <v>806</v>
      </c>
      <c r="C806" s="12" t="s">
        <v>3938</v>
      </c>
      <c r="D806" s="1" t="s">
        <v>3924</v>
      </c>
      <c r="E806" s="1">
        <v>15</v>
      </c>
      <c r="F806" s="1" t="s">
        <v>29</v>
      </c>
      <c r="K806" s="3"/>
    </row>
    <row r="807" spans="1:11" x14ac:dyDescent="0.45">
      <c r="A807" s="1" t="s">
        <v>3925</v>
      </c>
      <c r="B807" s="1">
        <v>807</v>
      </c>
      <c r="C807" s="12" t="s">
        <v>3926</v>
      </c>
      <c r="D807" s="1" t="s">
        <v>3927</v>
      </c>
      <c r="E807" s="1">
        <v>15</v>
      </c>
      <c r="F807" s="1" t="s">
        <v>29</v>
      </c>
      <c r="K807" s="3"/>
    </row>
    <row r="808" spans="1:11" x14ac:dyDescent="0.45">
      <c r="A808" s="1" t="s">
        <v>3939</v>
      </c>
      <c r="B808" s="1">
        <v>808</v>
      </c>
      <c r="C808" s="12" t="s">
        <v>3940</v>
      </c>
      <c r="D808" s="1" t="s">
        <v>3941</v>
      </c>
      <c r="E808" s="1">
        <v>22</v>
      </c>
      <c r="F808" s="1" t="s">
        <v>29</v>
      </c>
      <c r="K808" s="3"/>
    </row>
    <row r="809" spans="1:11" x14ac:dyDescent="0.45">
      <c r="A809" s="1" t="s">
        <v>3951</v>
      </c>
      <c r="B809" s="1">
        <v>809</v>
      </c>
      <c r="C809" s="12" t="s">
        <v>3952</v>
      </c>
      <c r="D809" s="1" t="s">
        <v>3953</v>
      </c>
      <c r="E809" s="1">
        <v>20</v>
      </c>
      <c r="F809" s="1" t="s">
        <v>29</v>
      </c>
      <c r="K809" s="3"/>
    </row>
    <row r="810" spans="1:11" x14ac:dyDescent="0.45">
      <c r="K810" s="3"/>
    </row>
    <row r="811" spans="1:11" x14ac:dyDescent="0.45">
      <c r="K811" s="3"/>
    </row>
    <row r="812" spans="1:11" x14ac:dyDescent="0.45">
      <c r="K812" s="3"/>
    </row>
    <row r="813" spans="1:11" x14ac:dyDescent="0.45">
      <c r="K813" s="3"/>
    </row>
    <row r="814" spans="1:11" x14ac:dyDescent="0.45">
      <c r="K814" s="3"/>
    </row>
    <row r="815" spans="1:11" x14ac:dyDescent="0.45">
      <c r="K815" s="3"/>
    </row>
    <row r="816" spans="1:11" x14ac:dyDescent="0.45">
      <c r="K816" s="3"/>
    </row>
    <row r="817" spans="11:11" x14ac:dyDescent="0.45">
      <c r="K817" s="3"/>
    </row>
    <row r="818" spans="11:11" x14ac:dyDescent="0.45">
      <c r="K818" s="3"/>
    </row>
    <row r="819" spans="11:11" x14ac:dyDescent="0.45">
      <c r="K819" s="3"/>
    </row>
    <row r="820" spans="11:11" x14ac:dyDescent="0.45">
      <c r="K820" s="3"/>
    </row>
    <row r="821" spans="11:11" x14ac:dyDescent="0.45">
      <c r="K821" s="3"/>
    </row>
    <row r="822" spans="11:11" x14ac:dyDescent="0.45">
      <c r="K822" s="3"/>
    </row>
    <row r="823" spans="11:11" x14ac:dyDescent="0.45">
      <c r="K823" s="3"/>
    </row>
    <row r="824" spans="11:11" x14ac:dyDescent="0.45">
      <c r="K824" s="3"/>
    </row>
    <row r="825" spans="11:11" x14ac:dyDescent="0.45">
      <c r="K825" s="3"/>
    </row>
    <row r="826" spans="11:11" x14ac:dyDescent="0.45">
      <c r="K826" s="3"/>
    </row>
    <row r="827" spans="11:11" x14ac:dyDescent="0.45">
      <c r="K827" s="3"/>
    </row>
    <row r="828" spans="11:11" x14ac:dyDescent="0.45">
      <c r="K828" s="3"/>
    </row>
    <row r="829" spans="11:11" x14ac:dyDescent="0.45">
      <c r="K829" s="3"/>
    </row>
    <row r="830" spans="11:11" x14ac:dyDescent="0.45">
      <c r="K830" s="3"/>
    </row>
    <row r="831" spans="11:11" x14ac:dyDescent="0.45">
      <c r="K831" s="3"/>
    </row>
    <row r="832" spans="11:11" x14ac:dyDescent="0.45">
      <c r="K832" s="3"/>
    </row>
    <row r="833" spans="11:11" x14ac:dyDescent="0.45">
      <c r="K833" s="3"/>
    </row>
    <row r="834" spans="11:11" x14ac:dyDescent="0.45">
      <c r="K834" s="3"/>
    </row>
    <row r="835" spans="11:11" x14ac:dyDescent="0.45">
      <c r="K835" s="3"/>
    </row>
    <row r="836" spans="11:11" x14ac:dyDescent="0.45">
      <c r="K836" s="3"/>
    </row>
    <row r="837" spans="11:11" x14ac:dyDescent="0.45">
      <c r="K837" s="3"/>
    </row>
    <row r="838" spans="11:11" x14ac:dyDescent="0.45">
      <c r="K838" s="3"/>
    </row>
    <row r="839" spans="11:11" x14ac:dyDescent="0.45">
      <c r="K839" s="3"/>
    </row>
    <row r="840" spans="11:11" x14ac:dyDescent="0.45">
      <c r="K840" s="3"/>
    </row>
    <row r="841" spans="11:11" x14ac:dyDescent="0.45">
      <c r="K841" s="3"/>
    </row>
    <row r="842" spans="11:11" x14ac:dyDescent="0.45">
      <c r="K842" s="3"/>
    </row>
    <row r="843" spans="11:11" x14ac:dyDescent="0.45">
      <c r="K843" s="3"/>
    </row>
    <row r="844" spans="11:11" x14ac:dyDescent="0.45">
      <c r="K844" s="3"/>
    </row>
    <row r="845" spans="11:11" x14ac:dyDescent="0.45">
      <c r="K845" s="3"/>
    </row>
    <row r="846" spans="11:11" x14ac:dyDescent="0.45">
      <c r="K846" s="3"/>
    </row>
    <row r="847" spans="11:11" x14ac:dyDescent="0.45">
      <c r="K847" s="3"/>
    </row>
    <row r="848" spans="11:11" x14ac:dyDescent="0.45">
      <c r="K848" s="3"/>
    </row>
    <row r="849" spans="11:11" x14ac:dyDescent="0.45">
      <c r="K849" s="3"/>
    </row>
    <row r="850" spans="11:11" x14ac:dyDescent="0.45">
      <c r="K850" s="3"/>
    </row>
    <row r="851" spans="11:11" x14ac:dyDescent="0.45">
      <c r="K851" s="3"/>
    </row>
    <row r="852" spans="11:11" x14ac:dyDescent="0.45">
      <c r="K852" s="3"/>
    </row>
    <row r="853" spans="11:11" x14ac:dyDescent="0.45">
      <c r="K853" s="3"/>
    </row>
    <row r="854" spans="11:11" x14ac:dyDescent="0.45">
      <c r="K854" s="3"/>
    </row>
    <row r="855" spans="11:11" x14ac:dyDescent="0.45">
      <c r="K855" s="3"/>
    </row>
    <row r="856" spans="11:11" x14ac:dyDescent="0.45">
      <c r="K856" s="3"/>
    </row>
    <row r="857" spans="11:11" x14ac:dyDescent="0.45">
      <c r="K857" s="3"/>
    </row>
    <row r="858" spans="11:11" x14ac:dyDescent="0.45">
      <c r="K858" s="3"/>
    </row>
    <row r="859" spans="11:11" x14ac:dyDescent="0.45">
      <c r="K859" s="3"/>
    </row>
    <row r="860" spans="11:11" x14ac:dyDescent="0.45">
      <c r="K860" s="3"/>
    </row>
    <row r="861" spans="11:11" x14ac:dyDescent="0.45">
      <c r="K861" s="3"/>
    </row>
    <row r="862" spans="11:11" x14ac:dyDescent="0.45">
      <c r="K862" s="3"/>
    </row>
    <row r="863" spans="11:11" x14ac:dyDescent="0.45">
      <c r="K863" s="3"/>
    </row>
    <row r="864" spans="11:11" x14ac:dyDescent="0.45">
      <c r="K864" s="3"/>
    </row>
    <row r="865" spans="11:11" x14ac:dyDescent="0.45">
      <c r="K865" s="3"/>
    </row>
    <row r="866" spans="11:11" x14ac:dyDescent="0.45">
      <c r="K866" s="3"/>
    </row>
    <row r="867" spans="11:11" x14ac:dyDescent="0.45">
      <c r="K867" s="3"/>
    </row>
    <row r="868" spans="11:11" x14ac:dyDescent="0.45">
      <c r="K868" s="3"/>
    </row>
    <row r="869" spans="11:11" x14ac:dyDescent="0.45">
      <c r="K869" s="3"/>
    </row>
    <row r="870" spans="11:11" x14ac:dyDescent="0.45">
      <c r="K870" s="3"/>
    </row>
    <row r="871" spans="11:11" x14ac:dyDescent="0.45">
      <c r="K871" s="3"/>
    </row>
    <row r="872" spans="11:11" x14ac:dyDescent="0.45">
      <c r="K872" s="3"/>
    </row>
    <row r="873" spans="11:11" x14ac:dyDescent="0.45">
      <c r="K873" s="3"/>
    </row>
    <row r="874" spans="11:11" x14ac:dyDescent="0.45">
      <c r="K874" s="3"/>
    </row>
    <row r="875" spans="11:11" x14ac:dyDescent="0.45">
      <c r="K875" s="3"/>
    </row>
    <row r="876" spans="11:11" x14ac:dyDescent="0.45">
      <c r="K876" s="3"/>
    </row>
    <row r="877" spans="11:11" x14ac:dyDescent="0.45">
      <c r="K877" s="3"/>
    </row>
    <row r="878" spans="11:11" x14ac:dyDescent="0.45">
      <c r="K878" s="3"/>
    </row>
    <row r="879" spans="11:11" x14ac:dyDescent="0.45">
      <c r="K879" s="3"/>
    </row>
    <row r="880" spans="11:11" x14ac:dyDescent="0.45">
      <c r="K880" s="3"/>
    </row>
    <row r="881" spans="11:11" x14ac:dyDescent="0.45">
      <c r="K881" s="3"/>
    </row>
    <row r="882" spans="11:11" x14ac:dyDescent="0.45">
      <c r="K882" s="3"/>
    </row>
    <row r="883" spans="11:11" x14ac:dyDescent="0.45">
      <c r="K883" s="3"/>
    </row>
    <row r="884" spans="11:11" x14ac:dyDescent="0.45">
      <c r="K884" s="3"/>
    </row>
    <row r="885" spans="11:11" x14ac:dyDescent="0.45">
      <c r="K885" s="3"/>
    </row>
    <row r="886" spans="11:11" x14ac:dyDescent="0.45">
      <c r="K886" s="3"/>
    </row>
    <row r="887" spans="11:11" x14ac:dyDescent="0.45">
      <c r="K887" s="3"/>
    </row>
    <row r="888" spans="11:11" x14ac:dyDescent="0.45">
      <c r="K888" s="3"/>
    </row>
    <row r="889" spans="11:11" x14ac:dyDescent="0.45">
      <c r="K889" s="3"/>
    </row>
    <row r="890" spans="11:11" x14ac:dyDescent="0.45">
      <c r="K890" s="3"/>
    </row>
    <row r="891" spans="11:11" x14ac:dyDescent="0.45">
      <c r="K891" s="3"/>
    </row>
    <row r="892" spans="11:11" x14ac:dyDescent="0.45">
      <c r="K892" s="3"/>
    </row>
    <row r="893" spans="11:11" x14ac:dyDescent="0.45">
      <c r="K893" s="3"/>
    </row>
    <row r="894" spans="11:11" x14ac:dyDescent="0.45">
      <c r="K894" s="3"/>
    </row>
    <row r="895" spans="11:11" x14ac:dyDescent="0.45">
      <c r="K895" s="3"/>
    </row>
    <row r="896" spans="11:11" x14ac:dyDescent="0.45">
      <c r="K896" s="3"/>
    </row>
    <row r="897" spans="11:11" x14ac:dyDescent="0.45">
      <c r="K897" s="3"/>
    </row>
    <row r="898" spans="11:11" x14ac:dyDescent="0.45">
      <c r="K898" s="3"/>
    </row>
    <row r="899" spans="11:11" x14ac:dyDescent="0.45">
      <c r="K899" s="3"/>
    </row>
    <row r="900" spans="11:11" x14ac:dyDescent="0.45">
      <c r="K900" s="3"/>
    </row>
    <row r="901" spans="11:11" x14ac:dyDescent="0.45">
      <c r="K901" s="3"/>
    </row>
    <row r="902" spans="11:11" x14ac:dyDescent="0.45">
      <c r="K902" s="3"/>
    </row>
    <row r="903" spans="11:11" x14ac:dyDescent="0.45">
      <c r="K903" s="3"/>
    </row>
    <row r="904" spans="11:11" x14ac:dyDescent="0.45">
      <c r="K904" s="3"/>
    </row>
    <row r="905" spans="11:11" x14ac:dyDescent="0.45">
      <c r="K905" s="3"/>
    </row>
    <row r="906" spans="11:11" x14ac:dyDescent="0.45">
      <c r="K906" s="3"/>
    </row>
    <row r="907" spans="11:11" x14ac:dyDescent="0.45">
      <c r="K907" s="3"/>
    </row>
    <row r="908" spans="11:11" x14ac:dyDescent="0.45">
      <c r="K908" s="3"/>
    </row>
    <row r="909" spans="11:11" x14ac:dyDescent="0.45">
      <c r="K909" s="3"/>
    </row>
    <row r="910" spans="11:11" x14ac:dyDescent="0.45">
      <c r="K910" s="3"/>
    </row>
    <row r="911" spans="11:11" x14ac:dyDescent="0.45">
      <c r="K911" s="3"/>
    </row>
    <row r="912" spans="11:11" x14ac:dyDescent="0.45">
      <c r="K912" s="3"/>
    </row>
    <row r="913" spans="11:11" x14ac:dyDescent="0.45">
      <c r="K913" s="3"/>
    </row>
    <row r="914" spans="11:11" x14ac:dyDescent="0.45">
      <c r="K914" s="3"/>
    </row>
    <row r="915" spans="11:11" x14ac:dyDescent="0.45">
      <c r="K915" s="3"/>
    </row>
    <row r="916" spans="11:11" x14ac:dyDescent="0.45">
      <c r="K916" s="3"/>
    </row>
    <row r="917" spans="11:11" x14ac:dyDescent="0.45">
      <c r="K917" s="3"/>
    </row>
    <row r="918" spans="11:11" x14ac:dyDescent="0.45">
      <c r="K918" s="3"/>
    </row>
    <row r="919" spans="11:11" x14ac:dyDescent="0.45">
      <c r="K919" s="3"/>
    </row>
    <row r="920" spans="11:11" x14ac:dyDescent="0.45">
      <c r="K920" s="3"/>
    </row>
    <row r="921" spans="11:11" x14ac:dyDescent="0.45">
      <c r="K921" s="3"/>
    </row>
    <row r="922" spans="11:11" x14ac:dyDescent="0.45">
      <c r="K922" s="3"/>
    </row>
    <row r="923" spans="11:11" x14ac:dyDescent="0.45">
      <c r="K923" s="3"/>
    </row>
    <row r="924" spans="11:11" x14ac:dyDescent="0.45">
      <c r="K924" s="3"/>
    </row>
    <row r="925" spans="11:11" x14ac:dyDescent="0.45">
      <c r="K925" s="3"/>
    </row>
    <row r="926" spans="11:11" x14ac:dyDescent="0.45">
      <c r="K926" s="3"/>
    </row>
    <row r="927" spans="11:11" x14ac:dyDescent="0.45">
      <c r="K927" s="3"/>
    </row>
    <row r="928" spans="11:11" x14ac:dyDescent="0.45">
      <c r="K928" s="3"/>
    </row>
    <row r="929" spans="11:11" x14ac:dyDescent="0.45">
      <c r="K929" s="3"/>
    </row>
    <row r="930" spans="11:11" x14ac:dyDescent="0.45">
      <c r="K930" s="3"/>
    </row>
    <row r="931" spans="11:11" x14ac:dyDescent="0.45">
      <c r="K931" s="3"/>
    </row>
    <row r="932" spans="11:11" x14ac:dyDescent="0.45">
      <c r="K932" s="3"/>
    </row>
    <row r="933" spans="11:11" x14ac:dyDescent="0.45">
      <c r="K933" s="3"/>
    </row>
    <row r="934" spans="11:11" x14ac:dyDescent="0.45">
      <c r="K934" s="3"/>
    </row>
    <row r="935" spans="11:11" x14ac:dyDescent="0.45">
      <c r="K935" s="3"/>
    </row>
    <row r="936" spans="11:11" x14ac:dyDescent="0.45">
      <c r="K936" s="3"/>
    </row>
    <row r="937" spans="11:11" x14ac:dyDescent="0.45">
      <c r="K937" s="3"/>
    </row>
    <row r="938" spans="11:11" x14ac:dyDescent="0.45">
      <c r="K938" s="3"/>
    </row>
    <row r="939" spans="11:11" x14ac:dyDescent="0.45">
      <c r="K939" s="3"/>
    </row>
    <row r="940" spans="11:11" x14ac:dyDescent="0.45">
      <c r="K940" s="3"/>
    </row>
    <row r="941" spans="11:11" x14ac:dyDescent="0.45">
      <c r="K941" s="3"/>
    </row>
    <row r="942" spans="11:11" x14ac:dyDescent="0.45">
      <c r="K942" s="3"/>
    </row>
    <row r="943" spans="11:11" x14ac:dyDescent="0.45">
      <c r="K943" s="3"/>
    </row>
    <row r="944" spans="11:11" x14ac:dyDescent="0.45">
      <c r="K944" s="3"/>
    </row>
    <row r="945" spans="11:11" x14ac:dyDescent="0.45">
      <c r="K945" s="3"/>
    </row>
    <row r="946" spans="11:11" x14ac:dyDescent="0.45">
      <c r="K946" s="3"/>
    </row>
    <row r="947" spans="11:11" x14ac:dyDescent="0.45">
      <c r="K947" s="3"/>
    </row>
    <row r="948" spans="11:11" x14ac:dyDescent="0.45">
      <c r="K948" s="3"/>
    </row>
    <row r="949" spans="11:11" x14ac:dyDescent="0.45">
      <c r="K949" s="3"/>
    </row>
    <row r="950" spans="11:11" x14ac:dyDescent="0.45">
      <c r="K950" s="3"/>
    </row>
    <row r="951" spans="11:11" x14ac:dyDescent="0.45">
      <c r="K951" s="3"/>
    </row>
    <row r="952" spans="11:11" x14ac:dyDescent="0.45">
      <c r="K952" s="3"/>
    </row>
    <row r="953" spans="11:11" x14ac:dyDescent="0.45">
      <c r="K953" s="3"/>
    </row>
    <row r="954" spans="11:11" x14ac:dyDescent="0.45">
      <c r="K954" s="3"/>
    </row>
    <row r="955" spans="11:11" x14ac:dyDescent="0.45">
      <c r="K955" s="3"/>
    </row>
    <row r="956" spans="11:11" x14ac:dyDescent="0.45">
      <c r="K956" s="3"/>
    </row>
    <row r="957" spans="11:11" x14ac:dyDescent="0.45">
      <c r="K957" s="3"/>
    </row>
    <row r="958" spans="11:11" x14ac:dyDescent="0.45">
      <c r="K958" s="3"/>
    </row>
    <row r="959" spans="11:11" x14ac:dyDescent="0.45">
      <c r="K959" s="3"/>
    </row>
    <row r="960" spans="11:11" x14ac:dyDescent="0.45">
      <c r="K960" s="3"/>
    </row>
    <row r="961" spans="11:11" x14ac:dyDescent="0.45">
      <c r="K961" s="3"/>
    </row>
    <row r="962" spans="11:11" x14ac:dyDescent="0.45">
      <c r="K962" s="3"/>
    </row>
    <row r="963" spans="11:11" x14ac:dyDescent="0.45">
      <c r="K963" s="3"/>
    </row>
    <row r="964" spans="11:11" x14ac:dyDescent="0.45">
      <c r="K964" s="3"/>
    </row>
    <row r="965" spans="11:11" x14ac:dyDescent="0.45">
      <c r="K965" s="3"/>
    </row>
    <row r="966" spans="11:11" x14ac:dyDescent="0.45">
      <c r="K966" s="3"/>
    </row>
    <row r="967" spans="11:11" x14ac:dyDescent="0.45">
      <c r="K967" s="3"/>
    </row>
    <row r="968" spans="11:11" x14ac:dyDescent="0.45">
      <c r="K968" s="3"/>
    </row>
    <row r="969" spans="11:11" x14ac:dyDescent="0.45">
      <c r="K969" s="3"/>
    </row>
    <row r="970" spans="11:11" x14ac:dyDescent="0.45">
      <c r="K970" s="3"/>
    </row>
    <row r="971" spans="11:11" x14ac:dyDescent="0.45">
      <c r="K971" s="3"/>
    </row>
    <row r="972" spans="11:11" x14ac:dyDescent="0.45">
      <c r="K972" s="3"/>
    </row>
    <row r="973" spans="11:11" x14ac:dyDescent="0.45">
      <c r="K973" s="3"/>
    </row>
    <row r="974" spans="11:11" x14ac:dyDescent="0.45">
      <c r="K974" s="3"/>
    </row>
    <row r="975" spans="11:11" x14ac:dyDescent="0.45">
      <c r="K975" s="3"/>
    </row>
    <row r="976" spans="11:11" x14ac:dyDescent="0.45">
      <c r="K976" s="3"/>
    </row>
    <row r="977" spans="11:11" x14ac:dyDescent="0.45">
      <c r="K977" s="3"/>
    </row>
    <row r="978" spans="11:11" x14ac:dyDescent="0.45">
      <c r="K978" s="3"/>
    </row>
    <row r="979" spans="11:11" x14ac:dyDescent="0.45">
      <c r="K979" s="3"/>
    </row>
    <row r="980" spans="11:11" x14ac:dyDescent="0.45">
      <c r="K980" s="3"/>
    </row>
    <row r="981" spans="11:11" x14ac:dyDescent="0.45">
      <c r="K981" s="3"/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EDB7F-2DA9-46BF-B2C1-867AA4D0F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DB07_baseline</vt:lpstr>
      <vt:lpstr>ref_data-&gt;</vt:lpstr>
      <vt:lpstr>DB06_baseline</vt:lpstr>
      <vt:lpstr>filepath</vt:lpstr>
      <vt:lpstr>idname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遠藤 淳一</cp:lastModifiedBy>
  <dcterms:created xsi:type="dcterms:W3CDTF">2022-10-19T01:25:22Z</dcterms:created>
  <dcterms:modified xsi:type="dcterms:W3CDTF">2026-04-17T07:09:46Z</dcterms:modified>
</cp:coreProperties>
</file>