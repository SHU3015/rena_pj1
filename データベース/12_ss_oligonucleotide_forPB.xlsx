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共有用\オリゴ管理\データベース\"/>
    </mc:Choice>
  </mc:AlternateContent>
  <xr:revisionPtr revIDLastSave="0" documentId="13_ncr:1_{C62BA9ED-BF7B-433C-85DC-D1C67FD39D63}" xr6:coauthVersionLast="47" xr6:coauthVersionMax="47" xr10:uidLastSave="{00000000-0000-0000-0000-000000000000}"/>
  <bookViews>
    <workbookView xWindow="6195" yWindow="1245" windowWidth="21600" windowHeight="14520" xr2:uid="{DDF1C127-408A-4140-856A-CCA085EF2C37}"/>
  </bookViews>
  <sheets>
    <sheet name="12_ss_oligonucleotide" sheetId="22" r:id="rId1"/>
    <sheet name="input-&gt;" sheetId="16" r:id="rId2"/>
    <sheet name="sequence" sheetId="4" r:id="rId3"/>
    <sheet name="ref-&gt;" sheetId="13" r:id="rId4"/>
    <sheet name="DB04_Modification5" sheetId="20" r:id="rId5"/>
    <sheet name="DB05_Modification3" sheetId="19" r:id="rId6"/>
    <sheet name="DB17_baselinesequence" sheetId="21" r:id="rId7"/>
  </sheets>
  <definedNames>
    <definedName name="baseline_sequence">'ref-&gt;'!$A$4</definedName>
    <definedName name="columns">#REF!</definedName>
    <definedName name="ExternalData_1" localSheetId="0" hidden="1">'12_ss_oligonucleotide'!$A$1:$AJ$21</definedName>
    <definedName name="ExternalData_2" localSheetId="5" hidden="1">DB05_Modification3!$A$1:$AB$4</definedName>
    <definedName name="ExternalData_3" localSheetId="4" hidden="1">DB04_Modification5!$A$1:$AA$3</definedName>
    <definedName name="ExternalData_3" localSheetId="6" hidden="1">DB17_baselinesequence!$A$1:$P$20</definedName>
    <definedName name="filepath">'ref-&gt;'!$A$1</definedName>
    <definedName name="name_mod3">'ref-&gt;'!$C$4</definedName>
    <definedName name="name_mod5">'ref-&gt;'!$B$4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4" l="1" a="1"/>
  <c r="C20" i="4" s="1"/>
  <c r="C21" i="4" a="1"/>
  <c r="C21" i="4" s="1"/>
  <c r="K20" i="4" a="1"/>
  <c r="K20" i="4" s="1"/>
  <c r="K21" i="4" a="1"/>
  <c r="K21" i="4" s="1"/>
  <c r="A20" i="4"/>
  <c r="A21" i="4"/>
  <c r="A17" i="4"/>
  <c r="A18" i="4"/>
  <c r="A19" i="4"/>
  <c r="C17" i="4" a="1"/>
  <c r="C17" i="4" s="1"/>
  <c r="C18" i="4" a="1"/>
  <c r="C18" i="4" s="1"/>
  <c r="C19" i="4" a="1"/>
  <c r="C19" i="4" s="1"/>
  <c r="K17" i="4" a="1"/>
  <c r="K17" i="4" s="1"/>
  <c r="K18" i="4" a="1"/>
  <c r="K18" i="4" s="1"/>
  <c r="K19" i="4" a="1"/>
  <c r="K19" i="4" s="1"/>
  <c r="K2" i="4" a="1"/>
  <c r="K2" i="4" s="1"/>
  <c r="K3" i="4" a="1"/>
  <c r="K3" i="4" s="1"/>
  <c r="K4" i="4" a="1"/>
  <c r="K4" i="4" s="1"/>
  <c r="K5" i="4" a="1"/>
  <c r="K5" i="4" s="1"/>
  <c r="K6" i="4" a="1"/>
  <c r="K6" i="4" s="1"/>
  <c r="K7" i="4" a="1"/>
  <c r="K7" i="4" s="1"/>
  <c r="K8" i="4" a="1"/>
  <c r="K8" i="4" s="1"/>
  <c r="K9" i="4" a="1"/>
  <c r="K9" i="4" s="1"/>
  <c r="K10" i="4" a="1"/>
  <c r="K10" i="4" s="1"/>
  <c r="K11" i="4" a="1"/>
  <c r="K11" i="4" s="1"/>
  <c r="K12" i="4" a="1"/>
  <c r="K12" i="4" s="1"/>
  <c r="K13" i="4" a="1"/>
  <c r="K13" i="4" s="1"/>
  <c r="K14" i="4" a="1"/>
  <c r="K14" i="4" s="1"/>
  <c r="K15" i="4" a="1"/>
  <c r="K15" i="4" s="1"/>
  <c r="K16" i="4" a="1"/>
  <c r="K16" i="4" s="1"/>
  <c r="A14" i="4"/>
  <c r="A15" i="4"/>
  <c r="A16" i="4"/>
  <c r="C14" i="4" a="1"/>
  <c r="C14" i="4" s="1"/>
  <c r="C15" i="4" a="1"/>
  <c r="C15" i="4" s="1"/>
  <c r="C16" i="4" a="1"/>
  <c r="C16" i="4" s="1"/>
  <c r="A10" i="4"/>
  <c r="A11" i="4"/>
  <c r="A12" i="4"/>
  <c r="A13" i="4"/>
  <c r="C10" i="4" a="1"/>
  <c r="C10" i="4" s="1"/>
  <c r="C11" i="4" a="1"/>
  <c r="C11" i="4" s="1"/>
  <c r="C12" i="4" a="1"/>
  <c r="C12" i="4" s="1"/>
  <c r="C13" i="4" a="1"/>
  <c r="C13" i="4" s="1"/>
  <c r="A4" i="13" a="1"/>
  <c r="A4" i="13" s="1"/>
  <c r="A6" i="4"/>
  <c r="A7" i="4"/>
  <c r="A8" i="4"/>
  <c r="A9" i="4"/>
  <c r="C6" i="4" a="1"/>
  <c r="C6" i="4" s="1"/>
  <c r="C7" i="4" a="1"/>
  <c r="C7" i="4" s="1"/>
  <c r="C8" i="4" a="1"/>
  <c r="C8" i="4" s="1"/>
  <c r="C9" i="4" a="1"/>
  <c r="C9" i="4" s="1"/>
  <c r="A5" i="4"/>
  <c r="C5" i="4" a="1"/>
  <c r="C5" i="4" s="1"/>
  <c r="A4" i="4"/>
  <c r="C4" i="4" a="1"/>
  <c r="C4" i="4" s="1"/>
  <c r="A2" i="4"/>
  <c r="A3" i="4"/>
  <c r="C4" i="13" a="1"/>
  <c r="C4" i="13" s="1"/>
  <c r="B4" i="13" a="1"/>
  <c r="B4" i="13" s="1"/>
  <c r="C2" i="4" a="1"/>
  <c r="C2" i="4" s="1"/>
  <c r="C3" i="4" a="1"/>
  <c r="C3" i="4" s="1"/>
  <c r="A1" i="13" a="1"/>
  <c r="A1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E38756-13AA-4460-8F28-2708857679DB}" keepAlive="1" name="クエリ - DB12_ss_oligonucleotide" description="ブック内の 'DB12_ss_oligonucleotide' クエリへの接続です。" type="5" refreshedVersion="8" background="1" refreshOnLoad="1" saveData="1">
    <dbPr connection="Provider=Microsoft.Mashup.OleDb.1;Data Source=$Workbook$;Location=DB12_ss_oligonucleotide;Extended Properties=&quot;&quot;" command="SELECT * FROM [DB12_ss_oligonucleotide]"/>
  </connection>
  <connection id="2" xr16:uid="{FD1DF802-244C-45F9-9685-917E767DB10D}" keepAlive="1" name="クエリ - DB14_Modification5" description="ブック内の 'DB14_Modification5' クエリへの接続です。" type="5" refreshedVersion="8" background="1" refreshOnLoad="1" saveData="1">
    <dbPr connection="Provider=Microsoft.Mashup.OleDb.1;Data Source=$Workbook$;Location=DB14_Modification5;Extended Properties=&quot;&quot;" command="SELECT * FROM [DB14_Modification5]"/>
  </connection>
  <connection id="3" xr16:uid="{69ADD983-55C1-4E5D-AEDC-C476D02FA108}" keepAlive="1" name="クエリ - DB15_modification3" description="ブック内の 'DB15_modification3' クエリへの接続です。" type="5" refreshedVersion="8" background="1" refreshOnLoad="1" saveData="1">
    <dbPr connection="Provider=Microsoft.Mashup.OleDb.1;Data Source=$Workbook$;Location=DB15_modification3;Extended Properties=&quot;&quot;" command="SELECT * FROM [DB15_modification3]"/>
  </connection>
  <connection id="4" xr16:uid="{ABC672E3-A640-47CD-A54B-A9EFC273619B}" keepAlive="1" name="クエリ - DB17_baselinesequence(1)" description="ブック内の 'DB17_baselinesequence' クエリへの接続です。" type="5" refreshedVersion="8" background="1" refreshOnLoad="1" saveData="1">
    <dbPr connection="Provider=Microsoft.Mashup.OleDb.1;Data Source=$Workbook$;Location=DB17_baselinesequence;Extended Properties=&quot;&quot;" command="SELECT * FROM [DB17_baselineseque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<sst xmlns="http://schemas.openxmlformats.org/spreadsheetml/2006/main" count="1001" uniqueCount="298">
  <si>
    <t>name</t>
    <phoneticPr fontId="1"/>
  </si>
  <si>
    <t>C</t>
  </si>
  <si>
    <t>H</t>
  </si>
  <si>
    <t>B</t>
  </si>
  <si>
    <t>Cl</t>
  </si>
  <si>
    <t>F</t>
  </si>
  <si>
    <t>K</t>
  </si>
  <si>
    <t>N</t>
  </si>
  <si>
    <t>Na</t>
  </si>
  <si>
    <t>O</t>
  </si>
  <si>
    <t>P</t>
  </si>
  <si>
    <t>S</t>
  </si>
  <si>
    <t>Si</t>
  </si>
  <si>
    <t>C6Amine</t>
  </si>
  <si>
    <t>DBCO</t>
  </si>
  <si>
    <t>id_sequence</t>
    <phoneticPr fontId="1"/>
  </si>
  <si>
    <t>num</t>
    <phoneticPr fontId="1"/>
  </si>
  <si>
    <t>modification_5</t>
    <phoneticPr fontId="1"/>
  </si>
  <si>
    <t>sequence</t>
    <phoneticPr fontId="1"/>
  </si>
  <si>
    <t>modification_3</t>
    <phoneticPr fontId="1"/>
  </si>
  <si>
    <t>T(M)*mC(M)*T(M)*A(M)*mC(M)*A(M)*G(M)*A(M)*A(M)*G(M)*mC(M)*A(M)*A(M)*G(M)*G(M)*T(M)*G(M)*T(M)</t>
  </si>
  <si>
    <t>G(M)*G(M)*mC(M)*mC(M)*A(M)*A(M)*A(M)*mC(M)*mC(M)*A(M)*G(M)*G(M)*A(M)*mC(M)*A(M)*T(M)*A(M)*T(M)</t>
  </si>
  <si>
    <t>登録者</t>
    <rPh sb="0" eb="3">
      <t>トウロクシャ</t>
    </rPh>
    <phoneticPr fontId="1"/>
  </si>
  <si>
    <t>確認者</t>
    <rPh sb="0" eb="3">
      <t>カクニンシャ</t>
    </rPh>
    <phoneticPr fontId="1"/>
  </si>
  <si>
    <t>name</t>
  </si>
  <si>
    <t>sequence_ns</t>
  </si>
  <si>
    <t>sequence_gd</t>
  </si>
  <si>
    <t>確認日</t>
  </si>
  <si>
    <t>確認者</t>
  </si>
  <si>
    <t/>
  </si>
  <si>
    <t>A*G*A*A*A*T*G*G*A*G*A*G*G*G*A*G*A*G</t>
  </si>
  <si>
    <t>a*g*a*a*a*t*g*g*a*g*a*g*g*g*a*g*a*g</t>
  </si>
  <si>
    <t>A(M)*G(M)*A(M)*A(M)*A(M)*T(M)*G(M)*G(M)*A(M)*G(M)*A(M)*G(M)*G(M)*G(M)*A(M)*G(M)*A(M)*G(M)</t>
  </si>
  <si>
    <t>A(m)*G(m)*A(m)*A(m)*A(m)*T(m)*G(m)*G(m)*A(m)*G(m)*A(m)*G(m)*G(m)*G(m)*A(m)*G(m)*A(m)*G(m)</t>
  </si>
  <si>
    <t>G*A*C*A*C*C*A*G*G*G*A*G*A*G*A*C*A*G</t>
  </si>
  <si>
    <t>g*a*c*a*c*c*a*g*g*g*a*g*a*g*a*c*a*g</t>
  </si>
  <si>
    <t>G(M)*A(M)*mC(M)*A(M)*mC(M)*mC(M)*A(M)*G(M)*G(M)*G(M)*A(M)*G(M)*A(M)*G(M)*A(M)*mC(M)*A(M)*G(M)</t>
  </si>
  <si>
    <t>G(m)*A(m)*5(m)*A(m)*5(m)*5(m)*A(m)*G(m)*G(m)*G(m)*A(m)*G(m)*A(m)*G(m)*A(m)*5(m)*A(m)*G(m)</t>
  </si>
  <si>
    <t>T(m)*5(m)*T(m)*A(m)*5(m)*A(m)*G(m)*A(m)*A(m)*G(m)*5(m)*A(m)*A(m)*G(m)*G(m)*T(m)*G(m)*T(m)</t>
  </si>
  <si>
    <t>G(m)*G(m)*5(m)*5(m)*A(m)*A(m)*A(m)*5(m)*5(m)*A(m)*G(m)*G(m)*A(m)*5(m)*A(m)*T(m)*A(m)*T(m)</t>
  </si>
  <si>
    <t>baseline_sequence</t>
    <phoneticPr fontId="1"/>
  </si>
  <si>
    <t>memo</t>
    <phoneticPr fontId="1"/>
  </si>
  <si>
    <t>name2</t>
  </si>
  <si>
    <t>name_mod5</t>
    <phoneticPr fontId="1"/>
  </si>
  <si>
    <t>name_mod3</t>
    <phoneticPr fontId="1"/>
  </si>
  <si>
    <t>登録日</t>
    <rPh sb="0" eb="3">
      <t>トウロクビ</t>
    </rPh>
    <phoneticPr fontId="1"/>
  </si>
  <si>
    <t>岡本</t>
    <rPh sb="0" eb="2">
      <t>オカモト</t>
    </rPh>
    <phoneticPr fontId="1"/>
  </si>
  <si>
    <t>確認日</t>
    <rPh sb="0" eb="3">
      <t>カクニンビ</t>
    </rPh>
    <phoneticPr fontId="1"/>
  </si>
  <si>
    <t>岡本</t>
  </si>
  <si>
    <t>ID Sequence</t>
  </si>
  <si>
    <t>Name</t>
  </si>
  <si>
    <t>memo</t>
  </si>
  <si>
    <t>Modification_5</t>
  </si>
  <si>
    <t>Modification_3</t>
  </si>
  <si>
    <t>Length</t>
  </si>
  <si>
    <t>Formula</t>
  </si>
  <si>
    <t>ExactMS</t>
  </si>
  <si>
    <t>Mol.W.</t>
  </si>
  <si>
    <t>Extinct</t>
  </si>
  <si>
    <t>nmol/OD</t>
  </si>
  <si>
    <t>µg/OD</t>
  </si>
  <si>
    <t>Sequence(OP)</t>
  </si>
  <si>
    <t>Block-01</t>
  </si>
  <si>
    <t>Block-02</t>
  </si>
  <si>
    <t>Block-03</t>
  </si>
  <si>
    <t>Block-04</t>
  </si>
  <si>
    <t>Block-05</t>
  </si>
  <si>
    <t>Block-06</t>
  </si>
  <si>
    <t>Block-07</t>
  </si>
  <si>
    <t>Block-08</t>
  </si>
  <si>
    <t>Block-09</t>
  </si>
  <si>
    <t>Block-10</t>
  </si>
  <si>
    <t>Block-11</t>
  </si>
  <si>
    <t>Block-12</t>
  </si>
  <si>
    <t>Block-13</t>
  </si>
  <si>
    <t>Block-14</t>
  </si>
  <si>
    <t>Block-15</t>
  </si>
  <si>
    <t>Block-16</t>
  </si>
  <si>
    <t>Block-17</t>
  </si>
  <si>
    <t>Block-18</t>
  </si>
  <si>
    <t>XNA-z</t>
  </si>
  <si>
    <t>XNA-x</t>
  </si>
  <si>
    <t>XNA-q</t>
  </si>
  <si>
    <t>XNA-y</t>
  </si>
  <si>
    <t>DNA-T</t>
  </si>
  <si>
    <t>DNA-G</t>
  </si>
  <si>
    <t>DNA-C</t>
  </si>
  <si>
    <t>DNA-A</t>
  </si>
  <si>
    <t>C134H197B12N51O70P12</t>
  </si>
  <si>
    <t>C180H269B17N87O82P17</t>
  </si>
  <si>
    <t>A*G*A*A*A*T*G*G*A*G*A*G*G*G*A*G*A*G^</t>
  </si>
  <si>
    <t>C234H377B17N87O118P17</t>
  </si>
  <si>
    <t>x*z*x*x*x*q*z*z*x*z*x*z*z*z*x*z*x*z^</t>
  </si>
  <si>
    <t>C176H268B17N82O82P17</t>
  </si>
  <si>
    <t>G*A*C*A*C*C*A*G*G*G*A*G*A*G*A*C*A*G^</t>
  </si>
  <si>
    <t>C234H384B17N82O118P17</t>
  </si>
  <si>
    <t>z*x*y*x*y*y*x*z*z*z*x*z*x*z*x*y*x*z^</t>
  </si>
  <si>
    <t>C234H386B17N72O123P17</t>
  </si>
  <si>
    <t>q*y*q*x*y*x*z*x*x*z*y*x*x*z*z*q*z*q^</t>
  </si>
  <si>
    <t>C234H388B17N74O120P17</t>
  </si>
  <si>
    <t>z*z*y*y*x*x*x*y*y*x*z*z*x*y*x*q*x*q^</t>
  </si>
  <si>
    <t>id_mod5</t>
  </si>
  <si>
    <t>id_baseline</t>
  </si>
  <si>
    <t>id_mod3</t>
  </si>
  <si>
    <t>id_modification</t>
  </si>
  <si>
    <t>num</t>
  </si>
  <si>
    <t>link</t>
  </si>
  <si>
    <t>登録日</t>
  </si>
  <si>
    <t>登録者</t>
  </si>
  <si>
    <t>ligand</t>
  </si>
  <si>
    <t>note_ligand</t>
  </si>
  <si>
    <t>extinction</t>
  </si>
  <si>
    <t>ref</t>
  </si>
  <si>
    <t>note_for_gd</t>
  </si>
  <si>
    <t>note_for_ns</t>
  </si>
  <si>
    <t>◆</t>
  </si>
  <si>
    <t>T*T*T*T*T*T*T*T*T*T*T*T*T*T*T*T</t>
  </si>
  <si>
    <t>t*t*t*t*t*t*t*t*t*t*t*t*t*t*t*t</t>
  </si>
  <si>
    <t>T*T*T*T*T*T*T*T*T*T*T*T*T*T*T*T^</t>
  </si>
  <si>
    <t>G(L)*T(L)*A*T*T*G*C*T*G*A*G(L)*G(L)*A(L)</t>
  </si>
  <si>
    <t>G(L)*T(L)*a*t*t*g*c*t*g*a*G(L)*G(L)*A(L)</t>
  </si>
  <si>
    <t>z*q*A*T*T*G*C*T*G*A*z*z*x^</t>
  </si>
  <si>
    <t>ID</t>
  </si>
  <si>
    <t>手動調整</t>
  </si>
  <si>
    <t>sugar_wing</t>
  </si>
  <si>
    <t>sugar_gap</t>
  </si>
  <si>
    <t>link_wing</t>
  </si>
  <si>
    <t>link_gap</t>
  </si>
  <si>
    <t>wing5</t>
  </si>
  <si>
    <t>wing3</t>
  </si>
  <si>
    <t>手動NS配列</t>
  </si>
  <si>
    <t>手動GD配列</t>
  </si>
  <si>
    <t>手動変更者</t>
  </si>
  <si>
    <t>17-00-01</t>
  </si>
  <si>
    <t>Bace1(All-DNA)</t>
  </si>
  <si>
    <t>DNA</t>
  </si>
  <si>
    <t>PB</t>
  </si>
  <si>
    <t>G*T*A*T*T*G*C*T*G*A*G*G*A</t>
  </si>
  <si>
    <t>g*t*a*t*t*g*c*t*g*a*g*g*a</t>
  </si>
  <si>
    <t>17-00-02</t>
  </si>
  <si>
    <t>Bace1 gapmer</t>
  </si>
  <si>
    <t>LNA</t>
  </si>
  <si>
    <t>17-00-03</t>
  </si>
  <si>
    <t>SYNGAP1-24(All-DNA)</t>
  </si>
  <si>
    <t>17-00-04</t>
  </si>
  <si>
    <t>SYNGAP1-24(Full MOE)</t>
  </si>
  <si>
    <t>MOE</t>
  </si>
  <si>
    <t>17-00-05</t>
  </si>
  <si>
    <t>SYNGAP1-5(All-DNA)</t>
  </si>
  <si>
    <t>17-00-06</t>
  </si>
  <si>
    <t>SYNGAP1-5(Full MOE)</t>
  </si>
  <si>
    <t>17-00-07</t>
  </si>
  <si>
    <t>T*C*T*A*C*A*G*A*A*G*C*A*A*G*G*T*G*T</t>
  </si>
  <si>
    <t>t*c*t*a*c*a*g*a*a*g*c*a*a*g*g*t*g*t</t>
  </si>
  <si>
    <t>17-00-08</t>
  </si>
  <si>
    <t>17-00-09</t>
  </si>
  <si>
    <t>G*G*C*C*A*A*A*C*C*A*G*G*A*C*A*T*A*T</t>
  </si>
  <si>
    <t>g*g*c*c*a*a*a*c*c*a*g*g*a*c*a*t*a*t</t>
  </si>
  <si>
    <t>17-00-0A</t>
  </si>
  <si>
    <t>17-00-0B</t>
  </si>
  <si>
    <t>T16(All-DNA)</t>
  </si>
  <si>
    <t>17-00-0C</t>
  </si>
  <si>
    <t>17-00-0D</t>
  </si>
  <si>
    <t>17-00-0E</t>
  </si>
  <si>
    <t>TGT</t>
  </si>
  <si>
    <t>T*G*T</t>
  </si>
  <si>
    <t>t*g*t</t>
  </si>
  <si>
    <t>17-00-0F</t>
  </si>
  <si>
    <t>GT</t>
  </si>
  <si>
    <t>G*T</t>
  </si>
  <si>
    <t>g*t</t>
  </si>
  <si>
    <t>17-00-01 Bace1(All-DNA)</t>
  </si>
  <si>
    <t>17-00-02 Bace1 gapmer</t>
  </si>
  <si>
    <t>17-00-03 SYNGAP1-24(All-DNA)</t>
  </si>
  <si>
    <t>17-00-04 SYNGAP1-24(Full MOE)</t>
  </si>
  <si>
    <t>17-00-05 SYNGAP1-5(All-DNA)</t>
  </si>
  <si>
    <t>17-00-06 SYNGAP1-5(Full MOE)</t>
  </si>
  <si>
    <t>17-00-0B T16(All-DNA)</t>
  </si>
  <si>
    <t>17-00-0E TGT</t>
  </si>
  <si>
    <t>17-00-0F GT</t>
  </si>
  <si>
    <t>12-00-00</t>
  </si>
  <si>
    <t>C129H197B12N51O65P12</t>
  </si>
  <si>
    <t>G*T*A*T*T*G*C*T*G*A*G*G*A^</t>
  </si>
  <si>
    <t>12-00-01</t>
  </si>
  <si>
    <t>12-00-02</t>
  </si>
  <si>
    <t>12-00-03</t>
  </si>
  <si>
    <t>12-00-04</t>
  </si>
  <si>
    <t>12-00-05</t>
  </si>
  <si>
    <t>12-00-06</t>
  </si>
  <si>
    <t>C177H272B17N72O87P17</t>
  </si>
  <si>
    <t>T*C*T*A*C*A*G*A*A*G*C*A*A*G*G*T*G*T^</t>
  </si>
  <si>
    <t>12-00-07</t>
  </si>
  <si>
    <t>12-00-08</t>
  </si>
  <si>
    <t>C175H270B17N74O84P17</t>
  </si>
  <si>
    <t>G*G*C*C*A*A*A*C*C*A*G*G*A*C*A*T*A*T^</t>
  </si>
  <si>
    <t>12-00-09</t>
  </si>
  <si>
    <t>12-00-0A</t>
  </si>
  <si>
    <t>C160H254B15N32O95P15</t>
  </si>
  <si>
    <t>12-00-0B</t>
  </si>
  <si>
    <t>C78H120B7N30O39P7</t>
  </si>
  <si>
    <t>12-00-0C</t>
  </si>
  <si>
    <t>C39H59B3N15O19P3</t>
  </si>
  <si>
    <t>12-00-0D</t>
  </si>
  <si>
    <t>C30H45B2N9O16P2</t>
  </si>
  <si>
    <t>T*G*T^</t>
  </si>
  <si>
    <t>12-00-0E</t>
  </si>
  <si>
    <t>G*T^</t>
  </si>
  <si>
    <t>CAGTCAGT</t>
  </si>
  <si>
    <t>C*A*G*T*C*A*G*T</t>
  </si>
  <si>
    <t>c*a*g*t*c*a*g*t</t>
  </si>
  <si>
    <t>CAGT</t>
  </si>
  <si>
    <t>C*A*G*T</t>
  </si>
  <si>
    <t>c*a*g*t</t>
  </si>
  <si>
    <t>17-00-0C CAGTCAGT</t>
  </si>
  <si>
    <t>17-00-0D CAGT</t>
  </si>
  <si>
    <t>C*A*G*T*C*A*G*T^</t>
  </si>
  <si>
    <t>C*A*G*T^</t>
  </si>
  <si>
    <t>15-00-00</t>
  </si>
  <si>
    <t>(15-00-00)H</t>
  </si>
  <si>
    <t>15-00-01</t>
  </si>
  <si>
    <t>(15-00-01)C6Amine</t>
  </si>
  <si>
    <t>15-00-02</t>
  </si>
  <si>
    <t>(15-00-02)DBCO</t>
  </si>
  <si>
    <t>14-00-00</t>
  </si>
  <si>
    <t>14-00-01</t>
  </si>
  <si>
    <t>17-00-0G</t>
  </si>
  <si>
    <t>AT</t>
  </si>
  <si>
    <t>A*T</t>
  </si>
  <si>
    <t>a*t</t>
  </si>
  <si>
    <t>17-00-0H</t>
  </si>
  <si>
    <t>CT</t>
  </si>
  <si>
    <t>C*T</t>
  </si>
  <si>
    <t>c*t</t>
  </si>
  <si>
    <t>17-00-0I</t>
  </si>
  <si>
    <t>TT</t>
  </si>
  <si>
    <t>T*T</t>
  </si>
  <si>
    <t>t*t</t>
  </si>
  <si>
    <t>14-00-00 H</t>
  </si>
  <si>
    <t>17-00-0G AT</t>
  </si>
  <si>
    <t>17-00-0H CT</t>
  </si>
  <si>
    <t>17-00-0I TT</t>
  </si>
  <si>
    <t>14-00-01 C6Amine</t>
  </si>
  <si>
    <t>15-00-00 H</t>
  </si>
  <si>
    <t>Bace1(All-DNA)(5′-H, 3′-H)</t>
  </si>
  <si>
    <t>Bace1 gapmer(5′-H, 3′-H)</t>
  </si>
  <si>
    <t>SYNGAP1-24(All-DNA)(5′-H, 3′-H)</t>
  </si>
  <si>
    <t>SYNGAP1-24(Full MOE)(5′-H, 3′-H)</t>
  </si>
  <si>
    <t>SYNGAP1-5(All-DNA)(5′-H, 3′-H)</t>
  </si>
  <si>
    <t>SYNGAP1-5(Full MOE)(5′-H, 3′-H)</t>
  </si>
  <si>
    <t>T16(All-DNA)(5′-H, 3′-H)</t>
  </si>
  <si>
    <t>CAGTCAGT(5′-H, 3′-H)</t>
  </si>
  <si>
    <t>CAGT(5′-H, 3′-H)</t>
  </si>
  <si>
    <t>TGT(5′-H, 3′-H)</t>
  </si>
  <si>
    <t>A*T^</t>
  </si>
  <si>
    <t>12-00-0F</t>
  </si>
  <si>
    <t>CT(5′-C6Amine, 3′-H)</t>
  </si>
  <si>
    <t>C25H46B2N6O12P2</t>
  </si>
  <si>
    <t>C*T^</t>
  </si>
  <si>
    <t>12-00-0G</t>
  </si>
  <si>
    <t>GT(5′-C6Amine, 3′-H)</t>
  </si>
  <si>
    <t>C26H46B2N8O12P2</t>
  </si>
  <si>
    <t>12-00-0H</t>
  </si>
  <si>
    <t>TT(5′-C6Amine, 3′-H)</t>
  </si>
  <si>
    <t>C26H47B2N5O13P2</t>
  </si>
  <si>
    <t>T*T^</t>
  </si>
  <si>
    <t>sDNA-A_UNY</t>
  </si>
  <si>
    <t>sXNA-x_UNY</t>
  </si>
  <si>
    <t>sDNA-G_UNY</t>
  </si>
  <si>
    <t>sXNA-z_UNY</t>
  </si>
  <si>
    <t>sDNA-T_UNY</t>
  </si>
  <si>
    <t>sXNA-q_UNY</t>
  </si>
  <si>
    <t>17-00-0J</t>
  </si>
  <si>
    <t>Malat1-ASO</t>
  </si>
  <si>
    <t>mC(L)*T(L)*A(L)*G*T*T*C*A*C*T*G*A*A*T(L)*G(L)*mC(L)</t>
  </si>
  <si>
    <t>5(L)*T(L)*A(L)*g*t*t*c*a*c*t*g*a*a*T(L)*G(L)*5(L)</t>
  </si>
  <si>
    <t>17-00-0J Malat1-ASO</t>
  </si>
  <si>
    <t>AT(5′-C6Amine, 3′-H)</t>
  </si>
  <si>
    <t>C26H46B2N8O11P2</t>
  </si>
  <si>
    <t>12-00-0I</t>
  </si>
  <si>
    <t>Malat1-ASO(5′-H, 3′-H)</t>
  </si>
  <si>
    <t>C164H247B15N57O86P15</t>
  </si>
  <si>
    <t>y*q*x*G*T*T*C*A*C*T*G*A*A*q*z*y^</t>
  </si>
  <si>
    <t>sXNA-y_UNY</t>
  </si>
  <si>
    <t>12-00-0J</t>
  </si>
  <si>
    <t>Malat1-ASO(5′-C6Amine, 3′-H)</t>
  </si>
  <si>
    <t>C170H264B16N58O88P16</t>
  </si>
  <si>
    <t>mecp2-33(All-DNA)</t>
  </si>
  <si>
    <t>mecp2-33(Full MOE)</t>
  </si>
  <si>
    <t>mecp2-52(All-DNA)</t>
  </si>
  <si>
    <t>mecp2-52(Full MOE)</t>
  </si>
  <si>
    <t>17-00-07 mecp2-33(All-DNA)</t>
  </si>
  <si>
    <t>17-00-08 mecp2-33(Full MOE)</t>
  </si>
  <si>
    <t>17-00-09 mecp2-52(All-DNA)</t>
  </si>
  <si>
    <t>17-00-0A mecp2-52(Full MOE)</t>
  </si>
  <si>
    <t>mecp2-33(All-DNA)(5′-H, 3′-H)</t>
  </si>
  <si>
    <t>mecp2-33(Full MOE)(5′-H, 3′-H)</t>
  </si>
  <si>
    <t>mecp2-52(All-DNA)(5′-H, 3′-H)</t>
  </si>
  <si>
    <t>mecp2-52(Full MOE)(5′-H, 3′-H)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</si>
</sst>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0.5"/>
      <color theme="1"/>
      <name val="メイリオ"/>
      <family val="3"/>
      <charset val="128"/>
    </font>
    <font>
      <b/>
      <sz val="10.5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85">
    <dxf>
      <numFmt numFmtId="19" formatCode="yyyy/m/d"/>
    </dxf>
    <dxf>
      <numFmt numFmtId="19" formatCode="yyyy/m/d"/>
    </dxf>
    <dxf>
      <numFmt numFmtId="19" formatCode="yyyy/m/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D4FF396-2931-40F8-8BCA-C3D7E096BD4E}" autoFormatId="20" applyNumberFormats="0" applyBorderFormats="0" applyFontFormats="0" applyPatternFormats="0" applyAlignmentFormats="0" applyWidthHeightFormats="0">
  <queryTableRefresh nextId="37">
    <queryTableFields count="36">
      <queryTableField id="1" name="ID Sequence" tableColumnId="1"/>
      <queryTableField id="2" name="Name" tableColumnId="2"/>
      <queryTableField id="3" name="memo" tableColumnId="3"/>
      <queryTableField id="4" name="id_mod5" tableColumnId="4"/>
      <queryTableField id="5" name="Modification_5" tableColumnId="5"/>
      <queryTableField id="6" name="id_baseline" tableColumnId="6"/>
      <queryTableField id="7" name="sequence_ns" tableColumnId="7"/>
      <queryTableField id="8" name="id_mod3" tableColumnId="8"/>
      <queryTableField id="9" name="Modification_3" tableColumnId="9"/>
      <queryTableField id="10" name="Length" tableColumnId="10"/>
      <queryTableField id="11" name="Formula" tableColumnId="11"/>
      <queryTableField id="12" name="ExactMS" tableColumnId="12"/>
      <queryTableField id="13" name="Mol.W." tableColumnId="13"/>
      <queryTableField id="14" name="Extinct" tableColumnId="14"/>
      <queryTableField id="15" name="nmol/OD" tableColumnId="15"/>
      <queryTableField id="16" name="µg/OD" tableColumnId="16"/>
      <queryTableField id="17" name="Sequence(OP)" tableColumnId="17"/>
      <queryTableField id="18" name="sequence_gd" tableColumnId="18"/>
      <queryTableField id="19" name="Block-01" tableColumnId="19"/>
      <queryTableField id="20" name="Block-02" tableColumnId="20"/>
      <queryTableField id="21" name="Block-03" tableColumnId="21"/>
      <queryTableField id="22" name="Block-04" tableColumnId="22"/>
      <queryTableField id="23" name="Block-05" tableColumnId="23"/>
      <queryTableField id="24" name="Block-06" tableColumnId="24"/>
      <queryTableField id="25" name="Block-07" tableColumnId="25"/>
      <queryTableField id="26" name="Block-08" tableColumnId="26"/>
      <queryTableField id="27" name="Block-09" tableColumnId="27"/>
      <queryTableField id="28" name="Block-10" tableColumnId="28"/>
      <queryTableField id="29" name="Block-11" tableColumnId="29"/>
      <queryTableField id="30" name="Block-12" tableColumnId="30"/>
      <queryTableField id="31" name="Block-13" tableColumnId="31"/>
      <queryTableField id="32" name="Block-14" tableColumnId="32"/>
      <queryTableField id="33" name="Block-15" tableColumnId="33"/>
      <queryTableField id="34" name="Block-16" tableColumnId="34"/>
      <queryTableField id="35" name="Block-17" tableColumnId="35"/>
      <queryTableField id="36" name="Block-18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2" xr16:uid="{6870EED2-483B-490D-ACA3-9FC5084695F0}" autoFormatId="20" applyNumberFormats="0" applyBorderFormats="0" applyFontFormats="0" applyPatternFormats="0" applyAlignmentFormats="0" applyWidthHeightFormats="0">
  <queryTableRefresh nextId="28">
    <queryTableFields count="27">
      <queryTableField id="1" name="id_modification" tableColumnId="1"/>
      <queryTableField id="2" name="num" tableColumnId="2"/>
      <queryTableField id="3" name="name" tableColumnId="3"/>
      <queryTableField id="4" name="link" tableColumnId="4"/>
      <queryTableField id="5" name="登録日" tableColumnId="5"/>
      <queryTableField id="6" name="登録者" tableColumnId="6"/>
      <queryTableField id="7" name="確認日" tableColumnId="7"/>
      <queryTableField id="8" name="確認者" tableColumnId="8"/>
      <queryTableField id="9" name="memo" tableColumnId="9"/>
      <queryTableField id="10" name="ligand" tableColumnId="10"/>
      <queryTableField id="11" name="note_ligand" tableColumnId="11"/>
      <queryTableField id="12" name="extinction" tableColumnId="12"/>
      <queryTableField id="13" name="ref" tableColumnId="13"/>
      <queryTableField id="14" name="note_for_gd" tableColumnId="14"/>
      <queryTableField id="15" name="note_for_ns" tableColumnId="15"/>
      <queryTableField id="16" name="C" tableColumnId="16"/>
      <queryTableField id="17" name="H" tableColumnId="17"/>
      <queryTableField id="18" name="B" tableColumnId="18"/>
      <queryTableField id="19" name="Cl" tableColumnId="19"/>
      <queryTableField id="20" name="F" tableColumnId="20"/>
      <queryTableField id="21" name="K" tableColumnId="21"/>
      <queryTableField id="22" name="N" tableColumnId="22"/>
      <queryTableField id="23" name="Na" tableColumnId="23"/>
      <queryTableField id="24" name="O" tableColumnId="24"/>
      <queryTableField id="25" name="P" tableColumnId="25"/>
      <queryTableField id="26" name="S" tableColumnId="26"/>
      <queryTableField id="27" name="Si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3" xr16:uid="{74A504B9-50BF-4E70-8805-7C2AFF8E4F23}" autoFormatId="20" applyNumberFormats="0" applyBorderFormats="0" applyFontFormats="0" applyPatternFormats="0" applyAlignmentFormats="0" applyWidthHeightFormats="0">
  <queryTableRefresh nextId="29">
    <queryTableFields count="28">
      <queryTableField id="1" name="id_modification" tableColumnId="1"/>
      <queryTableField id="2" name="num" tableColumnId="2"/>
      <queryTableField id="3" name="name" tableColumnId="3"/>
      <queryTableField id="4" name="link" tableColumnId="4"/>
      <queryTableField id="5" name="登録日" tableColumnId="5"/>
      <queryTableField id="6" name="登録者" tableColumnId="6"/>
      <queryTableField id="7" name="確認日" tableColumnId="7"/>
      <queryTableField id="8" name="確認者" tableColumnId="8"/>
      <queryTableField id="9" name="memo" tableColumnId="9"/>
      <queryTableField id="10" name="ligand" tableColumnId="10"/>
      <queryTableField id="11" name="note_ligand" tableColumnId="11"/>
      <queryTableField id="12" name="extinction" tableColumnId="12"/>
      <queryTableField id="13" name="ref" tableColumnId="13"/>
      <queryTableField id="14" name="name2" tableColumnId="14"/>
      <queryTableField id="15" name="note_for_gd" tableColumnId="15"/>
      <queryTableField id="16" name="note_for_ns" tableColumnId="16"/>
      <queryTableField id="17" name="C" tableColumnId="17"/>
      <queryTableField id="18" name="H" tableColumnId="18"/>
      <queryTableField id="19" name="B" tableColumnId="19"/>
      <queryTableField id="20" name="Cl" tableColumnId="20"/>
      <queryTableField id="21" name="F" tableColumnId="21"/>
      <queryTableField id="22" name="K" tableColumnId="22"/>
      <queryTableField id="23" name="N" tableColumnId="23"/>
      <queryTableField id="24" name="Na" tableColumnId="24"/>
      <queryTableField id="25" name="O" tableColumnId="25"/>
      <queryTableField id="26" name="P" tableColumnId="26"/>
      <queryTableField id="27" name="S" tableColumnId="27"/>
      <queryTableField id="28" name="Si" tableColumnId="2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4" xr16:uid="{1A16CE03-B9DD-4564-979B-568153ED5DC5}" autoFormatId="20" applyNumberFormats="0" applyBorderFormats="0" applyFontFormats="0" applyPatternFormats="0" applyAlignmentFormats="0" applyWidthHeightFormats="0">
  <queryTableRefresh nextId="18">
    <queryTableFields count="16">
      <queryTableField id="2" name="ID" tableColumnId="2"/>
      <queryTableField id="3" name="name" tableColumnId="3"/>
      <queryTableField id="4" name="手動調整" tableColumnId="4"/>
      <queryTableField id="5" name="sugar_wing" tableColumnId="5"/>
      <queryTableField id="6" name="sugar_gap" tableColumnId="6"/>
      <queryTableField id="7" name="link_wing" tableColumnId="7"/>
      <queryTableField id="8" name="link_gap" tableColumnId="8"/>
      <queryTableField id="9" name="wing5" tableColumnId="9"/>
      <queryTableField id="10" name="wing3" tableColumnId="10"/>
      <queryTableField id="11" name="sequence_ns" tableColumnId="11"/>
      <queryTableField id="12" name="sequence_gd" tableColumnId="12"/>
      <queryTableField id="13" name="確認日" tableColumnId="13"/>
      <queryTableField id="14" name="確認者" tableColumnId="14"/>
      <queryTableField id="15" name="手動NS配列" tableColumnId="15"/>
      <queryTableField id="16" name="手動GD配列" tableColumnId="16"/>
      <queryTableField id="17" name="手動変更者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6AD6E7-1E9F-422A-80E3-258FFC769DDC}" name="DB12_ss_oligonucleotide" displayName="DB12_ss_oligonucleotide" ref="A1:AJ21" tableType="queryTable" totalsRowShown="0" headerRowDxfId="84" dataDxfId="83">
  <autoFilter ref="A1:AJ21" xr:uid="{D86AD6E7-1E9F-422A-80E3-258FFC769DDC}"/>
  <tableColumns count="36">
    <tableColumn id="1" xr3:uid="{A6ECA813-9ECC-40A3-A175-88A7744AE89F}" uniqueName="1" name="ID Sequence" queryTableFieldId="1" dataDxfId="38"/>
    <tableColumn id="2" xr3:uid="{5269A0FC-1DA2-42C1-BE14-6276FAD48BB8}" uniqueName="2" name="Name" queryTableFieldId="2" dataDxfId="37"/>
    <tableColumn id="3" xr3:uid="{C04B12E6-5D94-450E-BE6B-D5123E94FAA2}" uniqueName="3" name="memo" queryTableFieldId="3" dataDxfId="36"/>
    <tableColumn id="4" xr3:uid="{3CE2A791-FAC8-4A91-B9D5-429BB557E872}" uniqueName="4" name="id_mod5" queryTableFieldId="4" dataDxfId="35"/>
    <tableColumn id="5" xr3:uid="{2872076F-09B4-4257-B91F-ED8F956F664E}" uniqueName="5" name="Modification_5" queryTableFieldId="5" dataDxfId="34"/>
    <tableColumn id="6" xr3:uid="{7F0DAD4D-7D89-462E-A0B6-7749F0EFD221}" uniqueName="6" name="id_baseline" queryTableFieldId="6" dataDxfId="33"/>
    <tableColumn id="7" xr3:uid="{0FACAD4F-F427-44D6-A630-45D6879E5EE2}" uniqueName="7" name="sequence_ns" queryTableFieldId="7" dataDxfId="32"/>
    <tableColumn id="8" xr3:uid="{97BA1055-814E-4BB8-838E-42CA6E3DFC69}" uniqueName="8" name="id_mod3" queryTableFieldId="8" dataDxfId="31"/>
    <tableColumn id="9" xr3:uid="{9E9D5D37-06D7-4F9E-A83E-2C44B7D2171D}" uniqueName="9" name="Modification_3" queryTableFieldId="9" dataDxfId="30"/>
    <tableColumn id="10" xr3:uid="{E8C35E4E-8DDF-4359-9C5C-00CE6D01C91B}" uniqueName="10" name="Length" queryTableFieldId="10" dataDxfId="29"/>
    <tableColumn id="11" xr3:uid="{A058C04D-7330-4902-B36B-C5B34CA85EB2}" uniqueName="11" name="Formula" queryTableFieldId="11" dataDxfId="28"/>
    <tableColumn id="12" xr3:uid="{D7670C22-1B86-4B86-9E50-A672C87E0EDC}" uniqueName="12" name="ExactMS" queryTableFieldId="12" dataDxfId="27"/>
    <tableColumn id="13" xr3:uid="{C3D4AA92-E541-48DD-9CC8-59D6B495C19C}" uniqueName="13" name="Mol.W." queryTableFieldId="13" dataDxfId="26"/>
    <tableColumn id="14" xr3:uid="{35AC6804-93BA-4D7D-B1D2-6074C6DB368C}" uniqueName="14" name="Extinct" queryTableFieldId="14" dataDxfId="25"/>
    <tableColumn id="15" xr3:uid="{C449A7E9-F363-4502-ABF3-2E9E8FF6C105}" uniqueName="15" name="nmol/OD" queryTableFieldId="15" dataDxfId="24"/>
    <tableColumn id="16" xr3:uid="{69D1E198-BE25-49DE-AB5C-EE39BD819603}" uniqueName="16" name="µg/OD" queryTableFieldId="16" dataDxfId="23"/>
    <tableColumn id="17" xr3:uid="{7E846294-26F6-419C-A117-74284FC058AA}" uniqueName="17" name="Sequence(OP)" queryTableFieldId="17" dataDxfId="22"/>
    <tableColumn id="18" xr3:uid="{1F7AB598-FEDA-44E6-BACE-8DEBA9AE8AAE}" uniqueName="18" name="sequence_gd" queryTableFieldId="18" dataDxfId="21"/>
    <tableColumn id="19" xr3:uid="{0614CE2A-3D18-46EB-B71D-7809B89E8DC8}" uniqueName="19" name="Block-01" queryTableFieldId="19" dataDxfId="20"/>
    <tableColumn id="20" xr3:uid="{98C0462A-58B4-4F8F-9746-4A6226188BC1}" uniqueName="20" name="Block-02" queryTableFieldId="20" dataDxfId="19"/>
    <tableColumn id="21" xr3:uid="{E1704398-B5CF-45F6-8DA8-96F5BAF5DB33}" uniqueName="21" name="Block-03" queryTableFieldId="21" dataDxfId="18"/>
    <tableColumn id="22" xr3:uid="{A8AE6D0E-D8A2-4FF6-B658-255266A071A5}" uniqueName="22" name="Block-04" queryTableFieldId="22" dataDxfId="17"/>
    <tableColumn id="23" xr3:uid="{64313DF8-F163-449F-AA40-927411AB9869}" uniqueName="23" name="Block-05" queryTableFieldId="23" dataDxfId="16"/>
    <tableColumn id="24" xr3:uid="{6247B396-27FC-4E9B-B154-D703F14AA8C7}" uniqueName="24" name="Block-06" queryTableFieldId="24" dataDxfId="15"/>
    <tableColumn id="25" xr3:uid="{892FA0A2-ECF8-40BF-83BA-A8044730B809}" uniqueName="25" name="Block-07" queryTableFieldId="25" dataDxfId="14"/>
    <tableColumn id="26" xr3:uid="{D7E0F334-26F9-41F9-8E76-80AE2AA7D416}" uniqueName="26" name="Block-08" queryTableFieldId="26" dataDxfId="13"/>
    <tableColumn id="27" xr3:uid="{4ECC7623-EA01-4991-8BCF-239F4C63415A}" uniqueName="27" name="Block-09" queryTableFieldId="27" dataDxfId="12"/>
    <tableColumn id="28" xr3:uid="{51594B64-133F-486E-8C0A-8867EECFD6E0}" uniqueName="28" name="Block-10" queryTableFieldId="28" dataDxfId="11"/>
    <tableColumn id="29" xr3:uid="{838DCC5F-1202-423D-B389-0C5E69EDF1B4}" uniqueName="29" name="Block-11" queryTableFieldId="29" dataDxfId="10"/>
    <tableColumn id="30" xr3:uid="{82B86E9F-B3EF-44A9-8EAA-15ACAAA5AF34}" uniqueName="30" name="Block-12" queryTableFieldId="30" dataDxfId="9"/>
    <tableColumn id="31" xr3:uid="{FB37E944-5FFA-4641-979E-4C6E1F1DA238}" uniqueName="31" name="Block-13" queryTableFieldId="31" dataDxfId="8"/>
    <tableColumn id="32" xr3:uid="{7D011A92-EC1F-4D93-8DCF-223C9739B936}" uniqueName="32" name="Block-14" queryTableFieldId="32" dataDxfId="7"/>
    <tableColumn id="33" xr3:uid="{C3C40018-4BBC-47AC-B086-509FCE08B9F2}" uniqueName="33" name="Block-15" queryTableFieldId="33" dataDxfId="6"/>
    <tableColumn id="34" xr3:uid="{2CC36C94-AD5A-4B06-96ED-51F112AE0219}" uniqueName="34" name="Block-16" queryTableFieldId="34" dataDxfId="5"/>
    <tableColumn id="35" xr3:uid="{3AA4656C-9C56-46DB-B76E-E1797EF37DCA}" uniqueName="35" name="Block-17" queryTableFieldId="35" dataDxfId="4"/>
    <tableColumn id="36" xr3:uid="{118BAF7F-09C5-45DB-B728-209DFA9B5063}" uniqueName="36" name="Block-18" queryTableFieldId="3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C55355-BED6-47B5-8FC6-24A0C62CACFE}" name="table_sequence" displayName="table_sequence" ref="A1:L21" totalsRowShown="0" headerRowDxfId="82" dataDxfId="81">
  <autoFilter ref="A1:L21" xr:uid="{E939B5C6-0910-4A13-B79F-3FF528BDC573}"/>
  <tableColumns count="12">
    <tableColumn id="1" xr3:uid="{8B51E7FD-C3A4-4895-A68B-E89D7FBD03D7}" name="id_sequence" dataDxfId="80">
      <calculatedColumnFormula>"12-"&amp;LEFT(RIGHTB(REPT(0,4)&amp;_xlfn.BASE(table_sequence[[#This Row],[num]],36),4),2)&amp;"-"&amp;RIGHT(RIGHTB(REPT(0,4)&amp;_xlfn.BASE(table_sequence[[#This Row],[num]],36),4),2)</calculatedColumnFormula>
    </tableColumn>
    <tableColumn id="2" xr3:uid="{C4423AC4-41AA-4198-92BA-5E59F8EFD289}" name="num" dataDxfId="79"/>
    <tableColumn id="4" xr3:uid="{DFA15D1A-D7A0-46E2-8769-34725C7E7106}" name="name" dataDxfId="78">
      <calculatedColumnFormula array="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calculatedColumnFormula>
    </tableColumn>
    <tableColumn id="15" xr3:uid="{98F7FC6D-243B-45F6-9003-040436A303AC}" name="baseline_sequence" dataDxfId="77"/>
    <tableColumn id="6" xr3:uid="{AE4355C3-116E-4F25-B2F8-D46B032E4A52}" name="登録日" dataDxfId="76"/>
    <tableColumn id="10" xr3:uid="{6806FB43-B7F6-487D-A8BA-F37F30EE96B9}" name="登録者" dataDxfId="75"/>
    <tableColumn id="9" xr3:uid="{C9D3245D-219C-4A55-BD47-3514064B16FF}" name="確認日" dataDxfId="74"/>
    <tableColumn id="8" xr3:uid="{C0F4462F-28A0-4AD9-8EF1-DE2939BC1BAB}" name="確認者" dataDxfId="73"/>
    <tableColumn id="3" xr3:uid="{08CBE06E-23D7-4852-882E-0AAF239626E6}" name="memo" dataDxfId="72"/>
    <tableColumn id="11" xr3:uid="{32F6CB07-03FB-495B-A6B5-4A33ACA3BB37}" name="modification_5" dataDxfId="71"/>
    <tableColumn id="12" xr3:uid="{B8E68364-8C50-4557-83E3-F18243D37365}" name="sequence" dataDxfId="70">
      <calculatedColumnFormula array="1">VLOOKUP(LEFT(table_sequence[[#This Row],[baseline_sequence]],8),DB17_baselinesequence[],COLUMN(DB17_baselinesequence[sequence_ns]),FALSE)</calculatedColumnFormula>
    </tableColumn>
    <tableColumn id="13" xr3:uid="{83D81B8F-26EA-4D04-9563-0C6D785AD16E}" name="modification_3" dataDxfId="69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FF088-6326-443E-8AC3-3C069EEAEB4B}" name="DB14_Modification5" displayName="DB14_Modification5" ref="A1:AA3" tableType="queryTable" totalsRowShown="0">
  <autoFilter ref="A1:AA3" xr:uid="{563FF088-6326-443E-8AC3-3C069EEAEB4B}"/>
  <tableColumns count="27">
    <tableColumn id="1" xr3:uid="{8FAD40A5-CBBE-4CF0-B26F-BA999AFDB801}" uniqueName="1" name="id_modification" queryTableFieldId="1" dataDxfId="68"/>
    <tableColumn id="2" xr3:uid="{EF14A2B6-F706-4C1A-9679-09E5581442A1}" uniqueName="2" name="num" queryTableFieldId="2"/>
    <tableColumn id="3" xr3:uid="{1913291A-2224-42FD-BDC7-C7CC28924EFA}" uniqueName="3" name="name" queryTableFieldId="3" dataDxfId="67"/>
    <tableColumn id="4" xr3:uid="{DA97FD54-6A2F-4DDB-87A5-7A492FD1D173}" uniqueName="4" name="link" queryTableFieldId="4" dataDxfId="66"/>
    <tableColumn id="5" xr3:uid="{A1193212-2D3A-4024-8C61-28A14C8F2791}" uniqueName="5" name="登録日" queryTableFieldId="5" dataDxfId="2"/>
    <tableColumn id="6" xr3:uid="{70120E0A-D914-458C-B978-A18167B2FB0F}" uniqueName="6" name="登録者" queryTableFieldId="6" dataDxfId="65"/>
    <tableColumn id="7" xr3:uid="{4B1349BB-B314-4AE7-A95B-7E36CB73C684}" uniqueName="7" name="確認日" queryTableFieldId="7"/>
    <tableColumn id="8" xr3:uid="{69D840F2-7348-4448-9C54-CEBB613A9343}" uniqueName="8" name="確認者" queryTableFieldId="8"/>
    <tableColumn id="9" xr3:uid="{E351FC76-8927-47C0-AA8B-E4E527B7832B}" uniqueName="9" name="memo" queryTableFieldId="9" dataDxfId="64"/>
    <tableColumn id="10" xr3:uid="{63C564A4-B109-47CA-973D-9FB6DF021EB6}" uniqueName="10" name="ligand" queryTableFieldId="10" dataDxfId="63"/>
    <tableColumn id="11" xr3:uid="{255DC133-DF30-478F-89D5-78DD00D8D37D}" uniqueName="11" name="note_ligand" queryTableFieldId="11" dataDxfId="62"/>
    <tableColumn id="12" xr3:uid="{64F8812A-7E9F-4C44-A1D4-01E5E9280FAA}" uniqueName="12" name="extinction" queryTableFieldId="12"/>
    <tableColumn id="13" xr3:uid="{B01115CA-0457-4458-8480-26F9F55766A4}" uniqueName="13" name="ref" queryTableFieldId="13" dataDxfId="61"/>
    <tableColumn id="14" xr3:uid="{8D041557-BE26-4B05-B023-CD41676FB893}" uniqueName="14" name="note_for_gd" queryTableFieldId="14" dataDxfId="60"/>
    <tableColumn id="15" xr3:uid="{C80BB5D0-27D2-47E7-83DE-AD156219C981}" uniqueName="15" name="note_for_ns" queryTableFieldId="15" dataDxfId="59"/>
    <tableColumn id="16" xr3:uid="{30B607C0-6883-4C76-97AD-80568222CDB0}" uniqueName="16" name="C" queryTableFieldId="16"/>
    <tableColumn id="17" xr3:uid="{826FF825-6DB3-4FA7-8CFA-827953D615FE}" uniqueName="17" name="H" queryTableFieldId="17"/>
    <tableColumn id="18" xr3:uid="{282356FD-E3F0-4A56-A115-7896F479E88B}" uniqueName="18" name="B" queryTableFieldId="18"/>
    <tableColumn id="19" xr3:uid="{C31DB0CE-B1C2-435F-AD29-8C4839CBF814}" uniqueName="19" name="Cl" queryTableFieldId="19"/>
    <tableColumn id="20" xr3:uid="{11C788C7-4672-441F-BD79-0D3AEBB97501}" uniqueName="20" name="F" queryTableFieldId="20"/>
    <tableColumn id="21" xr3:uid="{CAE9B346-F415-4836-AA4C-01A854B40726}" uniqueName="21" name="K" queryTableFieldId="21"/>
    <tableColumn id="22" xr3:uid="{CA774AFA-EDC8-4CB7-809F-D221F2F5A76D}" uniqueName="22" name="N" queryTableFieldId="22"/>
    <tableColumn id="23" xr3:uid="{1D953A18-DC55-4868-ADAA-BB68BE258C87}" uniqueName="23" name="Na" queryTableFieldId="23"/>
    <tableColumn id="24" xr3:uid="{86EF9E8E-F25D-4C4D-9EBD-A830A9421C85}" uniqueName="24" name="O" queryTableFieldId="24"/>
    <tableColumn id="25" xr3:uid="{0A84F60A-3F4A-4A84-994E-6C287260DD52}" uniqueName="25" name="P" queryTableFieldId="25"/>
    <tableColumn id="26" xr3:uid="{E2E0334B-15B1-48FC-9458-C2AF0DC51217}" uniqueName="26" name="S" queryTableFieldId="26"/>
    <tableColumn id="27" xr3:uid="{E2AC063F-931F-4B56-A85B-700CF8655CFD}" uniqueName="27" name="Si" queryTableField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F54BC-F8EA-4E94-BE9C-50630494563F}" name="DB15_modification3" displayName="DB15_modification3" ref="A1:AB4" tableType="queryTable" totalsRowShown="0">
  <autoFilter ref="A1:AB4" xr:uid="{694F54BC-F8EA-4E94-BE9C-50630494563F}"/>
  <tableColumns count="28">
    <tableColumn id="1" xr3:uid="{EFFED84C-1872-4AEC-AAC2-C9517B4F703E}" uniqueName="1" name="id_modification" queryTableFieldId="1" dataDxfId="58"/>
    <tableColumn id="2" xr3:uid="{2D7E5EC5-AD47-428A-9444-A3009AFD122C}" uniqueName="2" name="num" queryTableFieldId="2"/>
    <tableColumn id="3" xr3:uid="{F8F55144-A9FA-4382-88B4-AD4275C245C1}" uniqueName="3" name="name" queryTableFieldId="3" dataDxfId="57"/>
    <tableColumn id="4" xr3:uid="{D4438DB3-FAC0-449B-BFF2-F6D823650456}" uniqueName="4" name="link" queryTableFieldId="4" dataDxfId="56"/>
    <tableColumn id="5" xr3:uid="{5033D73A-8083-481B-9C2B-575AD1F48A1C}" uniqueName="5" name="登録日" queryTableFieldId="5" dataDxfId="1"/>
    <tableColumn id="6" xr3:uid="{F118166F-E156-423E-818D-DC2DFEBE640F}" uniqueName="6" name="登録者" queryTableFieldId="6" dataDxfId="55"/>
    <tableColumn id="7" xr3:uid="{0227DEFC-B396-4737-8B4C-9631D665ADAD}" uniqueName="7" name="確認日" queryTableFieldId="7"/>
    <tableColumn id="8" xr3:uid="{BDD7261A-9ECF-4CF5-98E5-866660E76A15}" uniqueName="8" name="確認者" queryTableFieldId="8"/>
    <tableColumn id="9" xr3:uid="{E8157855-BD79-48AA-91D9-97D73FEC392D}" uniqueName="9" name="memo" queryTableFieldId="9"/>
    <tableColumn id="10" xr3:uid="{2F0A953C-5D23-4749-8E6F-8ADB555F9187}" uniqueName="10" name="ligand" queryTableFieldId="10" dataDxfId="54"/>
    <tableColumn id="11" xr3:uid="{39E828F3-1F5E-4EBB-88A8-6034910B68F4}" uniqueName="11" name="note_ligand" queryTableFieldId="11"/>
    <tableColumn id="12" xr3:uid="{A0F838F2-CAE0-4F27-B7D5-30A2D7150F2B}" uniqueName="12" name="extinction" queryTableFieldId="12"/>
    <tableColumn id="13" xr3:uid="{9F624716-D5D8-439D-82A1-2C3F79096D28}" uniqueName="13" name="ref" queryTableFieldId="13"/>
    <tableColumn id="14" xr3:uid="{8325EEF4-C728-40B3-809D-8AE81CB47F3D}" uniqueName="14" name="name2" queryTableFieldId="14" dataDxfId="53"/>
    <tableColumn id="15" xr3:uid="{4DD19867-3847-4F0C-AC72-53ADD3C2618A}" uniqueName="15" name="note_for_gd" queryTableFieldId="15" dataDxfId="52"/>
    <tableColumn id="16" xr3:uid="{DE64078C-9118-4F97-8351-BC40E8B6A587}" uniqueName="16" name="note_for_ns" queryTableFieldId="16" dataDxfId="51"/>
    <tableColumn id="17" xr3:uid="{A79DCE18-A2A1-4628-AE55-4B14754B2E48}" uniqueName="17" name="C" queryTableFieldId="17"/>
    <tableColumn id="18" xr3:uid="{F490CA9B-CAFE-4BE6-AE84-5613C4D1B24E}" uniqueName="18" name="H" queryTableFieldId="18"/>
    <tableColumn id="19" xr3:uid="{C8E440F8-8FC2-43BA-9B53-6EFFDF9AA2C9}" uniqueName="19" name="B" queryTableFieldId="19"/>
    <tableColumn id="20" xr3:uid="{6C7F7244-1BF7-485C-AA31-2099CEA22570}" uniqueName="20" name="Cl" queryTableFieldId="20"/>
    <tableColumn id="21" xr3:uid="{55650AE7-2F11-402D-8B07-D9E4A77B43F1}" uniqueName="21" name="F" queryTableFieldId="21"/>
    <tableColumn id="22" xr3:uid="{E851E6C3-74D5-41BC-B7D3-22B5BBA5D39D}" uniqueName="22" name="K" queryTableFieldId="22"/>
    <tableColumn id="23" xr3:uid="{6E46243D-93A8-4F07-B292-D7E8D6A0D9B0}" uniqueName="23" name="N" queryTableFieldId="23"/>
    <tableColumn id="24" xr3:uid="{AD9295D9-4719-455A-B366-BC225ED5E1A8}" uniqueName="24" name="Na" queryTableFieldId="24"/>
    <tableColumn id="25" xr3:uid="{CF76D4E4-2A34-4832-B63B-2401F5EE231C}" uniqueName="25" name="O" queryTableFieldId="25"/>
    <tableColumn id="26" xr3:uid="{30DFCEC2-45C1-4157-8821-537915657177}" uniqueName="26" name="P" queryTableFieldId="26"/>
    <tableColumn id="27" xr3:uid="{B9AE8810-3319-4096-9D0E-DD32AF232C56}" uniqueName="27" name="S" queryTableFieldId="27"/>
    <tableColumn id="28" xr3:uid="{A39A8529-76F1-4AE1-8DBD-267F0C79B75B}" uniqueName="28" name="Si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928436-9909-4045-A32C-A27568718FDA}" name="DB17_baselinesequence" displayName="DB17_baselinesequence" ref="A1:P20" tableType="queryTable" totalsRowShown="0">
  <autoFilter ref="A1:P20" xr:uid="{E4928436-9909-4045-A32C-A27568718FDA}"/>
  <tableColumns count="16">
    <tableColumn id="2" xr3:uid="{4EC12886-9268-4C64-B0AC-ADF718BBD039}" uniqueName="2" name="ID" queryTableFieldId="2" dataDxfId="50"/>
    <tableColumn id="3" xr3:uid="{FED8B3F9-C7AC-479A-82AF-5404E9884884}" uniqueName="3" name="name" queryTableFieldId="3" dataDxfId="49"/>
    <tableColumn id="4" xr3:uid="{2B88FDFB-65D6-4101-A814-7829BAD61C10}" uniqueName="4" name="手動調整" queryTableFieldId="4"/>
    <tableColumn id="5" xr3:uid="{5FA9996B-8F16-4489-90E7-9D38EB50D79D}" uniqueName="5" name="sugar_wing" queryTableFieldId="5" dataDxfId="48"/>
    <tableColumn id="6" xr3:uid="{FFC60B67-3CCC-458A-824F-961E063D7653}" uniqueName="6" name="sugar_gap" queryTableFieldId="6" dataDxfId="47"/>
    <tableColumn id="7" xr3:uid="{088E0472-50D5-4AF3-AA81-361B54EA4972}" uniqueName="7" name="link_wing" queryTableFieldId="7" dataDxfId="46"/>
    <tableColumn id="8" xr3:uid="{462E4AD8-0606-4259-A7F3-F6717918A016}" uniqueName="8" name="link_gap" queryTableFieldId="8" dataDxfId="45"/>
    <tableColumn id="9" xr3:uid="{FA01395E-2230-4B86-809D-00B9C290B670}" uniqueName="9" name="wing5" queryTableFieldId="9"/>
    <tableColumn id="10" xr3:uid="{420CE497-F281-4D69-B2C0-51AE5E52EB17}" uniqueName="10" name="wing3" queryTableFieldId="10"/>
    <tableColumn id="11" xr3:uid="{55CEA8EC-4D48-4668-95E9-752CFD63C791}" uniqueName="11" name="sequence_ns" queryTableFieldId="11" dataDxfId="44"/>
    <tableColumn id="12" xr3:uid="{1D9B1820-729C-4681-B52C-A88B368CD9FA}" uniqueName="12" name="sequence_gd" queryTableFieldId="12" dataDxfId="43"/>
    <tableColumn id="13" xr3:uid="{E4237CD4-F7D4-4B46-ACB6-F64A3128196D}" uniqueName="13" name="確認日" queryTableFieldId="13" dataDxfId="0"/>
    <tableColumn id="14" xr3:uid="{748351B7-CB2B-461E-A6C0-3986325EC525}" uniqueName="14" name="確認者" queryTableFieldId="14"/>
    <tableColumn id="15" xr3:uid="{E4DB1781-63F4-43BA-9CA9-C4668BB90FF1}" uniqueName="15" name="手動NS配列" queryTableFieldId="15"/>
    <tableColumn id="16" xr3:uid="{6BC34F89-B852-40A1-A52E-CA5217919CAD}" uniqueName="16" name="手動GD配列" queryTableFieldId="16"/>
    <tableColumn id="17" xr3:uid="{B1BC6F1D-6DF2-47A5-8E79-E1B24B5C2F86}" uniqueName="17" name="手動変更者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8A9C-1B6B-477B-A1D4-E765D12F89D3}">
  <dimension ref="A1:AJ21"/>
  <sheetViews>
    <sheetView tabSelected="1" zoomScale="85" zoomScaleNormal="85" workbookViewId="0">
      <selection activeCell="B8" sqref="B8"/>
    </sheetView>
  </sheetViews>
  <sheetFormatPr defaultColWidth="8.88671875" defaultRowHeight="17.25" x14ac:dyDescent="0.25"/>
  <cols>
    <col min="1" max="1" width="14.21875" style="1" bestFit="1" customWidth="1"/>
    <col min="2" max="2" width="30.21875" style="1" bestFit="1" customWidth="1"/>
    <col min="3" max="3" width="8.77734375" style="1" bestFit="1" customWidth="1"/>
    <col min="4" max="4" width="11" style="1" bestFit="1" customWidth="1"/>
    <col min="5" max="5" width="16.88671875" style="1" bestFit="1" customWidth="1"/>
    <col min="6" max="6" width="13.44140625" style="1" bestFit="1" customWidth="1"/>
    <col min="7" max="7" width="80.88671875" style="1" bestFit="1" customWidth="1"/>
    <col min="8" max="8" width="11" style="1" bestFit="1" customWidth="1"/>
    <col min="9" max="9" width="16.88671875" style="1" bestFit="1" customWidth="1"/>
    <col min="10" max="10" width="9.21875" style="1" bestFit="1" customWidth="1"/>
    <col min="11" max="11" width="24.109375" style="1" bestFit="1" customWidth="1"/>
    <col min="12" max="13" width="12.77734375" style="1" bestFit="1" customWidth="1"/>
    <col min="14" max="14" width="9.5546875" style="1" bestFit="1" customWidth="1"/>
    <col min="15" max="16" width="12.77734375" style="1" bestFit="1" customWidth="1"/>
    <col min="17" max="17" width="42.109375" style="1" bestFit="1" customWidth="1"/>
    <col min="18" max="18" width="80.88671875" style="1" bestFit="1" customWidth="1"/>
    <col min="19" max="19" width="12.109375" style="1" bestFit="1" customWidth="1"/>
    <col min="20" max="36" width="11.21875" style="1" bestFit="1" customWidth="1"/>
    <col min="37" max="16384" width="8.88671875" style="1"/>
  </cols>
  <sheetData>
    <row r="1" spans="1:36" x14ac:dyDescent="0.25">
      <c r="A1" s="1" t="s">
        <v>49</v>
      </c>
      <c r="B1" s="1" t="s">
        <v>50</v>
      </c>
      <c r="C1" s="1" t="s">
        <v>51</v>
      </c>
      <c r="D1" s="1" t="s">
        <v>101</v>
      </c>
      <c r="E1" s="1" t="s">
        <v>52</v>
      </c>
      <c r="F1" s="1" t="s">
        <v>102</v>
      </c>
      <c r="G1" s="1" t="s">
        <v>25</v>
      </c>
      <c r="H1" s="1" t="s">
        <v>103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26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</row>
    <row r="2" spans="1:36" x14ac:dyDescent="0.25">
      <c r="A2" s="1" t="s">
        <v>180</v>
      </c>
      <c r="B2" s="1" t="s">
        <v>243</v>
      </c>
      <c r="C2" s="1" t="s">
        <v>29</v>
      </c>
      <c r="D2" s="1" t="s">
        <v>223</v>
      </c>
      <c r="E2" s="1" t="s">
        <v>2</v>
      </c>
      <c r="F2" s="1" t="s">
        <v>133</v>
      </c>
      <c r="G2" s="1" t="s">
        <v>137</v>
      </c>
      <c r="H2" s="1" t="s">
        <v>217</v>
      </c>
      <c r="I2" s="1" t="s">
        <v>2</v>
      </c>
      <c r="J2" s="1">
        <v>13</v>
      </c>
      <c r="K2" s="1" t="s">
        <v>181</v>
      </c>
      <c r="L2" s="1">
        <v>4004.1645641483301</v>
      </c>
      <c r="M2" s="1">
        <v>4003.6643239760001</v>
      </c>
      <c r="N2" s="1">
        <v>131310</v>
      </c>
      <c r="O2" s="1">
        <v>7.6155662173482597</v>
      </c>
      <c r="P2" s="1">
        <v>30.490170771274087</v>
      </c>
      <c r="Q2" s="1" t="s">
        <v>182</v>
      </c>
      <c r="R2" s="1" t="s">
        <v>138</v>
      </c>
      <c r="S2" s="1" t="s">
        <v>265</v>
      </c>
      <c r="T2" s="1" t="s">
        <v>85</v>
      </c>
      <c r="U2" s="1" t="s">
        <v>85</v>
      </c>
      <c r="V2" s="1" t="s">
        <v>87</v>
      </c>
      <c r="W2" s="1" t="s">
        <v>85</v>
      </c>
      <c r="X2" s="1" t="s">
        <v>84</v>
      </c>
      <c r="Y2" s="1" t="s">
        <v>86</v>
      </c>
      <c r="Z2" s="1" t="s">
        <v>85</v>
      </c>
      <c r="AA2" s="1" t="s">
        <v>84</v>
      </c>
      <c r="AB2" s="1" t="s">
        <v>84</v>
      </c>
      <c r="AC2" s="1" t="s">
        <v>87</v>
      </c>
      <c r="AD2" s="1" t="s">
        <v>84</v>
      </c>
      <c r="AE2" s="1" t="s">
        <v>85</v>
      </c>
      <c r="AF2" s="1" t="s">
        <v>29</v>
      </c>
      <c r="AG2" s="1" t="s">
        <v>29</v>
      </c>
      <c r="AH2" s="1" t="s">
        <v>29</v>
      </c>
      <c r="AI2" s="1" t="s">
        <v>29</v>
      </c>
      <c r="AJ2" s="1" t="s">
        <v>29</v>
      </c>
    </row>
    <row r="3" spans="1:36" x14ac:dyDescent="0.25">
      <c r="A3" s="1" t="s">
        <v>183</v>
      </c>
      <c r="B3" s="1" t="s">
        <v>244</v>
      </c>
      <c r="C3" s="1" t="s">
        <v>29</v>
      </c>
      <c r="D3" s="1" t="s">
        <v>223</v>
      </c>
      <c r="E3" s="1" t="s">
        <v>2</v>
      </c>
      <c r="F3" s="1" t="s">
        <v>139</v>
      </c>
      <c r="G3" s="1" t="s">
        <v>119</v>
      </c>
      <c r="H3" s="1" t="s">
        <v>217</v>
      </c>
      <c r="I3" s="1" t="s">
        <v>2</v>
      </c>
      <c r="J3" s="1">
        <v>13</v>
      </c>
      <c r="K3" s="1" t="s">
        <v>88</v>
      </c>
      <c r="L3" s="1">
        <v>4144.1391372461803</v>
      </c>
      <c r="M3" s="1">
        <v>4143.7148239759999</v>
      </c>
      <c r="N3" s="1">
        <v>131310</v>
      </c>
      <c r="O3" s="1">
        <v>7.6155662173482597</v>
      </c>
      <c r="P3" s="1">
        <v>31.556734627796818</v>
      </c>
      <c r="Q3" s="1" t="s">
        <v>121</v>
      </c>
      <c r="R3" s="1" t="s">
        <v>120</v>
      </c>
      <c r="S3" s="1" t="s">
        <v>266</v>
      </c>
      <c r="T3" s="1" t="s">
        <v>80</v>
      </c>
      <c r="U3" s="1" t="s">
        <v>80</v>
      </c>
      <c r="V3" s="1" t="s">
        <v>87</v>
      </c>
      <c r="W3" s="1" t="s">
        <v>85</v>
      </c>
      <c r="X3" s="1" t="s">
        <v>84</v>
      </c>
      <c r="Y3" s="1" t="s">
        <v>86</v>
      </c>
      <c r="Z3" s="1" t="s">
        <v>85</v>
      </c>
      <c r="AA3" s="1" t="s">
        <v>84</v>
      </c>
      <c r="AB3" s="1" t="s">
        <v>84</v>
      </c>
      <c r="AC3" s="1" t="s">
        <v>87</v>
      </c>
      <c r="AD3" s="1" t="s">
        <v>82</v>
      </c>
      <c r="AE3" s="1" t="s">
        <v>80</v>
      </c>
      <c r="AF3" s="1" t="s">
        <v>29</v>
      </c>
      <c r="AG3" s="1" t="s">
        <v>29</v>
      </c>
      <c r="AH3" s="1" t="s">
        <v>29</v>
      </c>
      <c r="AI3" s="1" t="s">
        <v>29</v>
      </c>
      <c r="AJ3" s="1" t="s">
        <v>29</v>
      </c>
    </row>
    <row r="4" spans="1:36" x14ac:dyDescent="0.25">
      <c r="A4" s="1" t="s">
        <v>184</v>
      </c>
      <c r="B4" s="1" t="s">
        <v>245</v>
      </c>
      <c r="C4" s="1" t="s">
        <v>29</v>
      </c>
      <c r="D4" s="1" t="s">
        <v>223</v>
      </c>
      <c r="E4" s="1" t="s">
        <v>2</v>
      </c>
      <c r="F4" s="1" t="s">
        <v>142</v>
      </c>
      <c r="G4" s="1" t="s">
        <v>30</v>
      </c>
      <c r="H4" s="1" t="s">
        <v>217</v>
      </c>
      <c r="I4" s="1" t="s">
        <v>2</v>
      </c>
      <c r="J4" s="1">
        <v>18</v>
      </c>
      <c r="K4" s="1" t="s">
        <v>89</v>
      </c>
      <c r="L4" s="1">
        <v>5674.6675159531596</v>
      </c>
      <c r="M4" s="1">
        <v>5673.9365139660003</v>
      </c>
      <c r="N4" s="1">
        <v>211860</v>
      </c>
      <c r="O4" s="1">
        <v>4.720098178042103</v>
      </c>
      <c r="P4" s="1">
        <v>26.781537401897481</v>
      </c>
      <c r="Q4" s="1" t="s">
        <v>90</v>
      </c>
      <c r="R4" s="1" t="s">
        <v>31</v>
      </c>
      <c r="S4" s="1" t="s">
        <v>267</v>
      </c>
      <c r="T4" s="1" t="s">
        <v>87</v>
      </c>
      <c r="U4" s="1" t="s">
        <v>85</v>
      </c>
      <c r="V4" s="1" t="s">
        <v>87</v>
      </c>
      <c r="W4" s="1" t="s">
        <v>85</v>
      </c>
      <c r="X4" s="1" t="s">
        <v>85</v>
      </c>
      <c r="Y4" s="1" t="s">
        <v>85</v>
      </c>
      <c r="Z4" s="1" t="s">
        <v>87</v>
      </c>
      <c r="AA4" s="1" t="s">
        <v>85</v>
      </c>
      <c r="AB4" s="1" t="s">
        <v>87</v>
      </c>
      <c r="AC4" s="1" t="s">
        <v>85</v>
      </c>
      <c r="AD4" s="1" t="s">
        <v>85</v>
      </c>
      <c r="AE4" s="1" t="s">
        <v>84</v>
      </c>
      <c r="AF4" s="1" t="s">
        <v>87</v>
      </c>
      <c r="AG4" s="1" t="s">
        <v>87</v>
      </c>
      <c r="AH4" s="1" t="s">
        <v>87</v>
      </c>
      <c r="AI4" s="1" t="s">
        <v>85</v>
      </c>
      <c r="AJ4" s="1" t="s">
        <v>87</v>
      </c>
    </row>
    <row r="5" spans="1:36" x14ac:dyDescent="0.25">
      <c r="A5" s="1" t="s">
        <v>185</v>
      </c>
      <c r="B5" s="1" t="s">
        <v>246</v>
      </c>
      <c r="C5" s="1" t="s">
        <v>29</v>
      </c>
      <c r="D5" s="1" t="s">
        <v>223</v>
      </c>
      <c r="E5" s="1" t="s">
        <v>2</v>
      </c>
      <c r="F5" s="1" t="s">
        <v>144</v>
      </c>
      <c r="G5" s="1" t="s">
        <v>32</v>
      </c>
      <c r="H5" s="1" t="s">
        <v>217</v>
      </c>
      <c r="I5" s="1" t="s">
        <v>2</v>
      </c>
      <c r="J5" s="1">
        <v>18</v>
      </c>
      <c r="K5" s="1" t="s">
        <v>91</v>
      </c>
      <c r="L5" s="1">
        <v>7007.3295457385202</v>
      </c>
      <c r="M5" s="1">
        <v>7007.3502339660008</v>
      </c>
      <c r="N5" s="1">
        <v>211860</v>
      </c>
      <c r="O5" s="1">
        <v>4.720098178042103</v>
      </c>
      <c r="P5" s="1">
        <v>33.075381072245825</v>
      </c>
      <c r="Q5" s="1" t="s">
        <v>92</v>
      </c>
      <c r="R5" s="1" t="s">
        <v>33</v>
      </c>
      <c r="S5" s="1" t="s">
        <v>268</v>
      </c>
      <c r="T5" s="1" t="s">
        <v>81</v>
      </c>
      <c r="U5" s="1" t="s">
        <v>80</v>
      </c>
      <c r="V5" s="1" t="s">
        <v>81</v>
      </c>
      <c r="W5" s="1" t="s">
        <v>80</v>
      </c>
      <c r="X5" s="1" t="s">
        <v>80</v>
      </c>
      <c r="Y5" s="1" t="s">
        <v>80</v>
      </c>
      <c r="Z5" s="1" t="s">
        <v>81</v>
      </c>
      <c r="AA5" s="1" t="s">
        <v>80</v>
      </c>
      <c r="AB5" s="1" t="s">
        <v>81</v>
      </c>
      <c r="AC5" s="1" t="s">
        <v>80</v>
      </c>
      <c r="AD5" s="1" t="s">
        <v>80</v>
      </c>
      <c r="AE5" s="1" t="s">
        <v>82</v>
      </c>
      <c r="AF5" s="1" t="s">
        <v>81</v>
      </c>
      <c r="AG5" s="1" t="s">
        <v>81</v>
      </c>
      <c r="AH5" s="1" t="s">
        <v>81</v>
      </c>
      <c r="AI5" s="1" t="s">
        <v>80</v>
      </c>
      <c r="AJ5" s="1" t="s">
        <v>81</v>
      </c>
    </row>
    <row r="6" spans="1:36" x14ac:dyDescent="0.25">
      <c r="A6" s="1" t="s">
        <v>186</v>
      </c>
      <c r="B6" s="1" t="s">
        <v>247</v>
      </c>
      <c r="C6" s="1" t="s">
        <v>29</v>
      </c>
      <c r="D6" s="1" t="s">
        <v>223</v>
      </c>
      <c r="E6" s="1" t="s">
        <v>2</v>
      </c>
      <c r="F6" s="1" t="s">
        <v>147</v>
      </c>
      <c r="G6" s="1" t="s">
        <v>34</v>
      </c>
      <c r="H6" s="1" t="s">
        <v>217</v>
      </c>
      <c r="I6" s="1" t="s">
        <v>2</v>
      </c>
      <c r="J6" s="1">
        <v>18</v>
      </c>
      <c r="K6" s="1" t="s">
        <v>93</v>
      </c>
      <c r="L6" s="1">
        <v>5555.6443208987794</v>
      </c>
      <c r="M6" s="1">
        <v>5554.8522739660002</v>
      </c>
      <c r="N6" s="1">
        <v>196110</v>
      </c>
      <c r="O6" s="1">
        <v>5.0991790321758197</v>
      </c>
      <c r="P6" s="1">
        <v>28.3251862422416</v>
      </c>
      <c r="Q6" s="1" t="s">
        <v>94</v>
      </c>
      <c r="R6" s="1" t="s">
        <v>35</v>
      </c>
      <c r="S6" s="1" t="s">
        <v>267</v>
      </c>
      <c r="T6" s="1" t="s">
        <v>87</v>
      </c>
      <c r="U6" s="1" t="s">
        <v>86</v>
      </c>
      <c r="V6" s="1" t="s">
        <v>87</v>
      </c>
      <c r="W6" s="1" t="s">
        <v>85</v>
      </c>
      <c r="X6" s="1" t="s">
        <v>87</v>
      </c>
      <c r="Y6" s="1" t="s">
        <v>85</v>
      </c>
      <c r="Z6" s="1" t="s">
        <v>87</v>
      </c>
      <c r="AA6" s="1" t="s">
        <v>85</v>
      </c>
      <c r="AB6" s="1" t="s">
        <v>85</v>
      </c>
      <c r="AC6" s="1" t="s">
        <v>85</v>
      </c>
      <c r="AD6" s="1" t="s">
        <v>87</v>
      </c>
      <c r="AE6" s="1" t="s">
        <v>86</v>
      </c>
      <c r="AF6" s="1" t="s">
        <v>86</v>
      </c>
      <c r="AG6" s="1" t="s">
        <v>87</v>
      </c>
      <c r="AH6" s="1" t="s">
        <v>86</v>
      </c>
      <c r="AI6" s="1" t="s">
        <v>87</v>
      </c>
      <c r="AJ6" s="1" t="s">
        <v>85</v>
      </c>
    </row>
    <row r="7" spans="1:36" x14ac:dyDescent="0.25">
      <c r="A7" s="1" t="s">
        <v>187</v>
      </c>
      <c r="B7" s="1" t="s">
        <v>248</v>
      </c>
      <c r="C7" s="1" t="s">
        <v>29</v>
      </c>
      <c r="D7" s="1" t="s">
        <v>223</v>
      </c>
      <c r="E7" s="1" t="s">
        <v>2</v>
      </c>
      <c r="F7" s="1" t="s">
        <v>149</v>
      </c>
      <c r="G7" s="1" t="s">
        <v>36</v>
      </c>
      <c r="H7" s="1" t="s">
        <v>217</v>
      </c>
      <c r="I7" s="1" t="s">
        <v>2</v>
      </c>
      <c r="J7" s="1">
        <v>18</v>
      </c>
      <c r="K7" s="1" t="s">
        <v>95</v>
      </c>
      <c r="L7" s="1">
        <v>6944.3689509419801</v>
      </c>
      <c r="M7" s="1">
        <v>6944.3723139659996</v>
      </c>
      <c r="N7" s="1">
        <v>189990</v>
      </c>
      <c r="O7" s="1">
        <v>5.2634349176272437</v>
      </c>
      <c r="P7" s="1">
        <v>36.551251718332537</v>
      </c>
      <c r="Q7" s="1" t="s">
        <v>96</v>
      </c>
      <c r="R7" s="1" t="s">
        <v>37</v>
      </c>
      <c r="S7" s="1" t="s">
        <v>268</v>
      </c>
      <c r="T7" s="1" t="s">
        <v>81</v>
      </c>
      <c r="U7" s="1" t="s">
        <v>83</v>
      </c>
      <c r="V7" s="1" t="s">
        <v>81</v>
      </c>
      <c r="W7" s="1" t="s">
        <v>80</v>
      </c>
      <c r="X7" s="1" t="s">
        <v>81</v>
      </c>
      <c r="Y7" s="1" t="s">
        <v>80</v>
      </c>
      <c r="Z7" s="1" t="s">
        <v>81</v>
      </c>
      <c r="AA7" s="1" t="s">
        <v>80</v>
      </c>
      <c r="AB7" s="1" t="s">
        <v>80</v>
      </c>
      <c r="AC7" s="1" t="s">
        <v>80</v>
      </c>
      <c r="AD7" s="1" t="s">
        <v>81</v>
      </c>
      <c r="AE7" s="1" t="s">
        <v>83</v>
      </c>
      <c r="AF7" s="1" t="s">
        <v>83</v>
      </c>
      <c r="AG7" s="1" t="s">
        <v>81</v>
      </c>
      <c r="AH7" s="1" t="s">
        <v>83</v>
      </c>
      <c r="AI7" s="1" t="s">
        <v>81</v>
      </c>
      <c r="AJ7" s="1" t="s">
        <v>80</v>
      </c>
    </row>
    <row r="8" spans="1:36" x14ac:dyDescent="0.25">
      <c r="A8" s="1" t="s">
        <v>188</v>
      </c>
      <c r="B8" s="1" t="s">
        <v>294</v>
      </c>
      <c r="C8" s="1" t="s">
        <v>29</v>
      </c>
      <c r="D8" s="1" t="s">
        <v>223</v>
      </c>
      <c r="E8" s="1" t="s">
        <v>2</v>
      </c>
      <c r="F8" s="1" t="s">
        <v>151</v>
      </c>
      <c r="G8" s="1" t="s">
        <v>152</v>
      </c>
      <c r="H8" s="1" t="s">
        <v>217</v>
      </c>
      <c r="I8" s="1" t="s">
        <v>2</v>
      </c>
      <c r="J8" s="1">
        <v>18</v>
      </c>
      <c r="K8" s="1" t="s">
        <v>189</v>
      </c>
      <c r="L8" s="1">
        <v>5511.6194540812503</v>
      </c>
      <c r="M8" s="1">
        <v>5510.8247339660002</v>
      </c>
      <c r="N8" s="1">
        <v>186210</v>
      </c>
      <c r="O8" s="1">
        <v>5.3702808656892751</v>
      </c>
      <c r="P8" s="1">
        <v>29.594676622984803</v>
      </c>
      <c r="Q8" s="1" t="s">
        <v>190</v>
      </c>
      <c r="R8" s="1" t="s">
        <v>153</v>
      </c>
      <c r="S8" s="1" t="s">
        <v>269</v>
      </c>
      <c r="T8" s="1" t="s">
        <v>85</v>
      </c>
      <c r="U8" s="1" t="s">
        <v>84</v>
      </c>
      <c r="V8" s="1" t="s">
        <v>85</v>
      </c>
      <c r="W8" s="1" t="s">
        <v>85</v>
      </c>
      <c r="X8" s="1" t="s">
        <v>87</v>
      </c>
      <c r="Y8" s="1" t="s">
        <v>87</v>
      </c>
      <c r="Z8" s="1" t="s">
        <v>86</v>
      </c>
      <c r="AA8" s="1" t="s">
        <v>85</v>
      </c>
      <c r="AB8" s="1" t="s">
        <v>87</v>
      </c>
      <c r="AC8" s="1" t="s">
        <v>87</v>
      </c>
      <c r="AD8" s="1" t="s">
        <v>85</v>
      </c>
      <c r="AE8" s="1" t="s">
        <v>87</v>
      </c>
      <c r="AF8" s="1" t="s">
        <v>86</v>
      </c>
      <c r="AG8" s="1" t="s">
        <v>87</v>
      </c>
      <c r="AH8" s="1" t="s">
        <v>84</v>
      </c>
      <c r="AI8" s="1" t="s">
        <v>86</v>
      </c>
      <c r="AJ8" s="1" t="s">
        <v>84</v>
      </c>
    </row>
    <row r="9" spans="1:36" x14ac:dyDescent="0.25">
      <c r="A9" s="1" t="s">
        <v>191</v>
      </c>
      <c r="B9" s="1" t="s">
        <v>295</v>
      </c>
      <c r="C9" s="1" t="s">
        <v>29</v>
      </c>
      <c r="D9" s="1" t="s">
        <v>223</v>
      </c>
      <c r="E9" s="1" t="s">
        <v>2</v>
      </c>
      <c r="F9" s="1" t="s">
        <v>154</v>
      </c>
      <c r="G9" s="1" t="s">
        <v>20</v>
      </c>
      <c r="H9" s="1" t="s">
        <v>217</v>
      </c>
      <c r="I9" s="1" t="s">
        <v>2</v>
      </c>
      <c r="J9" s="1">
        <v>18</v>
      </c>
      <c r="K9" s="1" t="s">
        <v>97</v>
      </c>
      <c r="L9" s="1">
        <v>6886.3284340599903</v>
      </c>
      <c r="M9" s="1">
        <v>6886.3181939659999</v>
      </c>
      <c r="N9" s="1">
        <v>181620</v>
      </c>
      <c r="O9" s="1">
        <v>5.5060015416804315</v>
      </c>
      <c r="P9" s="1">
        <v>37.916078592478804</v>
      </c>
      <c r="Q9" s="1" t="s">
        <v>98</v>
      </c>
      <c r="R9" s="1" t="s">
        <v>38</v>
      </c>
      <c r="S9" s="1" t="s">
        <v>270</v>
      </c>
      <c r="T9" s="1" t="s">
        <v>80</v>
      </c>
      <c r="U9" s="1" t="s">
        <v>82</v>
      </c>
      <c r="V9" s="1" t="s">
        <v>80</v>
      </c>
      <c r="W9" s="1" t="s">
        <v>80</v>
      </c>
      <c r="X9" s="1" t="s">
        <v>81</v>
      </c>
      <c r="Y9" s="1" t="s">
        <v>81</v>
      </c>
      <c r="Z9" s="1" t="s">
        <v>83</v>
      </c>
      <c r="AA9" s="1" t="s">
        <v>80</v>
      </c>
      <c r="AB9" s="1" t="s">
        <v>81</v>
      </c>
      <c r="AC9" s="1" t="s">
        <v>81</v>
      </c>
      <c r="AD9" s="1" t="s">
        <v>80</v>
      </c>
      <c r="AE9" s="1" t="s">
        <v>81</v>
      </c>
      <c r="AF9" s="1" t="s">
        <v>83</v>
      </c>
      <c r="AG9" s="1" t="s">
        <v>81</v>
      </c>
      <c r="AH9" s="1" t="s">
        <v>82</v>
      </c>
      <c r="AI9" s="1" t="s">
        <v>83</v>
      </c>
      <c r="AJ9" s="1" t="s">
        <v>82</v>
      </c>
    </row>
    <row r="10" spans="1:36" x14ac:dyDescent="0.25">
      <c r="A10" s="1" t="s">
        <v>192</v>
      </c>
      <c r="B10" s="1" t="s">
        <v>296</v>
      </c>
      <c r="C10" s="1" t="s">
        <v>29</v>
      </c>
      <c r="D10" s="1" t="s">
        <v>223</v>
      </c>
      <c r="E10" s="1" t="s">
        <v>2</v>
      </c>
      <c r="F10" s="1" t="s">
        <v>155</v>
      </c>
      <c r="G10" s="1" t="s">
        <v>156</v>
      </c>
      <c r="H10" s="1" t="s">
        <v>217</v>
      </c>
      <c r="I10" s="1" t="s">
        <v>2</v>
      </c>
      <c r="J10" s="1">
        <v>18</v>
      </c>
      <c r="K10" s="1" t="s">
        <v>193</v>
      </c>
      <c r="L10" s="1">
        <v>5465.62520816694</v>
      </c>
      <c r="M10" s="1">
        <v>5464.8026539659995</v>
      </c>
      <c r="N10" s="1">
        <v>187380</v>
      </c>
      <c r="O10" s="1">
        <v>5.3367488525989968</v>
      </c>
      <c r="P10" s="1">
        <v>29.164279293232998</v>
      </c>
      <c r="Q10" s="1" t="s">
        <v>194</v>
      </c>
      <c r="R10" s="1" t="s">
        <v>157</v>
      </c>
      <c r="S10" s="1" t="s">
        <v>269</v>
      </c>
      <c r="T10" s="1" t="s">
        <v>87</v>
      </c>
      <c r="U10" s="1" t="s">
        <v>84</v>
      </c>
      <c r="V10" s="1" t="s">
        <v>87</v>
      </c>
      <c r="W10" s="1" t="s">
        <v>86</v>
      </c>
      <c r="X10" s="1" t="s">
        <v>87</v>
      </c>
      <c r="Y10" s="1" t="s">
        <v>85</v>
      </c>
      <c r="Z10" s="1" t="s">
        <v>85</v>
      </c>
      <c r="AA10" s="1" t="s">
        <v>87</v>
      </c>
      <c r="AB10" s="1" t="s">
        <v>86</v>
      </c>
      <c r="AC10" s="1" t="s">
        <v>86</v>
      </c>
      <c r="AD10" s="1" t="s">
        <v>87</v>
      </c>
      <c r="AE10" s="1" t="s">
        <v>87</v>
      </c>
      <c r="AF10" s="1" t="s">
        <v>87</v>
      </c>
      <c r="AG10" s="1" t="s">
        <v>86</v>
      </c>
      <c r="AH10" s="1" t="s">
        <v>86</v>
      </c>
      <c r="AI10" s="1" t="s">
        <v>85</v>
      </c>
      <c r="AJ10" s="1" t="s">
        <v>85</v>
      </c>
    </row>
    <row r="11" spans="1:36" x14ac:dyDescent="0.25">
      <c r="A11" s="1" t="s">
        <v>195</v>
      </c>
      <c r="B11" s="1" t="s">
        <v>297</v>
      </c>
      <c r="C11" s="1" t="s">
        <v>29</v>
      </c>
      <c r="D11" s="1" t="s">
        <v>223</v>
      </c>
      <c r="E11" s="1" t="s">
        <v>2</v>
      </c>
      <c r="F11" s="1" t="s">
        <v>158</v>
      </c>
      <c r="G11" s="1" t="s">
        <v>21</v>
      </c>
      <c r="H11" s="1" t="s">
        <v>217</v>
      </c>
      <c r="I11" s="1" t="s">
        <v>2</v>
      </c>
      <c r="J11" s="1">
        <v>18</v>
      </c>
      <c r="K11" s="1" t="s">
        <v>99</v>
      </c>
      <c r="L11" s="1">
        <v>6868.3654882745996</v>
      </c>
      <c r="M11" s="1">
        <v>6868.3492739659996</v>
      </c>
      <c r="N11" s="1">
        <v>179730</v>
      </c>
      <c r="O11" s="1">
        <v>5.5639014076670561</v>
      </c>
      <c r="P11" s="1">
        <v>38.21481819376843</v>
      </c>
      <c r="Q11" s="1" t="s">
        <v>100</v>
      </c>
      <c r="R11" s="1" t="s">
        <v>39</v>
      </c>
      <c r="S11" s="1" t="s">
        <v>270</v>
      </c>
      <c r="T11" s="1" t="s">
        <v>81</v>
      </c>
      <c r="U11" s="1" t="s">
        <v>82</v>
      </c>
      <c r="V11" s="1" t="s">
        <v>81</v>
      </c>
      <c r="W11" s="1" t="s">
        <v>83</v>
      </c>
      <c r="X11" s="1" t="s">
        <v>81</v>
      </c>
      <c r="Y11" s="1" t="s">
        <v>80</v>
      </c>
      <c r="Z11" s="1" t="s">
        <v>80</v>
      </c>
      <c r="AA11" s="1" t="s">
        <v>81</v>
      </c>
      <c r="AB11" s="1" t="s">
        <v>83</v>
      </c>
      <c r="AC11" s="1" t="s">
        <v>83</v>
      </c>
      <c r="AD11" s="1" t="s">
        <v>81</v>
      </c>
      <c r="AE11" s="1" t="s">
        <v>81</v>
      </c>
      <c r="AF11" s="1" t="s">
        <v>81</v>
      </c>
      <c r="AG11" s="1" t="s">
        <v>83</v>
      </c>
      <c r="AH11" s="1" t="s">
        <v>83</v>
      </c>
      <c r="AI11" s="1" t="s">
        <v>80</v>
      </c>
      <c r="AJ11" s="1" t="s">
        <v>80</v>
      </c>
    </row>
    <row r="12" spans="1:36" x14ac:dyDescent="0.25">
      <c r="A12" s="1" t="s">
        <v>196</v>
      </c>
      <c r="B12" s="1" t="s">
        <v>249</v>
      </c>
      <c r="C12" s="1" t="s">
        <v>29</v>
      </c>
      <c r="D12" s="1" t="s">
        <v>223</v>
      </c>
      <c r="E12" s="1" t="s">
        <v>2</v>
      </c>
      <c r="F12" s="1" t="s">
        <v>159</v>
      </c>
      <c r="G12" s="1" t="s">
        <v>116</v>
      </c>
      <c r="H12" s="1" t="s">
        <v>217</v>
      </c>
      <c r="I12" s="1" t="s">
        <v>2</v>
      </c>
      <c r="J12" s="1">
        <v>16</v>
      </c>
      <c r="K12" s="1" t="s">
        <v>197</v>
      </c>
      <c r="L12" s="1">
        <v>4773.3488255636303</v>
      </c>
      <c r="M12" s="1">
        <v>4772.6575899700001</v>
      </c>
      <c r="N12" s="1">
        <v>125280</v>
      </c>
      <c r="O12" s="1">
        <v>7.9821200510855688</v>
      </c>
      <c r="P12" s="1">
        <v>38.09592584586526</v>
      </c>
      <c r="Q12" s="1" t="s">
        <v>118</v>
      </c>
      <c r="R12" s="1" t="s">
        <v>117</v>
      </c>
      <c r="S12" s="1" t="s">
        <v>269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29</v>
      </c>
      <c r="AJ12" s="1" t="s">
        <v>29</v>
      </c>
    </row>
    <row r="13" spans="1:36" x14ac:dyDescent="0.25">
      <c r="A13" s="1" t="s">
        <v>198</v>
      </c>
      <c r="B13" s="1" t="s">
        <v>250</v>
      </c>
      <c r="C13" s="1" t="s">
        <v>29</v>
      </c>
      <c r="D13" s="1" t="s">
        <v>223</v>
      </c>
      <c r="E13" s="1" t="s">
        <v>2</v>
      </c>
      <c r="F13" s="1" t="s">
        <v>161</v>
      </c>
      <c r="G13" s="1" t="s">
        <v>208</v>
      </c>
      <c r="H13" s="1" t="s">
        <v>217</v>
      </c>
      <c r="I13" s="1" t="s">
        <v>2</v>
      </c>
      <c r="J13" s="1">
        <v>8</v>
      </c>
      <c r="K13" s="1" t="s">
        <v>199</v>
      </c>
      <c r="L13" s="1">
        <v>2394.7143656726698</v>
      </c>
      <c r="M13" s="1">
        <v>2394.4583339860001</v>
      </c>
      <c r="N13" s="1">
        <v>77400</v>
      </c>
      <c r="O13" s="1">
        <v>12.919896640826874</v>
      </c>
      <c r="P13" s="1">
        <v>30.936154185865632</v>
      </c>
      <c r="Q13" s="1" t="s">
        <v>215</v>
      </c>
      <c r="R13" s="1" t="s">
        <v>209</v>
      </c>
      <c r="S13" s="1" t="s">
        <v>269</v>
      </c>
      <c r="T13" s="1" t="s">
        <v>85</v>
      </c>
      <c r="U13" s="1" t="s">
        <v>87</v>
      </c>
      <c r="V13" s="1" t="s">
        <v>86</v>
      </c>
      <c r="W13" s="1" t="s">
        <v>84</v>
      </c>
      <c r="X13" s="1" t="s">
        <v>85</v>
      </c>
      <c r="Y13" s="1" t="s">
        <v>87</v>
      </c>
      <c r="Z13" s="1" t="s">
        <v>86</v>
      </c>
      <c r="AA13" s="1" t="s">
        <v>29</v>
      </c>
      <c r="AB13" s="1" t="s">
        <v>29</v>
      </c>
      <c r="AC13" s="1" t="s">
        <v>29</v>
      </c>
      <c r="AD13" s="1" t="s">
        <v>29</v>
      </c>
      <c r="AE13" s="1" t="s">
        <v>29</v>
      </c>
      <c r="AF13" s="1" t="s">
        <v>29</v>
      </c>
      <c r="AG13" s="1" t="s">
        <v>29</v>
      </c>
      <c r="AH13" s="1" t="s">
        <v>29</v>
      </c>
      <c r="AI13" s="1" t="s">
        <v>29</v>
      </c>
      <c r="AJ13" s="1" t="s">
        <v>29</v>
      </c>
    </row>
    <row r="14" spans="1:36" x14ac:dyDescent="0.25">
      <c r="A14" s="1" t="s">
        <v>200</v>
      </c>
      <c r="B14" s="1" t="s">
        <v>251</v>
      </c>
      <c r="C14" s="1" t="s">
        <v>29</v>
      </c>
      <c r="D14" s="1" t="s">
        <v>223</v>
      </c>
      <c r="E14" s="1" t="s">
        <v>2</v>
      </c>
      <c r="F14" s="1" t="s">
        <v>162</v>
      </c>
      <c r="G14" s="1" t="s">
        <v>211</v>
      </c>
      <c r="H14" s="1" t="s">
        <v>217</v>
      </c>
      <c r="I14" s="1" t="s">
        <v>2</v>
      </c>
      <c r="J14" s="1">
        <v>4</v>
      </c>
      <c r="K14" s="1" t="s">
        <v>201</v>
      </c>
      <c r="L14" s="1">
        <v>1167.3603668151097</v>
      </c>
      <c r="M14" s="1">
        <v>1167.3291459940001</v>
      </c>
      <c r="N14" s="1">
        <v>38700</v>
      </c>
      <c r="O14" s="1">
        <v>25.839793281653748</v>
      </c>
      <c r="P14" s="1">
        <v>30.163543824134369</v>
      </c>
      <c r="Q14" s="1" t="s">
        <v>216</v>
      </c>
      <c r="R14" s="1" t="s">
        <v>212</v>
      </c>
      <c r="S14" s="1" t="s">
        <v>269</v>
      </c>
      <c r="T14" s="1" t="s">
        <v>85</v>
      </c>
      <c r="U14" s="1" t="s">
        <v>87</v>
      </c>
      <c r="V14" s="1" t="s">
        <v>86</v>
      </c>
      <c r="W14" s="1" t="s">
        <v>29</v>
      </c>
      <c r="X14" s="1" t="s">
        <v>29</v>
      </c>
      <c r="Y14" s="1" t="s">
        <v>29</v>
      </c>
      <c r="Z14" s="1" t="s">
        <v>29</v>
      </c>
      <c r="AA14" s="1" t="s">
        <v>29</v>
      </c>
      <c r="AB14" s="1" t="s">
        <v>29</v>
      </c>
      <c r="AC14" s="1" t="s">
        <v>29</v>
      </c>
      <c r="AD14" s="1" t="s">
        <v>29</v>
      </c>
      <c r="AE14" s="1" t="s">
        <v>29</v>
      </c>
      <c r="AF14" s="1" t="s">
        <v>29</v>
      </c>
      <c r="AG14" s="1" t="s">
        <v>29</v>
      </c>
      <c r="AH14" s="1" t="s">
        <v>29</v>
      </c>
      <c r="AI14" s="1" t="s">
        <v>29</v>
      </c>
      <c r="AJ14" s="1" t="s">
        <v>29</v>
      </c>
    </row>
    <row r="15" spans="1:36" x14ac:dyDescent="0.25">
      <c r="A15" s="1" t="s">
        <v>202</v>
      </c>
      <c r="B15" s="1" t="s">
        <v>252</v>
      </c>
      <c r="C15" s="1" t="s">
        <v>29</v>
      </c>
      <c r="D15" s="1" t="s">
        <v>223</v>
      </c>
      <c r="E15" s="1" t="s">
        <v>2</v>
      </c>
      <c r="F15" s="1" t="s">
        <v>163</v>
      </c>
      <c r="G15" s="1" t="s">
        <v>165</v>
      </c>
      <c r="H15" s="1" t="s">
        <v>217</v>
      </c>
      <c r="I15" s="1" t="s">
        <v>2</v>
      </c>
      <c r="J15" s="1">
        <v>3</v>
      </c>
      <c r="K15" s="1" t="s">
        <v>203</v>
      </c>
      <c r="L15" s="1">
        <v>871.26456112018002</v>
      </c>
      <c r="M15" s="1">
        <v>871.29852399600009</v>
      </c>
      <c r="N15" s="1">
        <v>26010</v>
      </c>
      <c r="O15" s="1">
        <v>38.446751249519416</v>
      </c>
      <c r="P15" s="1">
        <v>33.498597616147634</v>
      </c>
      <c r="Q15" s="1" t="s">
        <v>204</v>
      </c>
      <c r="R15" s="1" t="s">
        <v>166</v>
      </c>
      <c r="S15" s="1" t="s">
        <v>269</v>
      </c>
      <c r="T15" s="1" t="s">
        <v>85</v>
      </c>
      <c r="U15" s="1" t="s">
        <v>84</v>
      </c>
      <c r="V15" s="1" t="s">
        <v>29</v>
      </c>
      <c r="W15" s="1" t="s">
        <v>29</v>
      </c>
      <c r="X15" s="1" t="s">
        <v>29</v>
      </c>
      <c r="Y15" s="1" t="s">
        <v>29</v>
      </c>
      <c r="Z15" s="1" t="s">
        <v>29</v>
      </c>
      <c r="AA15" s="1" t="s">
        <v>29</v>
      </c>
      <c r="AB15" s="1" t="s">
        <v>29</v>
      </c>
      <c r="AC15" s="1" t="s">
        <v>29</v>
      </c>
      <c r="AD15" s="1" t="s">
        <v>29</v>
      </c>
      <c r="AE15" s="1" t="s">
        <v>29</v>
      </c>
      <c r="AF15" s="1" t="s">
        <v>29</v>
      </c>
      <c r="AG15" s="1" t="s">
        <v>29</v>
      </c>
      <c r="AH15" s="1" t="s">
        <v>29</v>
      </c>
      <c r="AI15" s="1" t="s">
        <v>29</v>
      </c>
      <c r="AJ15" s="1" t="s">
        <v>29</v>
      </c>
    </row>
    <row r="16" spans="1:36" x14ac:dyDescent="0.25">
      <c r="A16" s="1" t="s">
        <v>205</v>
      </c>
      <c r="B16" s="1" t="s">
        <v>276</v>
      </c>
      <c r="C16" s="1" t="s">
        <v>29</v>
      </c>
      <c r="D16" s="1" t="s">
        <v>224</v>
      </c>
      <c r="E16" s="1" t="s">
        <v>13</v>
      </c>
      <c r="F16" s="1" t="s">
        <v>225</v>
      </c>
      <c r="G16" s="1" t="s">
        <v>227</v>
      </c>
      <c r="H16" s="1" t="s">
        <v>217</v>
      </c>
      <c r="I16" s="1" t="s">
        <v>2</v>
      </c>
      <c r="J16" s="1">
        <v>2</v>
      </c>
      <c r="K16" s="1" t="s">
        <v>277</v>
      </c>
      <c r="L16" s="1">
        <v>730.29473905013003</v>
      </c>
      <c r="M16" s="1">
        <v>730.2599639959999</v>
      </c>
      <c r="N16" s="1">
        <v>21690</v>
      </c>
      <c r="O16" s="1">
        <v>46.104195481788842</v>
      </c>
      <c r="P16" s="1">
        <v>33.668048132595665</v>
      </c>
      <c r="Q16" s="1" t="s">
        <v>253</v>
      </c>
      <c r="R16" s="1" t="s">
        <v>228</v>
      </c>
      <c r="S16" s="1" t="s">
        <v>269</v>
      </c>
      <c r="T16" s="1" t="s">
        <v>87</v>
      </c>
      <c r="U16" s="1" t="s">
        <v>29</v>
      </c>
      <c r="V16" s="1" t="s">
        <v>29</v>
      </c>
      <c r="W16" s="1" t="s">
        <v>29</v>
      </c>
      <c r="X16" s="1" t="s">
        <v>29</v>
      </c>
      <c r="Y16" s="1" t="s">
        <v>29</v>
      </c>
      <c r="Z16" s="1" t="s">
        <v>29</v>
      </c>
      <c r="AA16" s="1" t="s">
        <v>29</v>
      </c>
      <c r="AB16" s="1" t="s">
        <v>29</v>
      </c>
      <c r="AC16" s="1" t="s">
        <v>29</v>
      </c>
      <c r="AD16" s="1" t="s">
        <v>29</v>
      </c>
      <c r="AE16" s="1" t="s">
        <v>29</v>
      </c>
      <c r="AF16" s="1" t="s">
        <v>29</v>
      </c>
      <c r="AG16" s="1" t="s">
        <v>29</v>
      </c>
      <c r="AH16" s="1" t="s">
        <v>29</v>
      </c>
      <c r="AI16" s="1" t="s">
        <v>29</v>
      </c>
      <c r="AJ16" s="1" t="s">
        <v>29</v>
      </c>
    </row>
    <row r="17" spans="1:36" x14ac:dyDescent="0.25">
      <c r="A17" s="1" t="s">
        <v>254</v>
      </c>
      <c r="B17" s="1" t="s">
        <v>255</v>
      </c>
      <c r="C17" s="1" t="s">
        <v>29</v>
      </c>
      <c r="D17" s="1" t="s">
        <v>224</v>
      </c>
      <c r="E17" s="1" t="s">
        <v>13</v>
      </c>
      <c r="F17" s="1" t="s">
        <v>229</v>
      </c>
      <c r="G17" s="1" t="s">
        <v>231</v>
      </c>
      <c r="H17" s="1" t="s">
        <v>217</v>
      </c>
      <c r="I17" s="1" t="s">
        <v>2</v>
      </c>
      <c r="J17" s="1">
        <v>2</v>
      </c>
      <c r="K17" s="1" t="s">
        <v>256</v>
      </c>
      <c r="L17" s="1">
        <v>706.28350566084009</v>
      </c>
      <c r="M17" s="1">
        <v>706.23526399599996</v>
      </c>
      <c r="N17" s="1">
        <v>14490</v>
      </c>
      <c r="O17" s="1">
        <v>69.013112491373363</v>
      </c>
      <c r="P17" s="1">
        <v>48.739493719530707</v>
      </c>
      <c r="Q17" s="1" t="s">
        <v>257</v>
      </c>
      <c r="R17" s="1" t="s">
        <v>232</v>
      </c>
      <c r="S17" s="1" t="s">
        <v>269</v>
      </c>
      <c r="T17" s="1" t="s">
        <v>86</v>
      </c>
      <c r="U17" s="1" t="s">
        <v>29</v>
      </c>
      <c r="V17" s="1" t="s">
        <v>29</v>
      </c>
      <c r="W17" s="1" t="s">
        <v>29</v>
      </c>
      <c r="X17" s="1" t="s">
        <v>29</v>
      </c>
      <c r="Y17" s="1" t="s">
        <v>29</v>
      </c>
      <c r="Z17" s="1" t="s">
        <v>29</v>
      </c>
      <c r="AA17" s="1" t="s">
        <v>29</v>
      </c>
      <c r="AB17" s="1" t="s">
        <v>29</v>
      </c>
      <c r="AC17" s="1" t="s">
        <v>29</v>
      </c>
      <c r="AD17" s="1" t="s">
        <v>29</v>
      </c>
      <c r="AE17" s="1" t="s">
        <v>29</v>
      </c>
      <c r="AF17" s="1" t="s">
        <v>29</v>
      </c>
      <c r="AG17" s="1" t="s">
        <v>29</v>
      </c>
      <c r="AH17" s="1" t="s">
        <v>29</v>
      </c>
      <c r="AI17" s="1" t="s">
        <v>29</v>
      </c>
      <c r="AJ17" s="1" t="s">
        <v>29</v>
      </c>
    </row>
    <row r="18" spans="1:36" x14ac:dyDescent="0.25">
      <c r="A18" s="1" t="s">
        <v>258</v>
      </c>
      <c r="B18" s="1" t="s">
        <v>259</v>
      </c>
      <c r="C18" s="1" t="s">
        <v>29</v>
      </c>
      <c r="D18" s="1" t="s">
        <v>224</v>
      </c>
      <c r="E18" s="1" t="s">
        <v>13</v>
      </c>
      <c r="F18" s="1" t="s">
        <v>167</v>
      </c>
      <c r="G18" s="1" t="s">
        <v>169</v>
      </c>
      <c r="H18" s="1" t="s">
        <v>217</v>
      </c>
      <c r="I18" s="1" t="s">
        <v>2</v>
      </c>
      <c r="J18" s="1">
        <v>2</v>
      </c>
      <c r="K18" s="1" t="s">
        <v>260</v>
      </c>
      <c r="L18" s="1">
        <v>746.28965366969999</v>
      </c>
      <c r="M18" s="1">
        <v>746.25936399599993</v>
      </c>
      <c r="N18" s="1">
        <v>18180</v>
      </c>
      <c r="O18" s="1">
        <v>55.005500550055004</v>
      </c>
      <c r="P18" s="1">
        <v>41.048369856765675</v>
      </c>
      <c r="Q18" s="1" t="s">
        <v>206</v>
      </c>
      <c r="R18" s="1" t="s">
        <v>170</v>
      </c>
      <c r="S18" s="1" t="s">
        <v>269</v>
      </c>
      <c r="T18" s="1" t="s">
        <v>85</v>
      </c>
      <c r="U18" s="1" t="s">
        <v>29</v>
      </c>
      <c r="V18" s="1" t="s">
        <v>29</v>
      </c>
      <c r="W18" s="1" t="s">
        <v>29</v>
      </c>
      <c r="X18" s="1" t="s">
        <v>29</v>
      </c>
      <c r="Y18" s="1" t="s">
        <v>29</v>
      </c>
      <c r="Z18" s="1" t="s">
        <v>29</v>
      </c>
      <c r="AA18" s="1" t="s">
        <v>29</v>
      </c>
      <c r="AB18" s="1" t="s">
        <v>29</v>
      </c>
      <c r="AC18" s="1" t="s">
        <v>29</v>
      </c>
      <c r="AD18" s="1" t="s">
        <v>29</v>
      </c>
      <c r="AE18" s="1" t="s">
        <v>29</v>
      </c>
      <c r="AF18" s="1" t="s">
        <v>29</v>
      </c>
      <c r="AG18" s="1" t="s">
        <v>29</v>
      </c>
      <c r="AH18" s="1" t="s">
        <v>29</v>
      </c>
      <c r="AI18" s="1" t="s">
        <v>29</v>
      </c>
      <c r="AJ18" s="1" t="s">
        <v>29</v>
      </c>
    </row>
    <row r="19" spans="1:36" x14ac:dyDescent="0.25">
      <c r="A19" s="1" t="s">
        <v>261</v>
      </c>
      <c r="B19" s="1" t="s">
        <v>262</v>
      </c>
      <c r="C19" s="1" t="s">
        <v>29</v>
      </c>
      <c r="D19" s="1" t="s">
        <v>224</v>
      </c>
      <c r="E19" s="1" t="s">
        <v>13</v>
      </c>
      <c r="F19" s="1" t="s">
        <v>233</v>
      </c>
      <c r="G19" s="1" t="s">
        <v>235</v>
      </c>
      <c r="H19" s="1" t="s">
        <v>217</v>
      </c>
      <c r="I19" s="1" t="s">
        <v>2</v>
      </c>
      <c r="J19" s="1">
        <v>2</v>
      </c>
      <c r="K19" s="1" t="s">
        <v>263</v>
      </c>
      <c r="L19" s="1">
        <v>721.28317130820994</v>
      </c>
      <c r="M19" s="1">
        <v>721.24660399599998</v>
      </c>
      <c r="N19" s="1">
        <v>15660</v>
      </c>
      <c r="O19" s="1">
        <v>63.85696040868455</v>
      </c>
      <c r="P19" s="1">
        <v>46.056615836270751</v>
      </c>
      <c r="Q19" s="1" t="s">
        <v>264</v>
      </c>
      <c r="R19" s="1" t="s">
        <v>236</v>
      </c>
      <c r="S19" s="1" t="s">
        <v>269</v>
      </c>
      <c r="T19" s="1" t="s">
        <v>84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  <c r="Z19" s="1" t="s">
        <v>29</v>
      </c>
      <c r="AA19" s="1" t="s">
        <v>29</v>
      </c>
      <c r="AB19" s="1" t="s">
        <v>29</v>
      </c>
      <c r="AC19" s="1" t="s">
        <v>29</v>
      </c>
      <c r="AD19" s="1" t="s">
        <v>29</v>
      </c>
      <c r="AE19" s="1" t="s">
        <v>29</v>
      </c>
      <c r="AF19" s="1" t="s">
        <v>29</v>
      </c>
      <c r="AG19" s="1" t="s">
        <v>29</v>
      </c>
      <c r="AH19" s="1" t="s">
        <v>29</v>
      </c>
      <c r="AI19" s="1" t="s">
        <v>29</v>
      </c>
      <c r="AJ19" s="1" t="s">
        <v>29</v>
      </c>
    </row>
    <row r="20" spans="1:36" x14ac:dyDescent="0.25">
      <c r="A20" s="1" t="s">
        <v>278</v>
      </c>
      <c r="B20" s="1" t="s">
        <v>279</v>
      </c>
      <c r="C20" s="1" t="s">
        <v>29</v>
      </c>
      <c r="D20" s="1" t="s">
        <v>223</v>
      </c>
      <c r="E20" s="1" t="s">
        <v>2</v>
      </c>
      <c r="F20" s="1" t="s">
        <v>271</v>
      </c>
      <c r="G20" s="1" t="s">
        <v>273</v>
      </c>
      <c r="H20" s="1" t="s">
        <v>217</v>
      </c>
      <c r="I20" s="1" t="s">
        <v>2</v>
      </c>
      <c r="J20" s="1">
        <v>16</v>
      </c>
      <c r="K20" s="1" t="s">
        <v>280</v>
      </c>
      <c r="L20" s="1">
        <v>5020.41666887264</v>
      </c>
      <c r="M20" s="1">
        <v>5019.8177099699997</v>
      </c>
      <c r="N20" s="1">
        <v>149220</v>
      </c>
      <c r="O20" s="1">
        <v>6.7015145422865565</v>
      </c>
      <c r="P20" s="1">
        <v>33.640381382991549</v>
      </c>
      <c r="Q20" s="1" t="s">
        <v>281</v>
      </c>
      <c r="R20" s="1" t="s">
        <v>274</v>
      </c>
      <c r="S20" s="1" t="s">
        <v>282</v>
      </c>
      <c r="T20" s="1" t="s">
        <v>80</v>
      </c>
      <c r="U20" s="1" t="s">
        <v>82</v>
      </c>
      <c r="V20" s="1" t="s">
        <v>87</v>
      </c>
      <c r="W20" s="1" t="s">
        <v>87</v>
      </c>
      <c r="X20" s="1" t="s">
        <v>85</v>
      </c>
      <c r="Y20" s="1" t="s">
        <v>84</v>
      </c>
      <c r="Z20" s="1" t="s">
        <v>86</v>
      </c>
      <c r="AA20" s="1" t="s">
        <v>87</v>
      </c>
      <c r="AB20" s="1" t="s">
        <v>86</v>
      </c>
      <c r="AC20" s="1" t="s">
        <v>84</v>
      </c>
      <c r="AD20" s="1" t="s">
        <v>84</v>
      </c>
      <c r="AE20" s="1" t="s">
        <v>85</v>
      </c>
      <c r="AF20" s="1" t="s">
        <v>81</v>
      </c>
      <c r="AG20" s="1" t="s">
        <v>82</v>
      </c>
      <c r="AH20" s="1" t="s">
        <v>83</v>
      </c>
      <c r="AI20" s="1" t="s">
        <v>29</v>
      </c>
      <c r="AJ20" s="1" t="s">
        <v>29</v>
      </c>
    </row>
    <row r="21" spans="1:36" x14ac:dyDescent="0.25">
      <c r="A21" s="1" t="s">
        <v>283</v>
      </c>
      <c r="B21" s="1" t="s">
        <v>284</v>
      </c>
      <c r="C21" s="1" t="s">
        <v>29</v>
      </c>
      <c r="D21" s="1" t="s">
        <v>224</v>
      </c>
      <c r="E21" s="1" t="s">
        <v>13</v>
      </c>
      <c r="F21" s="1" t="s">
        <v>271</v>
      </c>
      <c r="G21" s="1" t="s">
        <v>273</v>
      </c>
      <c r="H21" s="1" t="s">
        <v>217</v>
      </c>
      <c r="I21" s="1" t="s">
        <v>2</v>
      </c>
      <c r="J21" s="1">
        <v>16</v>
      </c>
      <c r="K21" s="1" t="s">
        <v>285</v>
      </c>
      <c r="L21" s="1">
        <v>5197.5256650225401</v>
      </c>
      <c r="M21" s="1">
        <v>5196.8071519679997</v>
      </c>
      <c r="N21" s="1">
        <v>149220</v>
      </c>
      <c r="O21" s="1">
        <v>6.7015145422865565</v>
      </c>
      <c r="P21" s="1">
        <v>34.826478702372334</v>
      </c>
      <c r="Q21" s="1" t="s">
        <v>281</v>
      </c>
      <c r="R21" s="1" t="s">
        <v>274</v>
      </c>
      <c r="S21" s="1" t="s">
        <v>282</v>
      </c>
      <c r="T21" s="1" t="s">
        <v>80</v>
      </c>
      <c r="U21" s="1" t="s">
        <v>82</v>
      </c>
      <c r="V21" s="1" t="s">
        <v>87</v>
      </c>
      <c r="W21" s="1" t="s">
        <v>87</v>
      </c>
      <c r="X21" s="1" t="s">
        <v>85</v>
      </c>
      <c r="Y21" s="1" t="s">
        <v>84</v>
      </c>
      <c r="Z21" s="1" t="s">
        <v>86</v>
      </c>
      <c r="AA21" s="1" t="s">
        <v>87</v>
      </c>
      <c r="AB21" s="1" t="s">
        <v>86</v>
      </c>
      <c r="AC21" s="1" t="s">
        <v>84</v>
      </c>
      <c r="AD21" s="1" t="s">
        <v>84</v>
      </c>
      <c r="AE21" s="1" t="s">
        <v>85</v>
      </c>
      <c r="AF21" s="1" t="s">
        <v>81</v>
      </c>
      <c r="AG21" s="1" t="s">
        <v>82</v>
      </c>
      <c r="AH21" s="1" t="s">
        <v>83</v>
      </c>
      <c r="AI21" s="1" t="s">
        <v>29</v>
      </c>
      <c r="AJ21" s="1" t="s">
        <v>29</v>
      </c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6BDF-064A-430F-B16F-DDBFA0E87742}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FE1F-57DA-49E7-A32E-B8B6A50D64D9}">
  <dimension ref="A1:L21"/>
  <sheetViews>
    <sheetView zoomScale="70" zoomScaleNormal="70" workbookViewId="0">
      <selection activeCell="C9" sqref="C9"/>
    </sheetView>
  </sheetViews>
  <sheetFormatPr defaultColWidth="8.88671875" defaultRowHeight="17.25" x14ac:dyDescent="0.25"/>
  <cols>
    <col min="1" max="1" width="11.6640625" style="1" bestFit="1" customWidth="1"/>
    <col min="2" max="2" width="5.5546875" style="1" customWidth="1"/>
    <col min="3" max="3" width="42" style="1" customWidth="1"/>
    <col min="4" max="4" width="42.33203125" style="1" bestFit="1" customWidth="1"/>
    <col min="5" max="8" width="10.44140625" style="1" customWidth="1"/>
    <col min="9" max="9" width="21.77734375" style="1" customWidth="1"/>
    <col min="10" max="10" width="40.33203125" style="1" bestFit="1" customWidth="1"/>
    <col min="11" max="11" width="92.21875" style="1" bestFit="1" customWidth="1"/>
    <col min="12" max="12" width="27.44140625" style="1" bestFit="1" customWidth="1"/>
    <col min="13" max="16384" width="8.88671875" style="1"/>
  </cols>
  <sheetData>
    <row r="1" spans="1:12" x14ac:dyDescent="0.25">
      <c r="A1" s="1" t="s">
        <v>15</v>
      </c>
      <c r="B1" s="4" t="s">
        <v>16</v>
      </c>
      <c r="C1" s="1" t="s">
        <v>0</v>
      </c>
      <c r="D1" s="5" t="s">
        <v>40</v>
      </c>
      <c r="E1" s="5" t="s">
        <v>45</v>
      </c>
      <c r="F1" s="5" t="s">
        <v>22</v>
      </c>
      <c r="G1" s="5" t="s">
        <v>47</v>
      </c>
      <c r="H1" s="5" t="s">
        <v>23</v>
      </c>
      <c r="I1" s="4" t="s">
        <v>41</v>
      </c>
      <c r="J1" s="4" t="s">
        <v>17</v>
      </c>
      <c r="K1" s="1" t="s">
        <v>18</v>
      </c>
      <c r="L1" s="4" t="s">
        <v>19</v>
      </c>
    </row>
    <row r="2" spans="1:12" x14ac:dyDescent="0.25">
      <c r="A2" s="1" t="str">
        <f>"12-"&amp;LEFT(RIGHTB(REPT(0,4)&amp;_xlfn.BASE(table_sequence[[#This Row],[num]],36),4),2)&amp;"-"&amp;RIGHT(RIGHTB(REPT(0,4)&amp;_xlfn.BASE(table_sequence[[#This Row],[num]],36),4),2)</f>
        <v>12-00-00</v>
      </c>
      <c r="B2" s="1">
        <v>0</v>
      </c>
      <c r="C2" s="1" t="str" cm="1">
        <f t="array" ref="C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Bace1(All-DNA)(5′-H, 3′-H)</v>
      </c>
      <c r="D2" s="2" t="s">
        <v>171</v>
      </c>
      <c r="E2" s="3">
        <v>44926</v>
      </c>
      <c r="F2" s="2" t="s">
        <v>46</v>
      </c>
      <c r="G2" s="2"/>
      <c r="H2" s="2"/>
      <c r="J2" s="1" t="s">
        <v>237</v>
      </c>
      <c r="K2" s="1" t="str" cm="1">
        <f t="array" ref="K2">VLOOKUP(LEFT(table_sequence[[#This Row],[baseline_sequence]],8),DB17_baselinesequence[],COLUMN(DB17_baselinesequence[sequence_ns]),FALSE)</f>
        <v>G*T*A*T*T*G*C*T*G*A*G*G*A</v>
      </c>
      <c r="L2" s="1" t="s">
        <v>242</v>
      </c>
    </row>
    <row r="3" spans="1:12" x14ac:dyDescent="0.25">
      <c r="A3" s="1" t="str">
        <f>"12-"&amp;LEFT(RIGHTB(REPT(0,4)&amp;_xlfn.BASE(table_sequence[[#This Row],[num]],36),4),2)&amp;"-"&amp;RIGHT(RIGHTB(REPT(0,4)&amp;_xlfn.BASE(table_sequence[[#This Row],[num]],36),4),2)</f>
        <v>12-00-01</v>
      </c>
      <c r="B3" s="1">
        <v>1</v>
      </c>
      <c r="C3" s="1" t="str" cm="1">
        <f t="array" ref="C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Bace1 gapmer(5′-H, 3′-H)</v>
      </c>
      <c r="D3" s="2" t="s">
        <v>172</v>
      </c>
      <c r="E3" s="3">
        <v>44926</v>
      </c>
      <c r="F3" s="2" t="s">
        <v>46</v>
      </c>
      <c r="G3" s="2"/>
      <c r="H3" s="2"/>
      <c r="J3" s="1" t="s">
        <v>237</v>
      </c>
      <c r="K3" s="1" t="str" cm="1">
        <f t="array" ref="K3">VLOOKUP(LEFT(table_sequence[[#This Row],[baseline_sequence]],8),DB17_baselinesequence[],COLUMN(DB17_baselinesequence[sequence_ns]),FALSE)</f>
        <v>G(L)*T(L)*A*T*T*G*C*T*G*A*G(L)*G(L)*A(L)</v>
      </c>
      <c r="L3" s="1" t="s">
        <v>242</v>
      </c>
    </row>
    <row r="4" spans="1:12" x14ac:dyDescent="0.25">
      <c r="A4" s="1" t="str">
        <f>"12-"&amp;LEFT(RIGHTB(REPT(0,4)&amp;_xlfn.BASE(table_sequence[[#This Row],[num]],36),4),2)&amp;"-"&amp;RIGHT(RIGHTB(REPT(0,4)&amp;_xlfn.BASE(table_sequence[[#This Row],[num]],36),4),2)</f>
        <v>12-00-02</v>
      </c>
      <c r="B4" s="1">
        <v>2</v>
      </c>
      <c r="C4" s="1" t="str" cm="1">
        <f t="array" ref="C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SYNGAP1-24(All-DNA)(5′-H, 3′-H)</v>
      </c>
      <c r="D4" s="2" t="s">
        <v>173</v>
      </c>
      <c r="E4" s="3">
        <v>44972</v>
      </c>
      <c r="F4" s="2" t="s">
        <v>46</v>
      </c>
      <c r="G4" s="2"/>
      <c r="H4" s="2"/>
      <c r="J4" s="1" t="s">
        <v>237</v>
      </c>
      <c r="K4" s="1" t="str" cm="1">
        <f t="array" ref="K4">VLOOKUP(LEFT(table_sequence[[#This Row],[baseline_sequence]],8),DB17_baselinesequence[],COLUMN(DB17_baselinesequence[sequence_ns]),FALSE)</f>
        <v>A*G*A*A*A*T*G*G*A*G*A*G*G*G*A*G*A*G</v>
      </c>
      <c r="L4" s="1" t="s">
        <v>242</v>
      </c>
    </row>
    <row r="5" spans="1:12" x14ac:dyDescent="0.25">
      <c r="A5" s="1" t="str">
        <f>"12-"&amp;LEFT(RIGHTB(REPT(0,4)&amp;_xlfn.BASE(table_sequence[[#This Row],[num]],36),4),2)&amp;"-"&amp;RIGHT(RIGHTB(REPT(0,4)&amp;_xlfn.BASE(table_sequence[[#This Row],[num]],36),4),2)</f>
        <v>12-00-03</v>
      </c>
      <c r="B5" s="1">
        <v>3</v>
      </c>
      <c r="C5" s="1" t="str" cm="1">
        <f t="array" ref="C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SYNGAP1-24(Full MOE)(5′-H, 3′-H)</v>
      </c>
      <c r="D5" s="2" t="s">
        <v>174</v>
      </c>
      <c r="E5" s="3">
        <v>44972</v>
      </c>
      <c r="F5" s="2" t="s">
        <v>46</v>
      </c>
      <c r="G5" s="2"/>
      <c r="H5" s="2"/>
      <c r="J5" s="1" t="s">
        <v>237</v>
      </c>
      <c r="K5" s="1" t="str" cm="1">
        <f t="array" ref="K5">VLOOKUP(LEFT(table_sequence[[#This Row],[baseline_sequence]],8),DB17_baselinesequence[],COLUMN(DB17_baselinesequence[sequence_ns]),FALSE)</f>
        <v>A(M)*G(M)*A(M)*A(M)*A(M)*T(M)*G(M)*G(M)*A(M)*G(M)*A(M)*G(M)*G(M)*G(M)*A(M)*G(M)*A(M)*G(M)</v>
      </c>
      <c r="L5" s="1" t="s">
        <v>242</v>
      </c>
    </row>
    <row r="6" spans="1:12" x14ac:dyDescent="0.25">
      <c r="A6" s="1" t="str">
        <f>"12-"&amp;LEFT(RIGHTB(REPT(0,4)&amp;_xlfn.BASE(table_sequence[[#This Row],[num]],36),4),2)&amp;"-"&amp;RIGHT(RIGHTB(REPT(0,4)&amp;_xlfn.BASE(table_sequence[[#This Row],[num]],36),4),2)</f>
        <v>12-00-04</v>
      </c>
      <c r="B6" s="1">
        <v>4</v>
      </c>
      <c r="C6" s="1" t="str" cm="1">
        <f t="array" ref="C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SYNGAP1-5(All-DNA)(5′-H, 3′-H)</v>
      </c>
      <c r="D6" s="2" t="s">
        <v>175</v>
      </c>
      <c r="E6" s="3">
        <v>44972</v>
      </c>
      <c r="F6" s="2" t="s">
        <v>46</v>
      </c>
      <c r="G6" s="2"/>
      <c r="H6" s="2"/>
      <c r="J6" s="1" t="s">
        <v>237</v>
      </c>
      <c r="K6" s="1" t="str" cm="1">
        <f t="array" ref="K6">VLOOKUP(LEFT(table_sequence[[#This Row],[baseline_sequence]],8),DB17_baselinesequence[],COLUMN(DB17_baselinesequence[sequence_ns]),FALSE)</f>
        <v>G*A*C*A*C*C*A*G*G*G*A*G*A*G*A*C*A*G</v>
      </c>
      <c r="L6" s="1" t="s">
        <v>242</v>
      </c>
    </row>
    <row r="7" spans="1:12" x14ac:dyDescent="0.25">
      <c r="A7" s="1" t="str">
        <f>"12-"&amp;LEFT(RIGHTB(REPT(0,4)&amp;_xlfn.BASE(table_sequence[[#This Row],[num]],36),4),2)&amp;"-"&amp;RIGHT(RIGHTB(REPT(0,4)&amp;_xlfn.BASE(table_sequence[[#This Row],[num]],36),4),2)</f>
        <v>12-00-05</v>
      </c>
      <c r="B7" s="1">
        <v>5</v>
      </c>
      <c r="C7" s="1" t="str" cm="1">
        <f t="array" ref="C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SYNGAP1-5(Full MOE)(5′-H, 3′-H)</v>
      </c>
      <c r="D7" s="2" t="s">
        <v>176</v>
      </c>
      <c r="E7" s="3">
        <v>44972</v>
      </c>
      <c r="F7" s="2" t="s">
        <v>46</v>
      </c>
      <c r="G7" s="2"/>
      <c r="H7" s="2"/>
      <c r="J7" s="1" t="s">
        <v>237</v>
      </c>
      <c r="K7" s="1" t="str" cm="1">
        <f t="array" ref="K7">VLOOKUP(LEFT(table_sequence[[#This Row],[baseline_sequence]],8),DB17_baselinesequence[],COLUMN(DB17_baselinesequence[sequence_ns]),FALSE)</f>
        <v>G(M)*A(M)*mC(M)*A(M)*mC(M)*mC(M)*A(M)*G(M)*G(M)*G(M)*A(M)*G(M)*A(M)*G(M)*A(M)*mC(M)*A(M)*G(M)</v>
      </c>
      <c r="L7" s="1" t="s">
        <v>242</v>
      </c>
    </row>
    <row r="8" spans="1:12" x14ac:dyDescent="0.25">
      <c r="A8" s="1" t="str">
        <f>"12-"&amp;LEFT(RIGHTB(REPT(0,4)&amp;_xlfn.BASE(table_sequence[[#This Row],[num]],36),4),2)&amp;"-"&amp;RIGHT(RIGHTB(REPT(0,4)&amp;_xlfn.BASE(table_sequence[[#This Row],[num]],36),4),2)</f>
        <v>12-00-06</v>
      </c>
      <c r="B8" s="1">
        <v>6</v>
      </c>
      <c r="C8" s="1" t="str" cm="1">
        <f t="array" ref="C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mecp2-33(All-DNA)(5′-H, 3′-H)</v>
      </c>
      <c r="D8" s="2" t="s">
        <v>290</v>
      </c>
      <c r="E8" s="3">
        <v>44972</v>
      </c>
      <c r="F8" s="2" t="s">
        <v>46</v>
      </c>
      <c r="G8" s="2"/>
      <c r="H8" s="2"/>
      <c r="J8" s="1" t="s">
        <v>237</v>
      </c>
      <c r="K8" s="1" t="str" cm="1">
        <f t="array" ref="K8">VLOOKUP(LEFT(table_sequence[[#This Row],[baseline_sequence]],8),DB17_baselinesequence[],COLUMN(DB17_baselinesequence[sequence_ns]),FALSE)</f>
        <v>T*C*T*A*C*A*G*A*A*G*C*A*A*G*G*T*G*T</v>
      </c>
      <c r="L8" s="1" t="s">
        <v>242</v>
      </c>
    </row>
    <row r="9" spans="1:12" x14ac:dyDescent="0.25">
      <c r="A9" s="1" t="str">
        <f>"12-"&amp;LEFT(RIGHTB(REPT(0,4)&amp;_xlfn.BASE(table_sequence[[#This Row],[num]],36),4),2)&amp;"-"&amp;RIGHT(RIGHTB(REPT(0,4)&amp;_xlfn.BASE(table_sequence[[#This Row],[num]],36),4),2)</f>
        <v>12-00-07</v>
      </c>
      <c r="B9" s="1">
        <v>7</v>
      </c>
      <c r="C9" s="1" t="str" cm="1">
        <f t="array" ref="C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mecp2-33(Full MOE)(5′-H, 3′-H)</v>
      </c>
      <c r="D9" s="2" t="s">
        <v>291</v>
      </c>
      <c r="E9" s="3">
        <v>44972</v>
      </c>
      <c r="F9" s="2" t="s">
        <v>46</v>
      </c>
      <c r="G9" s="2"/>
      <c r="H9" s="2"/>
      <c r="J9" s="1" t="s">
        <v>237</v>
      </c>
      <c r="K9" s="1" t="str" cm="1">
        <f t="array" ref="K9">VLOOKUP(LEFT(table_sequence[[#This Row],[baseline_sequence]],8),DB17_baselinesequence[],COLUMN(DB17_baselinesequence[sequence_ns]),FALSE)</f>
        <v>T(M)*mC(M)*T(M)*A(M)*mC(M)*A(M)*G(M)*A(M)*A(M)*G(M)*mC(M)*A(M)*A(M)*G(M)*G(M)*T(M)*G(M)*T(M)</v>
      </c>
      <c r="L9" s="1" t="s">
        <v>242</v>
      </c>
    </row>
    <row r="10" spans="1:12" x14ac:dyDescent="0.25">
      <c r="A10" s="1" t="str">
        <f>"12-"&amp;LEFT(RIGHTB(REPT(0,4)&amp;_xlfn.BASE(table_sequence[[#This Row],[num]],36),4),2)&amp;"-"&amp;RIGHT(RIGHTB(REPT(0,4)&amp;_xlfn.BASE(table_sequence[[#This Row],[num]],36),4),2)</f>
        <v>12-00-08</v>
      </c>
      <c r="B10" s="1">
        <v>8</v>
      </c>
      <c r="C10" s="1" t="str" cm="1">
        <f t="array" ref="C1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mecp2-52(All-DNA)(5′-H, 3′-H)</v>
      </c>
      <c r="D10" s="2" t="s">
        <v>292</v>
      </c>
      <c r="E10" s="3">
        <v>44972</v>
      </c>
      <c r="F10" s="2" t="s">
        <v>46</v>
      </c>
      <c r="G10" s="2"/>
      <c r="H10" s="2"/>
      <c r="J10" s="1" t="s">
        <v>237</v>
      </c>
      <c r="K10" s="1" t="str" cm="1">
        <f t="array" ref="K10">VLOOKUP(LEFT(table_sequence[[#This Row],[baseline_sequence]],8),DB17_baselinesequence[],COLUMN(DB17_baselinesequence[sequence_ns]),FALSE)</f>
        <v>G*G*C*C*A*A*A*C*C*A*G*G*A*C*A*T*A*T</v>
      </c>
      <c r="L10" s="1" t="s">
        <v>242</v>
      </c>
    </row>
    <row r="11" spans="1:12" x14ac:dyDescent="0.25">
      <c r="A11" s="1" t="str">
        <f>"12-"&amp;LEFT(RIGHTB(REPT(0,4)&amp;_xlfn.BASE(table_sequence[[#This Row],[num]],36),4),2)&amp;"-"&amp;RIGHT(RIGHTB(REPT(0,4)&amp;_xlfn.BASE(table_sequence[[#This Row],[num]],36),4),2)</f>
        <v>12-00-09</v>
      </c>
      <c r="B11" s="1">
        <v>9</v>
      </c>
      <c r="C11" s="1" t="str" cm="1">
        <f t="array" ref="C1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mecp2-52(Full MOE)(5′-H, 3′-H)</v>
      </c>
      <c r="D11" s="2" t="s">
        <v>293</v>
      </c>
      <c r="E11" s="3">
        <v>44972</v>
      </c>
      <c r="F11" s="2" t="s">
        <v>46</v>
      </c>
      <c r="G11" s="2"/>
      <c r="H11" s="2"/>
      <c r="J11" s="1" t="s">
        <v>237</v>
      </c>
      <c r="K11" s="1" t="str" cm="1">
        <f t="array" ref="K11">VLOOKUP(LEFT(table_sequence[[#This Row],[baseline_sequence]],8),DB17_baselinesequence[],COLUMN(DB17_baselinesequence[sequence_ns]),FALSE)</f>
        <v>G(M)*G(M)*mC(M)*mC(M)*A(M)*A(M)*A(M)*mC(M)*mC(M)*A(M)*G(M)*G(M)*A(M)*mC(M)*A(M)*T(M)*A(M)*T(M)</v>
      </c>
      <c r="L11" s="1" t="s">
        <v>242</v>
      </c>
    </row>
    <row r="12" spans="1:12" x14ac:dyDescent="0.25">
      <c r="A12" s="1" t="str">
        <f>"12-"&amp;LEFT(RIGHTB(REPT(0,4)&amp;_xlfn.BASE(table_sequence[[#This Row],[num]],36),4),2)&amp;"-"&amp;RIGHT(RIGHTB(REPT(0,4)&amp;_xlfn.BASE(table_sequence[[#This Row],[num]],36),4),2)</f>
        <v>12-00-0A</v>
      </c>
      <c r="B12" s="1">
        <v>10</v>
      </c>
      <c r="C12" s="1" t="str" cm="1">
        <f t="array" ref="C1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T16(All-DNA)(5′-H, 3′-H)</v>
      </c>
      <c r="D12" s="2" t="s">
        <v>177</v>
      </c>
      <c r="E12" s="3">
        <v>44972</v>
      </c>
      <c r="F12" s="2" t="s">
        <v>46</v>
      </c>
      <c r="G12" s="2"/>
      <c r="H12" s="2"/>
      <c r="J12" s="1" t="s">
        <v>237</v>
      </c>
      <c r="K12" s="1" t="str" cm="1">
        <f t="array" ref="K12">VLOOKUP(LEFT(table_sequence[[#This Row],[baseline_sequence]],8),DB17_baselinesequence[],COLUMN(DB17_baselinesequence[sequence_ns]),FALSE)</f>
        <v>T*T*T*T*T*T*T*T*T*T*T*T*T*T*T*T</v>
      </c>
      <c r="L12" s="1" t="s">
        <v>242</v>
      </c>
    </row>
    <row r="13" spans="1:12" x14ac:dyDescent="0.25">
      <c r="A13" s="1" t="str">
        <f>"12-"&amp;LEFT(RIGHTB(REPT(0,4)&amp;_xlfn.BASE(table_sequence[[#This Row],[num]],36),4),2)&amp;"-"&amp;RIGHT(RIGHTB(REPT(0,4)&amp;_xlfn.BASE(table_sequence[[#This Row],[num]],36),4),2)</f>
        <v>12-00-0B</v>
      </c>
      <c r="B13" s="1">
        <v>11</v>
      </c>
      <c r="C13" s="1" t="str" cm="1">
        <f t="array" ref="C1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CAGTCAGT(5′-H, 3′-H)</v>
      </c>
      <c r="D13" s="2" t="s">
        <v>213</v>
      </c>
      <c r="E13" s="3">
        <v>44972</v>
      </c>
      <c r="F13" s="2" t="s">
        <v>46</v>
      </c>
      <c r="G13" s="2"/>
      <c r="H13" s="2"/>
      <c r="J13" s="1" t="s">
        <v>237</v>
      </c>
      <c r="K13" s="1" t="str" cm="1">
        <f t="array" ref="K13">VLOOKUP(LEFT(table_sequence[[#This Row],[baseline_sequence]],8),DB17_baselinesequence[],COLUMN(DB17_baselinesequence[sequence_ns]),FALSE)</f>
        <v>C*A*G*T*C*A*G*T</v>
      </c>
      <c r="L13" s="1" t="s">
        <v>242</v>
      </c>
    </row>
    <row r="14" spans="1:12" x14ac:dyDescent="0.25">
      <c r="A14" s="1" t="str">
        <f>"12-"&amp;LEFT(RIGHTB(REPT(0,4)&amp;_xlfn.BASE(table_sequence[[#This Row],[num]],36),4),2)&amp;"-"&amp;RIGHT(RIGHTB(REPT(0,4)&amp;_xlfn.BASE(table_sequence[[#This Row],[num]],36),4),2)</f>
        <v>12-00-0C</v>
      </c>
      <c r="B14" s="1">
        <v>12</v>
      </c>
      <c r="C14" s="1" t="str" cm="1">
        <f t="array" ref="C1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CAGT(5′-H, 3′-H)</v>
      </c>
      <c r="D14" s="2" t="s">
        <v>214</v>
      </c>
      <c r="E14" s="3">
        <v>44972</v>
      </c>
      <c r="F14" s="2" t="s">
        <v>46</v>
      </c>
      <c r="G14" s="2"/>
      <c r="H14" s="2"/>
      <c r="J14" s="1" t="s">
        <v>237</v>
      </c>
      <c r="K14" s="1" t="str" cm="1">
        <f t="array" ref="K14">VLOOKUP(LEFT(table_sequence[[#This Row],[baseline_sequence]],8),DB17_baselinesequence[],COLUMN(DB17_baselinesequence[sequence_ns]),FALSE)</f>
        <v>C*A*G*T</v>
      </c>
      <c r="L14" s="1" t="s">
        <v>242</v>
      </c>
    </row>
    <row r="15" spans="1:12" x14ac:dyDescent="0.25">
      <c r="A15" s="1" t="str">
        <f>"12-"&amp;LEFT(RIGHTB(REPT(0,4)&amp;_xlfn.BASE(table_sequence[[#This Row],[num]],36),4),2)&amp;"-"&amp;RIGHT(RIGHTB(REPT(0,4)&amp;_xlfn.BASE(table_sequence[[#This Row],[num]],36),4),2)</f>
        <v>12-00-0D</v>
      </c>
      <c r="B15" s="1">
        <v>13</v>
      </c>
      <c r="C15" s="1" t="str" cm="1">
        <f t="array" ref="C1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TGT(5′-H, 3′-H)</v>
      </c>
      <c r="D15" s="2" t="s">
        <v>178</v>
      </c>
      <c r="E15" s="3">
        <v>44972</v>
      </c>
      <c r="F15" s="2" t="s">
        <v>46</v>
      </c>
      <c r="G15" s="2"/>
      <c r="H15" s="2"/>
      <c r="J15" s="1" t="s">
        <v>237</v>
      </c>
      <c r="K15" s="1" t="str" cm="1">
        <f t="array" ref="K15">VLOOKUP(LEFT(table_sequence[[#This Row],[baseline_sequence]],8),DB17_baselinesequence[],COLUMN(DB17_baselinesequence[sequence_ns]),FALSE)</f>
        <v>T*G*T</v>
      </c>
      <c r="L15" s="1" t="s">
        <v>242</v>
      </c>
    </row>
    <row r="16" spans="1:12" x14ac:dyDescent="0.25">
      <c r="A16" s="1" t="str">
        <f>"12-"&amp;LEFT(RIGHTB(REPT(0,4)&amp;_xlfn.BASE(table_sequence[[#This Row],[num]],36),4),2)&amp;"-"&amp;RIGHT(RIGHTB(REPT(0,4)&amp;_xlfn.BASE(table_sequence[[#This Row],[num]],36),4),2)</f>
        <v>12-00-0E</v>
      </c>
      <c r="B16" s="1">
        <v>14</v>
      </c>
      <c r="C16" s="1" t="str" cm="1">
        <f t="array" ref="C1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AT(5′-C6Amine, 3′-H)</v>
      </c>
      <c r="D16" s="2" t="s">
        <v>238</v>
      </c>
      <c r="E16" s="3">
        <v>44972</v>
      </c>
      <c r="F16" s="2" t="s">
        <v>46</v>
      </c>
      <c r="G16" s="2"/>
      <c r="H16" s="2"/>
      <c r="J16" s="1" t="s">
        <v>241</v>
      </c>
      <c r="K16" s="1" t="str" cm="1">
        <f t="array" ref="K16">VLOOKUP(LEFT(table_sequence[[#This Row],[baseline_sequence]],8),DB17_baselinesequence[],COLUMN(DB17_baselinesequence[sequence_ns]),FALSE)</f>
        <v>A*T</v>
      </c>
      <c r="L16" s="1" t="s">
        <v>242</v>
      </c>
    </row>
    <row r="17" spans="1:12" x14ac:dyDescent="0.25">
      <c r="A17" s="1" t="str">
        <f>"12-"&amp;LEFT(RIGHTB(REPT(0,4)&amp;_xlfn.BASE(table_sequence[[#This Row],[num]],36),4),2)&amp;"-"&amp;RIGHT(RIGHTB(REPT(0,4)&amp;_xlfn.BASE(table_sequence[[#This Row],[num]],36),4),2)</f>
        <v>12-00-0F</v>
      </c>
      <c r="B17" s="1">
        <v>15</v>
      </c>
      <c r="C17" s="1" t="str" cm="1">
        <f t="array" ref="C1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CT(5′-C6Amine, 3′-H)</v>
      </c>
      <c r="D17" s="2" t="s">
        <v>239</v>
      </c>
      <c r="E17" s="3">
        <v>44979</v>
      </c>
      <c r="F17" s="2" t="s">
        <v>46</v>
      </c>
      <c r="G17" s="2"/>
      <c r="H17" s="2"/>
      <c r="J17" s="1" t="s">
        <v>241</v>
      </c>
      <c r="K17" s="1" t="str" cm="1">
        <f t="array" ref="K17">VLOOKUP(LEFT(table_sequence[[#This Row],[baseline_sequence]],8),DB17_baselinesequence[],COLUMN(DB17_baselinesequence[sequence_ns]),FALSE)</f>
        <v>C*T</v>
      </c>
      <c r="L17" s="1" t="s">
        <v>242</v>
      </c>
    </row>
    <row r="18" spans="1:12" x14ac:dyDescent="0.25">
      <c r="A18" s="1" t="str">
        <f>"12-"&amp;LEFT(RIGHTB(REPT(0,4)&amp;_xlfn.BASE(table_sequence[[#This Row],[num]],36),4),2)&amp;"-"&amp;RIGHT(RIGHTB(REPT(0,4)&amp;_xlfn.BASE(table_sequence[[#This Row],[num]],36),4),2)</f>
        <v>12-00-0G</v>
      </c>
      <c r="B18" s="1">
        <v>16</v>
      </c>
      <c r="C18" s="1" t="str" cm="1">
        <f t="array" ref="C1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GT(5′-C6Amine, 3′-H)</v>
      </c>
      <c r="D18" s="2" t="s">
        <v>179</v>
      </c>
      <c r="E18" s="3">
        <v>44979</v>
      </c>
      <c r="F18" s="2" t="s">
        <v>46</v>
      </c>
      <c r="G18" s="2"/>
      <c r="H18" s="2"/>
      <c r="J18" s="1" t="s">
        <v>241</v>
      </c>
      <c r="K18" s="1" t="str" cm="1">
        <f t="array" ref="K18">VLOOKUP(LEFT(table_sequence[[#This Row],[baseline_sequence]],8),DB17_baselinesequence[],COLUMN(DB17_baselinesequence[sequence_ns]),FALSE)</f>
        <v>G*T</v>
      </c>
      <c r="L18" s="1" t="s">
        <v>242</v>
      </c>
    </row>
    <row r="19" spans="1:12" x14ac:dyDescent="0.25">
      <c r="A19" s="1" t="str">
        <f>"12-"&amp;LEFT(RIGHTB(REPT(0,4)&amp;_xlfn.BASE(table_sequence[[#This Row],[num]],36),4),2)&amp;"-"&amp;RIGHT(RIGHTB(REPT(0,4)&amp;_xlfn.BASE(table_sequence[[#This Row],[num]],36),4),2)</f>
        <v>12-00-0H</v>
      </c>
      <c r="B19" s="1">
        <v>17</v>
      </c>
      <c r="C19" s="1" t="str" cm="1">
        <f t="array" ref="C1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TT(5′-C6Amine, 3′-H)</v>
      </c>
      <c r="D19" s="2" t="s">
        <v>240</v>
      </c>
      <c r="E19" s="3">
        <v>44979</v>
      </c>
      <c r="F19" s="2" t="s">
        <v>46</v>
      </c>
      <c r="G19" s="2"/>
      <c r="H19" s="2"/>
      <c r="J19" s="1" t="s">
        <v>241</v>
      </c>
      <c r="K19" s="1" t="str" cm="1">
        <f t="array" ref="K19">VLOOKUP(LEFT(table_sequence[[#This Row],[baseline_sequence]],8),DB17_baselinesequence[],COLUMN(DB17_baselinesequence[sequence_ns]),FALSE)</f>
        <v>T*T</v>
      </c>
      <c r="L19" s="1" t="s">
        <v>242</v>
      </c>
    </row>
    <row r="20" spans="1:12" x14ac:dyDescent="0.25">
      <c r="A20" s="1" t="str">
        <f>"12-"&amp;LEFT(RIGHTB(REPT(0,4)&amp;_xlfn.BASE(table_sequence[[#This Row],[num]],36),4),2)&amp;"-"&amp;RIGHT(RIGHTB(REPT(0,4)&amp;_xlfn.BASE(table_sequence[[#This Row],[num]],36),4),2)</f>
        <v>12-00-0I</v>
      </c>
      <c r="B20" s="1">
        <v>18</v>
      </c>
      <c r="C20" s="1" t="str" cm="1">
        <f t="array" ref="C2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Malat1-ASO(5′-H, 3′-H)</v>
      </c>
      <c r="D20" s="2" t="s">
        <v>275</v>
      </c>
      <c r="E20" s="3">
        <v>45009</v>
      </c>
      <c r="F20" s="2" t="s">
        <v>46</v>
      </c>
      <c r="G20" s="2"/>
      <c r="H20" s="2"/>
      <c r="J20" s="1" t="s">
        <v>237</v>
      </c>
      <c r="K20" s="1" t="str" cm="1">
        <f t="array" ref="K20">VLOOKUP(LEFT(table_sequence[[#This Row],[baseline_sequence]],8),DB17_baselinesequence[],COLUMN(DB17_baselinesequence[sequence_ns]),FALSE)</f>
        <v>mC(L)*T(L)*A(L)*G*T*T*C*A*C*T*G*A*A*T(L)*G(L)*mC(L)</v>
      </c>
      <c r="L20" s="1" t="s">
        <v>242</v>
      </c>
    </row>
    <row r="21" spans="1:12" x14ac:dyDescent="0.25">
      <c r="A21" s="1" t="str">
        <f>"12-"&amp;LEFT(RIGHTB(REPT(0,4)&amp;_xlfn.BASE(table_sequence[[#This Row],[num]],36),4),2)&amp;"-"&amp;RIGHT(RIGHTB(REPT(0,4)&amp;_xlfn.BASE(table_sequence[[#This Row],[num]],36),4),2)</f>
        <v>12-00-0J</v>
      </c>
      <c r="B21" s="1">
        <v>19</v>
      </c>
      <c r="C21" s="1" t="str" cm="1">
        <f t="array" ref="C2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Malat1-ASO(5′-C6Amine, 3′-H)</v>
      </c>
      <c r="D21" s="2" t="s">
        <v>275</v>
      </c>
      <c r="E21" s="3">
        <v>45009</v>
      </c>
      <c r="F21" s="2" t="s">
        <v>46</v>
      </c>
      <c r="G21" s="2"/>
      <c r="H21" s="2"/>
      <c r="J21" s="1" t="s">
        <v>241</v>
      </c>
      <c r="K21" s="1" t="str" cm="1">
        <f t="array" ref="K21">VLOOKUP(LEFT(table_sequence[[#This Row],[baseline_sequence]],8),DB17_baselinesequence[],COLUMN(DB17_baselinesequence[sequence_ns]),FALSE)</f>
        <v>mC(L)*T(L)*A(L)*G*T*T*C*A*C*T*G*A*A*T(L)*G(L)*mC(L)</v>
      </c>
      <c r="L21" s="1" t="s">
        <v>242</v>
      </c>
    </row>
  </sheetData>
  <phoneticPr fontId="1"/>
  <conditionalFormatting sqref="D4:D5">
    <cfRule type="cellIs" dxfId="42" priority="4" operator="equal">
      <formula>"ON"</formula>
    </cfRule>
  </conditionalFormatting>
  <conditionalFormatting sqref="D2:H9 G10:H13 D10:F15 E16:F16">
    <cfRule type="cellIs" dxfId="41" priority="25" operator="equal">
      <formula>"ON"</formula>
    </cfRule>
  </conditionalFormatting>
  <conditionalFormatting sqref="E17:E21">
    <cfRule type="cellIs" dxfId="40" priority="1" operator="equal">
      <formula>"ON"</formula>
    </cfRule>
  </conditionalFormatting>
  <conditionalFormatting sqref="F17:F21">
    <cfRule type="cellIs" dxfId="39" priority="2" operator="equal">
      <formula>"ON"</formula>
    </cfRule>
  </conditionalFormatting>
  <dataValidations count="3">
    <dataValidation type="list" allowBlank="1" showInputMessage="1" showErrorMessage="1" sqref="J2:J21" xr:uid="{3ED630C9-07EF-428C-8437-67D8B91F276B}">
      <formula1>_xlfn.ANCHORARRAY(name_mod5)</formula1>
    </dataValidation>
    <dataValidation type="list" allowBlank="1" showInputMessage="1" showErrorMessage="1" sqref="L2:L21" xr:uid="{362B2180-15F2-40B1-B5D3-C14DA7D7A922}">
      <formula1>_xlfn.ANCHORARRAY(name_mod3)</formula1>
    </dataValidation>
    <dataValidation type="list" showInputMessage="1" showErrorMessage="1" sqref="D2:D21" xr:uid="{0231476C-C779-433E-B089-FF81A36B6EEE}">
      <formula1>_xlfn.ANCHORARRAY(baseline_sequence)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D877-5849-4487-B52D-620EB9EA4E60}">
  <dimension ref="A1:C22"/>
  <sheetViews>
    <sheetView workbookViewId="0">
      <selection activeCell="A5" sqref="A5"/>
    </sheetView>
  </sheetViews>
  <sheetFormatPr defaultColWidth="8.88671875" defaultRowHeight="17.25" x14ac:dyDescent="0.25"/>
  <cols>
    <col min="1" max="1" width="43.6640625" style="1" bestFit="1" customWidth="1"/>
    <col min="2" max="2" width="35.21875" style="1" bestFit="1" customWidth="1"/>
    <col min="3" max="3" width="26.77734375" style="1" bestFit="1" customWidth="1"/>
    <col min="4" max="16384" width="8.88671875" style="1"/>
  </cols>
  <sheetData>
    <row r="1" spans="1:3" x14ac:dyDescent="0.25">
      <c r="A1" s="1" t="str" cm="1">
        <f t="array" aca="1" ref="A1" ca="1">LEFT(CELL("filename",$A$1),FIND("[",CELL("filename",$A$1),1)-1)</f>
        <v>G:\マイドライブ\共有用\オリゴ管理\データベース\</v>
      </c>
    </row>
    <row r="3" spans="1:3" x14ac:dyDescent="0.25">
      <c r="A3" s="6" t="s">
        <v>40</v>
      </c>
      <c r="B3" s="6" t="s">
        <v>43</v>
      </c>
      <c r="C3" s="6" t="s">
        <v>44</v>
      </c>
    </row>
    <row r="4" spans="1:3" x14ac:dyDescent="0.25">
      <c r="A4" s="1" t="str" cm="1">
        <f t="array" ref="A4:A22">DB17_baselinesequence[ID]&amp;" "&amp;DB17_baselinesequence[name]</f>
        <v>17-00-01 Bace1(All-DNA)</v>
      </c>
      <c r="B4" s="1" t="str" cm="1">
        <f t="array" ref="B4:B5">DB14_Modification5[id_modification]&amp;" "&amp;DB14_Modification5[name]</f>
        <v>14-00-00 H</v>
      </c>
      <c r="C4" s="1" t="str" cm="1">
        <f t="array" ref="C4:C6">DB15_modification3[id_modification]&amp;" "&amp;DB15_modification3[name]</f>
        <v>15-00-00 H</v>
      </c>
    </row>
    <row r="5" spans="1:3" x14ac:dyDescent="0.25">
      <c r="A5" s="1" t="str">
        <v>17-00-02 Bace1 gapmer</v>
      </c>
      <c r="B5" s="1" t="str">
        <v>14-00-01 C6Amine</v>
      </c>
      <c r="C5" s="1" t="str">
        <v>15-00-01 C6Amine</v>
      </c>
    </row>
    <row r="6" spans="1:3" x14ac:dyDescent="0.25">
      <c r="A6" s="1" t="str">
        <v>17-00-03 SYNGAP1-24(All-DNA)</v>
      </c>
      <c r="C6" s="1" t="str">
        <v>15-00-02 DBCO</v>
      </c>
    </row>
    <row r="7" spans="1:3" x14ac:dyDescent="0.25">
      <c r="A7" s="1" t="str">
        <v>17-00-04 SYNGAP1-24(Full MOE)</v>
      </c>
    </row>
    <row r="8" spans="1:3" x14ac:dyDescent="0.25">
      <c r="A8" s="1" t="str">
        <v>17-00-05 SYNGAP1-5(All-DNA)</v>
      </c>
    </row>
    <row r="9" spans="1:3" x14ac:dyDescent="0.25">
      <c r="A9" s="1" t="str">
        <v>17-00-06 SYNGAP1-5(Full MOE)</v>
      </c>
    </row>
    <row r="10" spans="1:3" x14ac:dyDescent="0.25">
      <c r="A10" s="1" t="str">
        <v>17-00-07 mecp2-33(All-DNA)</v>
      </c>
    </row>
    <row r="11" spans="1:3" x14ac:dyDescent="0.25">
      <c r="A11" s="1" t="str">
        <v>17-00-08 mecp2-33(Full MOE)</v>
      </c>
    </row>
    <row r="12" spans="1:3" x14ac:dyDescent="0.25">
      <c r="A12" s="1" t="str">
        <v>17-00-09 mecp2-52(All-DNA)</v>
      </c>
    </row>
    <row r="13" spans="1:3" x14ac:dyDescent="0.25">
      <c r="A13" s="1" t="str">
        <v>17-00-0A mecp2-52(Full MOE)</v>
      </c>
    </row>
    <row r="14" spans="1:3" x14ac:dyDescent="0.25">
      <c r="A14" s="1" t="str">
        <v>17-00-0B T16(All-DNA)</v>
      </c>
    </row>
    <row r="15" spans="1:3" x14ac:dyDescent="0.25">
      <c r="A15" s="1" t="str">
        <v>17-00-0C CAGTCAGT</v>
      </c>
    </row>
    <row r="16" spans="1:3" x14ac:dyDescent="0.25">
      <c r="A16" s="1" t="str">
        <v>17-00-0D CAGT</v>
      </c>
    </row>
    <row r="17" spans="1:1" x14ac:dyDescent="0.25">
      <c r="A17" s="1" t="str">
        <v>17-00-0E TGT</v>
      </c>
    </row>
    <row r="18" spans="1:1" x14ac:dyDescent="0.25">
      <c r="A18" s="1" t="str">
        <v>17-00-0F GT</v>
      </c>
    </row>
    <row r="19" spans="1:1" x14ac:dyDescent="0.25">
      <c r="A19" s="1" t="str">
        <v>17-00-0G AT</v>
      </c>
    </row>
    <row r="20" spans="1:1" x14ac:dyDescent="0.25">
      <c r="A20" s="1" t="str">
        <v>17-00-0H CT</v>
      </c>
    </row>
    <row r="21" spans="1:1" x14ac:dyDescent="0.25">
      <c r="A21" s="1" t="str">
        <v>17-00-0I TT</v>
      </c>
    </row>
    <row r="22" spans="1:1" x14ac:dyDescent="0.25">
      <c r="A22" s="1" t="str">
        <v>17-00-0J Malat1-ASO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A8CE-69F5-4245-9EC6-2C4AE40A6AC9}">
  <dimension ref="A1:AA3"/>
  <sheetViews>
    <sheetView workbookViewId="0">
      <selection activeCell="A3" sqref="A3"/>
    </sheetView>
  </sheetViews>
  <sheetFormatPr defaultRowHeight="15.75" x14ac:dyDescent="0.25"/>
  <cols>
    <col min="1" max="1" width="17.6640625" bestFit="1" customWidth="1"/>
    <col min="2" max="2" width="7.21875" bestFit="1" customWidth="1"/>
    <col min="3" max="3" width="8.77734375" bestFit="1" customWidth="1"/>
    <col min="4" max="4" width="6.5546875" bestFit="1" customWidth="1"/>
    <col min="5" max="5" width="11.21875" bestFit="1" customWidth="1"/>
    <col min="6" max="8" width="8.33203125" bestFit="1" customWidth="1"/>
    <col min="9" max="10" width="8.77734375" bestFit="1" customWidth="1"/>
    <col min="11" max="11" width="14" bestFit="1" customWidth="1"/>
    <col min="12" max="12" width="12.109375" bestFit="1" customWidth="1"/>
    <col min="13" max="13" width="5.77734375" bestFit="1" customWidth="1"/>
    <col min="14" max="14" width="14.44140625" bestFit="1" customWidth="1"/>
    <col min="15" max="15" width="14.21875" bestFit="1" customWidth="1"/>
    <col min="16" max="16" width="4.44140625" bestFit="1" customWidth="1"/>
    <col min="17" max="17" width="4.6640625" bestFit="1" customWidth="1"/>
    <col min="18" max="18" width="4.5546875" bestFit="1" customWidth="1"/>
    <col min="19" max="19" width="5" bestFit="1" customWidth="1"/>
    <col min="20" max="20" width="4.33203125" bestFit="1" customWidth="1"/>
    <col min="21" max="21" width="4.5546875" bestFit="1" customWidth="1"/>
    <col min="22" max="22" width="4.6640625" bestFit="1" customWidth="1"/>
    <col min="23" max="23" width="5.6640625" bestFit="1" customWidth="1"/>
    <col min="24" max="24" width="4.6640625" bestFit="1" customWidth="1"/>
    <col min="25" max="26" width="4.44140625" bestFit="1" customWidth="1"/>
    <col min="27" max="27" width="5" bestFit="1" customWidth="1"/>
  </cols>
  <sheetData>
    <row r="1" spans="1:27" x14ac:dyDescent="0.25">
      <c r="A1" t="s">
        <v>104</v>
      </c>
      <c r="B1" t="s">
        <v>105</v>
      </c>
      <c r="C1" t="s">
        <v>24</v>
      </c>
      <c r="D1" t="s">
        <v>106</v>
      </c>
      <c r="E1" t="s">
        <v>107</v>
      </c>
      <c r="F1" t="s">
        <v>108</v>
      </c>
      <c r="G1" t="s">
        <v>27</v>
      </c>
      <c r="H1" t="s">
        <v>28</v>
      </c>
      <c r="I1" t="s">
        <v>51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</row>
    <row r="2" spans="1:27" x14ac:dyDescent="0.25">
      <c r="A2" t="s">
        <v>223</v>
      </c>
      <c r="B2">
        <v>0</v>
      </c>
      <c r="C2" t="s">
        <v>2</v>
      </c>
      <c r="D2" t="s">
        <v>115</v>
      </c>
      <c r="E2" s="7">
        <v>44926</v>
      </c>
      <c r="F2" t="s">
        <v>48</v>
      </c>
      <c r="J2" t="s">
        <v>2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224</v>
      </c>
      <c r="B3">
        <v>1</v>
      </c>
      <c r="C3" t="s">
        <v>13</v>
      </c>
      <c r="D3" t="s">
        <v>115</v>
      </c>
      <c r="E3" s="7">
        <v>44926</v>
      </c>
      <c r="F3" t="s">
        <v>48</v>
      </c>
      <c r="J3" t="s">
        <v>13</v>
      </c>
      <c r="P3">
        <v>6</v>
      </c>
      <c r="Q3">
        <v>18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2</v>
      </c>
      <c r="Y3">
        <v>1</v>
      </c>
      <c r="Z3">
        <v>0</v>
      </c>
      <c r="AA3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0250-1191-4CA8-BF3D-604CE08CC03A}">
  <dimension ref="A1:AB4"/>
  <sheetViews>
    <sheetView workbookViewId="0">
      <selection activeCell="F3" sqref="F3"/>
    </sheetView>
  </sheetViews>
  <sheetFormatPr defaultRowHeight="15.75" x14ac:dyDescent="0.25"/>
  <cols>
    <col min="1" max="1" width="17.6640625" bestFit="1" customWidth="1"/>
    <col min="2" max="2" width="7.21875" bestFit="1" customWidth="1"/>
    <col min="3" max="3" width="8.77734375" bestFit="1" customWidth="1"/>
    <col min="4" max="4" width="6.5546875" bestFit="1" customWidth="1"/>
    <col min="5" max="5" width="11.21875" bestFit="1" customWidth="1"/>
    <col min="6" max="8" width="8.33203125" bestFit="1" customWidth="1"/>
    <col min="9" max="10" width="8.77734375" bestFit="1" customWidth="1"/>
    <col min="11" max="11" width="14" bestFit="1" customWidth="1"/>
    <col min="12" max="12" width="12.109375" bestFit="1" customWidth="1"/>
    <col min="13" max="13" width="5.77734375" bestFit="1" customWidth="1"/>
    <col min="14" max="14" width="18.6640625" bestFit="1" customWidth="1"/>
    <col min="15" max="15" width="14.44140625" bestFit="1" customWidth="1"/>
    <col min="16" max="16" width="14.21875" bestFit="1" customWidth="1"/>
    <col min="17" max="17" width="4.44140625" bestFit="1" customWidth="1"/>
    <col min="18" max="18" width="4.6640625" bestFit="1" customWidth="1"/>
    <col min="19" max="19" width="4.5546875" bestFit="1" customWidth="1"/>
    <col min="20" max="20" width="5" bestFit="1" customWidth="1"/>
    <col min="21" max="21" width="4.33203125" bestFit="1" customWidth="1"/>
    <col min="22" max="22" width="4.5546875" bestFit="1" customWidth="1"/>
    <col min="23" max="23" width="4.6640625" bestFit="1" customWidth="1"/>
    <col min="24" max="24" width="5.6640625" bestFit="1" customWidth="1"/>
    <col min="25" max="25" width="4.6640625" bestFit="1" customWidth="1"/>
    <col min="26" max="27" width="4.44140625" bestFit="1" customWidth="1"/>
    <col min="28" max="28" width="5" bestFit="1" customWidth="1"/>
  </cols>
  <sheetData>
    <row r="1" spans="1:28" x14ac:dyDescent="0.25">
      <c r="A1" t="s">
        <v>104</v>
      </c>
      <c r="B1" t="s">
        <v>105</v>
      </c>
      <c r="C1" t="s">
        <v>24</v>
      </c>
      <c r="D1" t="s">
        <v>106</v>
      </c>
      <c r="E1" t="s">
        <v>107</v>
      </c>
      <c r="F1" t="s">
        <v>108</v>
      </c>
      <c r="G1" t="s">
        <v>27</v>
      </c>
      <c r="H1" t="s">
        <v>28</v>
      </c>
      <c r="I1" t="s">
        <v>51</v>
      </c>
      <c r="J1" t="s">
        <v>109</v>
      </c>
      <c r="K1" t="s">
        <v>110</v>
      </c>
      <c r="L1" t="s">
        <v>111</v>
      </c>
      <c r="M1" t="s">
        <v>112</v>
      </c>
      <c r="N1" t="s">
        <v>42</v>
      </c>
      <c r="O1" t="s">
        <v>113</v>
      </c>
      <c r="P1" t="s">
        <v>114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</row>
    <row r="2" spans="1:28" x14ac:dyDescent="0.25">
      <c r="A2" t="s">
        <v>217</v>
      </c>
      <c r="B2">
        <v>0</v>
      </c>
      <c r="C2" t="s">
        <v>2</v>
      </c>
      <c r="D2" t="s">
        <v>115</v>
      </c>
      <c r="E2" s="7">
        <v>44926</v>
      </c>
      <c r="F2" t="s">
        <v>48</v>
      </c>
      <c r="J2" t="s">
        <v>2</v>
      </c>
      <c r="N2" t="s">
        <v>218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 t="s">
        <v>219</v>
      </c>
      <c r="B3">
        <v>1</v>
      </c>
      <c r="C3" t="s">
        <v>13</v>
      </c>
      <c r="D3" t="s">
        <v>115</v>
      </c>
      <c r="E3" s="7">
        <v>44926</v>
      </c>
      <c r="F3" t="s">
        <v>48</v>
      </c>
      <c r="J3" t="s">
        <v>13</v>
      </c>
      <c r="N3" t="s">
        <v>220</v>
      </c>
      <c r="Q3">
        <v>6</v>
      </c>
      <c r="R3">
        <v>18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2</v>
      </c>
      <c r="Z3">
        <v>1</v>
      </c>
      <c r="AA3">
        <v>0</v>
      </c>
      <c r="AB3">
        <v>0</v>
      </c>
    </row>
    <row r="4" spans="1:28" x14ac:dyDescent="0.25">
      <c r="A4" t="s">
        <v>221</v>
      </c>
      <c r="B4">
        <v>2</v>
      </c>
      <c r="C4" t="s">
        <v>14</v>
      </c>
      <c r="D4" t="s">
        <v>115</v>
      </c>
      <c r="E4" s="7">
        <v>44926</v>
      </c>
      <c r="F4" t="s">
        <v>48</v>
      </c>
      <c r="J4" t="s">
        <v>14</v>
      </c>
      <c r="N4" t="s">
        <v>222</v>
      </c>
      <c r="Q4">
        <v>25</v>
      </c>
      <c r="R4">
        <v>31</v>
      </c>
      <c r="S4">
        <v>1</v>
      </c>
      <c r="T4">
        <v>0</v>
      </c>
      <c r="U4">
        <v>0</v>
      </c>
      <c r="V4">
        <v>0</v>
      </c>
      <c r="W4">
        <v>2</v>
      </c>
      <c r="X4">
        <v>0</v>
      </c>
      <c r="Y4">
        <v>4</v>
      </c>
      <c r="Z4">
        <v>1</v>
      </c>
      <c r="AA4">
        <v>0</v>
      </c>
      <c r="AB4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C95F-893C-4D21-BB33-CAD6AE0190FD}">
  <dimension ref="A1:P20"/>
  <sheetViews>
    <sheetView workbookViewId="0">
      <selection activeCell="B17" sqref="B17"/>
    </sheetView>
  </sheetViews>
  <sheetFormatPr defaultRowHeight="15.75" x14ac:dyDescent="0.25"/>
  <cols>
    <col min="1" max="1" width="9.33203125" bestFit="1" customWidth="1"/>
    <col min="2" max="2" width="21.5546875" bestFit="1" customWidth="1"/>
    <col min="3" max="3" width="10" bestFit="1" customWidth="1"/>
    <col min="4" max="4" width="13.6640625" bestFit="1" customWidth="1"/>
    <col min="5" max="5" width="12.6640625" bestFit="1" customWidth="1"/>
    <col min="6" max="6" width="11.88671875" bestFit="1" customWidth="1"/>
    <col min="7" max="7" width="10.88671875" bestFit="1" customWidth="1"/>
    <col min="8" max="9" width="8.6640625" bestFit="1" customWidth="1"/>
    <col min="10" max="11" width="80.88671875" bestFit="1" customWidth="1"/>
    <col min="12" max="12" width="11.21875" bestFit="1" customWidth="1"/>
    <col min="13" max="13" width="8.33203125" bestFit="1" customWidth="1"/>
    <col min="14" max="14" width="12.44140625" bestFit="1" customWidth="1"/>
    <col min="15" max="15" width="12.77734375" bestFit="1" customWidth="1"/>
    <col min="16" max="17" width="11.6640625" bestFit="1" customWidth="1"/>
  </cols>
  <sheetData>
    <row r="1" spans="1:16" x14ac:dyDescent="0.25">
      <c r="A1" t="s">
        <v>122</v>
      </c>
      <c r="B1" t="s">
        <v>24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25</v>
      </c>
      <c r="K1" t="s">
        <v>26</v>
      </c>
      <c r="L1" t="s">
        <v>27</v>
      </c>
      <c r="M1" t="s">
        <v>28</v>
      </c>
      <c r="N1" t="s">
        <v>130</v>
      </c>
      <c r="O1" t="s">
        <v>131</v>
      </c>
      <c r="P1" t="s">
        <v>132</v>
      </c>
    </row>
    <row r="2" spans="1:16" x14ac:dyDescent="0.25">
      <c r="A2" t="s">
        <v>133</v>
      </c>
      <c r="B2" t="s">
        <v>134</v>
      </c>
      <c r="C2" t="s">
        <v>29</v>
      </c>
      <c r="D2" t="s">
        <v>135</v>
      </c>
      <c r="E2" t="s">
        <v>135</v>
      </c>
      <c r="F2" t="s">
        <v>136</v>
      </c>
      <c r="G2" t="s">
        <v>136</v>
      </c>
      <c r="H2">
        <v>2</v>
      </c>
      <c r="I2">
        <v>3</v>
      </c>
      <c r="J2" t="s">
        <v>137</v>
      </c>
      <c r="K2" t="s">
        <v>138</v>
      </c>
      <c r="L2" s="7">
        <v>44926</v>
      </c>
    </row>
    <row r="3" spans="1:16" x14ac:dyDescent="0.25">
      <c r="A3" t="s">
        <v>139</v>
      </c>
      <c r="B3" t="s">
        <v>140</v>
      </c>
      <c r="C3" t="s">
        <v>29</v>
      </c>
      <c r="D3" t="s">
        <v>141</v>
      </c>
      <c r="E3" t="s">
        <v>135</v>
      </c>
      <c r="F3" t="s">
        <v>136</v>
      </c>
      <c r="G3" t="s">
        <v>136</v>
      </c>
      <c r="H3">
        <v>2</v>
      </c>
      <c r="I3">
        <v>3</v>
      </c>
      <c r="J3" t="s">
        <v>119</v>
      </c>
      <c r="K3" t="s">
        <v>120</v>
      </c>
      <c r="L3" s="7">
        <v>44926</v>
      </c>
    </row>
    <row r="4" spans="1:16" x14ac:dyDescent="0.25">
      <c r="A4" t="s">
        <v>142</v>
      </c>
      <c r="B4" t="s">
        <v>143</v>
      </c>
      <c r="C4" t="s">
        <v>29</v>
      </c>
      <c r="D4" t="s">
        <v>135</v>
      </c>
      <c r="E4" t="s">
        <v>135</v>
      </c>
      <c r="F4" t="s">
        <v>136</v>
      </c>
      <c r="G4" t="s">
        <v>136</v>
      </c>
      <c r="H4">
        <v>0</v>
      </c>
      <c r="I4">
        <v>0</v>
      </c>
      <c r="J4" t="s">
        <v>30</v>
      </c>
      <c r="K4" t="s">
        <v>31</v>
      </c>
      <c r="L4" s="7">
        <v>44926</v>
      </c>
    </row>
    <row r="5" spans="1:16" x14ac:dyDescent="0.25">
      <c r="A5" t="s">
        <v>144</v>
      </c>
      <c r="B5" t="s">
        <v>145</v>
      </c>
      <c r="C5" t="s">
        <v>29</v>
      </c>
      <c r="D5" t="s">
        <v>146</v>
      </c>
      <c r="E5" t="s">
        <v>146</v>
      </c>
      <c r="F5" t="s">
        <v>136</v>
      </c>
      <c r="G5" t="s">
        <v>136</v>
      </c>
      <c r="H5">
        <v>0</v>
      </c>
      <c r="I5">
        <v>0</v>
      </c>
      <c r="J5" t="s">
        <v>32</v>
      </c>
      <c r="K5" t="s">
        <v>33</v>
      </c>
      <c r="L5" s="7">
        <v>44926</v>
      </c>
    </row>
    <row r="6" spans="1:16" x14ac:dyDescent="0.25">
      <c r="A6" t="s">
        <v>147</v>
      </c>
      <c r="B6" t="s">
        <v>148</v>
      </c>
      <c r="C6" t="s">
        <v>29</v>
      </c>
      <c r="D6" t="s">
        <v>135</v>
      </c>
      <c r="E6" t="s">
        <v>135</v>
      </c>
      <c r="F6" t="s">
        <v>136</v>
      </c>
      <c r="G6" t="s">
        <v>136</v>
      </c>
      <c r="H6">
        <v>0</v>
      </c>
      <c r="I6">
        <v>0</v>
      </c>
      <c r="J6" t="s">
        <v>34</v>
      </c>
      <c r="K6" t="s">
        <v>35</v>
      </c>
      <c r="L6" s="7">
        <v>44926</v>
      </c>
    </row>
    <row r="7" spans="1:16" x14ac:dyDescent="0.25">
      <c r="A7" t="s">
        <v>149</v>
      </c>
      <c r="B7" t="s">
        <v>150</v>
      </c>
      <c r="C7" t="s">
        <v>29</v>
      </c>
      <c r="D7" t="s">
        <v>146</v>
      </c>
      <c r="E7" t="s">
        <v>146</v>
      </c>
      <c r="F7" t="s">
        <v>136</v>
      </c>
      <c r="G7" t="s">
        <v>136</v>
      </c>
      <c r="H7">
        <v>0</v>
      </c>
      <c r="I7">
        <v>0</v>
      </c>
      <c r="J7" t="s">
        <v>36</v>
      </c>
      <c r="K7" t="s">
        <v>37</v>
      </c>
      <c r="L7" s="7">
        <v>44926</v>
      </c>
    </row>
    <row r="8" spans="1:16" x14ac:dyDescent="0.25">
      <c r="A8" t="s">
        <v>151</v>
      </c>
      <c r="B8" t="s">
        <v>286</v>
      </c>
      <c r="C8" t="s">
        <v>29</v>
      </c>
      <c r="D8" t="s">
        <v>135</v>
      </c>
      <c r="E8" t="s">
        <v>135</v>
      </c>
      <c r="F8" t="s">
        <v>136</v>
      </c>
      <c r="G8" t="s">
        <v>136</v>
      </c>
      <c r="H8">
        <v>0</v>
      </c>
      <c r="I8">
        <v>0</v>
      </c>
      <c r="J8" t="s">
        <v>152</v>
      </c>
      <c r="K8" t="s">
        <v>153</v>
      </c>
      <c r="L8" s="7">
        <v>44926</v>
      </c>
    </row>
    <row r="9" spans="1:16" x14ac:dyDescent="0.25">
      <c r="A9" t="s">
        <v>154</v>
      </c>
      <c r="B9" t="s">
        <v>287</v>
      </c>
      <c r="C9" t="s">
        <v>29</v>
      </c>
      <c r="D9" t="s">
        <v>146</v>
      </c>
      <c r="E9" t="s">
        <v>146</v>
      </c>
      <c r="F9" t="s">
        <v>136</v>
      </c>
      <c r="G9" t="s">
        <v>136</v>
      </c>
      <c r="H9">
        <v>0</v>
      </c>
      <c r="I9">
        <v>0</v>
      </c>
      <c r="J9" t="s">
        <v>20</v>
      </c>
      <c r="K9" t="s">
        <v>38</v>
      </c>
      <c r="L9" s="7">
        <v>44926</v>
      </c>
    </row>
    <row r="10" spans="1:16" x14ac:dyDescent="0.25">
      <c r="A10" t="s">
        <v>155</v>
      </c>
      <c r="B10" t="s">
        <v>288</v>
      </c>
      <c r="C10" t="s">
        <v>29</v>
      </c>
      <c r="D10" t="s">
        <v>135</v>
      </c>
      <c r="E10" t="s">
        <v>135</v>
      </c>
      <c r="F10" t="s">
        <v>136</v>
      </c>
      <c r="G10" t="s">
        <v>136</v>
      </c>
      <c r="H10">
        <v>0</v>
      </c>
      <c r="I10">
        <v>0</v>
      </c>
      <c r="J10" t="s">
        <v>156</v>
      </c>
      <c r="K10" t="s">
        <v>157</v>
      </c>
      <c r="L10" s="7">
        <v>44926</v>
      </c>
    </row>
    <row r="11" spans="1:16" x14ac:dyDescent="0.25">
      <c r="A11" t="s">
        <v>158</v>
      </c>
      <c r="B11" t="s">
        <v>289</v>
      </c>
      <c r="C11" t="s">
        <v>29</v>
      </c>
      <c r="D11" t="s">
        <v>146</v>
      </c>
      <c r="E11" t="s">
        <v>146</v>
      </c>
      <c r="F11" t="s">
        <v>136</v>
      </c>
      <c r="G11" t="s">
        <v>136</v>
      </c>
      <c r="H11">
        <v>0</v>
      </c>
      <c r="I11">
        <v>0</v>
      </c>
      <c r="J11" t="s">
        <v>21</v>
      </c>
      <c r="K11" t="s">
        <v>39</v>
      </c>
      <c r="L11" s="7">
        <v>44926</v>
      </c>
    </row>
    <row r="12" spans="1:16" x14ac:dyDescent="0.25">
      <c r="A12" t="s">
        <v>159</v>
      </c>
      <c r="B12" t="s">
        <v>160</v>
      </c>
      <c r="C12" t="s">
        <v>29</v>
      </c>
      <c r="D12" t="s">
        <v>135</v>
      </c>
      <c r="E12" t="s">
        <v>135</v>
      </c>
      <c r="F12" t="s">
        <v>136</v>
      </c>
      <c r="G12" t="s">
        <v>136</v>
      </c>
      <c r="H12">
        <v>0</v>
      </c>
      <c r="I12">
        <v>0</v>
      </c>
      <c r="J12" t="s">
        <v>116</v>
      </c>
      <c r="K12" t="s">
        <v>117</v>
      </c>
      <c r="L12" s="7">
        <v>44926</v>
      </c>
    </row>
    <row r="13" spans="1:16" x14ac:dyDescent="0.25">
      <c r="A13" t="s">
        <v>161</v>
      </c>
      <c r="B13" t="s">
        <v>207</v>
      </c>
      <c r="C13" t="s">
        <v>29</v>
      </c>
      <c r="D13" t="s">
        <v>135</v>
      </c>
      <c r="E13" t="s">
        <v>135</v>
      </c>
      <c r="F13" t="s">
        <v>136</v>
      </c>
      <c r="G13" t="s">
        <v>136</v>
      </c>
      <c r="H13">
        <v>0</v>
      </c>
      <c r="I13">
        <v>0</v>
      </c>
      <c r="J13" t="s">
        <v>208</v>
      </c>
      <c r="K13" t="s">
        <v>209</v>
      </c>
      <c r="L13" s="7">
        <v>44926</v>
      </c>
    </row>
    <row r="14" spans="1:16" x14ac:dyDescent="0.25">
      <c r="A14" t="s">
        <v>162</v>
      </c>
      <c r="B14" t="s">
        <v>210</v>
      </c>
      <c r="C14" t="s">
        <v>29</v>
      </c>
      <c r="D14" t="s">
        <v>135</v>
      </c>
      <c r="E14" t="s">
        <v>135</v>
      </c>
      <c r="F14" t="s">
        <v>136</v>
      </c>
      <c r="G14" t="s">
        <v>136</v>
      </c>
      <c r="H14">
        <v>0</v>
      </c>
      <c r="I14">
        <v>0</v>
      </c>
      <c r="J14" t="s">
        <v>211</v>
      </c>
      <c r="K14" t="s">
        <v>212</v>
      </c>
      <c r="L14" s="7">
        <v>44926</v>
      </c>
    </row>
    <row r="15" spans="1:16" x14ac:dyDescent="0.25">
      <c r="A15" t="s">
        <v>163</v>
      </c>
      <c r="B15" t="s">
        <v>164</v>
      </c>
      <c r="C15" t="s">
        <v>29</v>
      </c>
      <c r="D15" t="s">
        <v>135</v>
      </c>
      <c r="E15" t="s">
        <v>135</v>
      </c>
      <c r="F15" t="s">
        <v>136</v>
      </c>
      <c r="G15" t="s">
        <v>136</v>
      </c>
      <c r="H15">
        <v>0</v>
      </c>
      <c r="I15">
        <v>0</v>
      </c>
      <c r="J15" t="s">
        <v>165</v>
      </c>
      <c r="K15" t="s">
        <v>166</v>
      </c>
      <c r="L15" s="7">
        <v>44926</v>
      </c>
    </row>
    <row r="16" spans="1:16" x14ac:dyDescent="0.25">
      <c r="A16" t="s">
        <v>167</v>
      </c>
      <c r="B16" t="s">
        <v>168</v>
      </c>
      <c r="C16" t="s">
        <v>29</v>
      </c>
      <c r="D16" t="s">
        <v>135</v>
      </c>
      <c r="E16" t="s">
        <v>135</v>
      </c>
      <c r="F16" t="s">
        <v>136</v>
      </c>
      <c r="G16" t="s">
        <v>136</v>
      </c>
      <c r="H16">
        <v>0</v>
      </c>
      <c r="I16">
        <v>0</v>
      </c>
      <c r="J16" t="s">
        <v>169</v>
      </c>
      <c r="K16" t="s">
        <v>170</v>
      </c>
      <c r="L16" s="7">
        <v>44926</v>
      </c>
    </row>
    <row r="17" spans="1:12" x14ac:dyDescent="0.25">
      <c r="A17" t="s">
        <v>225</v>
      </c>
      <c r="B17" t="s">
        <v>226</v>
      </c>
      <c r="C17" t="s">
        <v>29</v>
      </c>
      <c r="D17" t="s">
        <v>135</v>
      </c>
      <c r="E17" t="s">
        <v>135</v>
      </c>
      <c r="F17" t="s">
        <v>136</v>
      </c>
      <c r="G17" t="s">
        <v>136</v>
      </c>
      <c r="H17">
        <v>0</v>
      </c>
      <c r="I17">
        <v>0</v>
      </c>
      <c r="J17" t="s">
        <v>227</v>
      </c>
      <c r="K17" t="s">
        <v>228</v>
      </c>
      <c r="L17" s="7">
        <v>44614</v>
      </c>
    </row>
    <row r="18" spans="1:12" x14ac:dyDescent="0.25">
      <c r="A18" t="s">
        <v>229</v>
      </c>
      <c r="B18" t="s">
        <v>230</v>
      </c>
      <c r="C18" t="s">
        <v>29</v>
      </c>
      <c r="D18" t="s">
        <v>135</v>
      </c>
      <c r="E18" t="s">
        <v>135</v>
      </c>
      <c r="F18" t="s">
        <v>136</v>
      </c>
      <c r="G18" t="s">
        <v>136</v>
      </c>
      <c r="H18">
        <v>0</v>
      </c>
      <c r="I18">
        <v>0</v>
      </c>
      <c r="J18" t="s">
        <v>231</v>
      </c>
      <c r="K18" t="s">
        <v>232</v>
      </c>
      <c r="L18" s="7">
        <v>44614</v>
      </c>
    </row>
    <row r="19" spans="1:12" x14ac:dyDescent="0.25">
      <c r="A19" t="s">
        <v>233</v>
      </c>
      <c r="B19" t="s">
        <v>234</v>
      </c>
      <c r="C19" t="s">
        <v>29</v>
      </c>
      <c r="D19" t="s">
        <v>135</v>
      </c>
      <c r="E19" t="s">
        <v>135</v>
      </c>
      <c r="F19" t="s">
        <v>136</v>
      </c>
      <c r="G19" t="s">
        <v>136</v>
      </c>
      <c r="H19">
        <v>0</v>
      </c>
      <c r="I19">
        <v>0</v>
      </c>
      <c r="J19" t="s">
        <v>235</v>
      </c>
      <c r="K19" t="s">
        <v>236</v>
      </c>
      <c r="L19" s="7">
        <v>44614</v>
      </c>
    </row>
    <row r="20" spans="1:12" x14ac:dyDescent="0.25">
      <c r="A20" t="s">
        <v>271</v>
      </c>
      <c r="B20" t="s">
        <v>272</v>
      </c>
      <c r="C20" t="s">
        <v>29</v>
      </c>
      <c r="D20" t="s">
        <v>141</v>
      </c>
      <c r="E20" t="s">
        <v>135</v>
      </c>
      <c r="F20" t="s">
        <v>136</v>
      </c>
      <c r="G20" t="s">
        <v>136</v>
      </c>
      <c r="H20">
        <v>3</v>
      </c>
      <c r="I20">
        <v>3</v>
      </c>
      <c r="J20" t="s">
        <v>273</v>
      </c>
      <c r="K20" t="s">
        <v>274</v>
      </c>
      <c r="L20" s="7"/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05C15-793E-4DF9-B0D5-6B8EDF93C0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12_ss_oligonucleotide</vt:lpstr>
      <vt:lpstr>input-&gt;</vt:lpstr>
      <vt:lpstr>sequence</vt:lpstr>
      <vt:lpstr>ref-&gt;</vt:lpstr>
      <vt:lpstr>DB04_Modification5</vt:lpstr>
      <vt:lpstr>DB05_Modification3</vt:lpstr>
      <vt:lpstr>DB17_baselinesequence</vt:lpstr>
      <vt:lpstr>baseline_sequence</vt:lpstr>
      <vt:lpstr>filepath</vt:lpstr>
      <vt:lpstr>name_mod3</vt:lpstr>
      <vt:lpstr>name_mod5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Okamoto</dc:creator>
  <cp:lastModifiedBy>Hiroshi OKAMOTO</cp:lastModifiedBy>
  <dcterms:created xsi:type="dcterms:W3CDTF">2021-09-17T01:53:02Z</dcterms:created>
  <dcterms:modified xsi:type="dcterms:W3CDTF">2023-04-24T02:50:21Z</dcterms:modified>
</cp:coreProperties>
</file>