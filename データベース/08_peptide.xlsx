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研究所\04 各チーム\合成Ｔ\01_オリゴ管理\データベース\"/>
    </mc:Choice>
  </mc:AlternateContent>
  <xr:revisionPtr revIDLastSave="0" documentId="13_ncr:1_{86519940-45C5-4C7E-8517-4692C0515460}" xr6:coauthVersionLast="47" xr6:coauthVersionMax="47" xr10:uidLastSave="{00000000-0000-0000-0000-000000000000}"/>
  <bookViews>
    <workbookView xWindow="-28785" yWindow="1290" windowWidth="23010" windowHeight="11910" activeTab="2" xr2:uid="{C40BBC35-3748-43B2-9724-06AFE3C62FDF}"/>
  </bookViews>
  <sheets>
    <sheet name="DB08_peptide" sheetId="11" r:id="rId1"/>
    <sheet name="input-&gt;" sheetId="10" r:id="rId2"/>
    <sheet name="sequence" sheetId="3" r:id="rId3"/>
    <sheet name="ligand" sheetId="8" r:id="rId4"/>
    <sheet name="aminoacid" sheetId="1" r:id="rId5"/>
    <sheet name="terminal" sheetId="5" r:id="rId6"/>
    <sheet name="weight" sheetId="4" r:id="rId7"/>
  </sheets>
  <externalReferences>
    <externalReference r:id="rId8"/>
  </externalReferences>
  <definedNames>
    <definedName name="ExternalData_1" localSheetId="0" hidden="1">DB08_peptide!$A$1:$BV$66</definedName>
    <definedName name="filepath">'input-&gt;'!$A$1</definedName>
    <definedName name="LigandName" localSheetId="3">Ligand[name]</definedName>
    <definedName name="LigandName">Ligand[name]</definedName>
    <definedName name="LinkerName">#REF!</definedName>
    <definedName name="OligoName">[1]!テーブル6[Name]</definedName>
    <definedName name="XNAName">[1]!Sugar[Name]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3" i="3" l="1"/>
  <c r="A64" i="3"/>
  <c r="A65" i="3"/>
  <c r="A66" i="3"/>
  <c r="A62" i="3"/>
  <c r="E44" i="1"/>
  <c r="A60" i="3"/>
  <c r="A61" i="3"/>
  <c r="A59" i="3"/>
  <c r="A58" i="3"/>
  <c r="A57" i="3"/>
  <c r="E59" i="1"/>
  <c r="A54" i="3"/>
  <c r="A55" i="3"/>
  <c r="A56" i="3"/>
  <c r="A53" i="3"/>
  <c r="A52" i="3"/>
  <c r="A48" i="3"/>
  <c r="A49" i="3"/>
  <c r="A50" i="3"/>
  <c r="A51" i="3"/>
  <c r="E58" i="1"/>
  <c r="A1" i="10" a="1"/>
  <c r="A1" i="10" s="1"/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D4FAE-71A6-46FA-B92B-4C4B4C4A11EF}" keepAlive="1" name="クエリ - DB08_peptide" description="ブック内の 'DB08_peptide' クエリへの接続です。" type="5" refreshedVersion="8" background="1" refreshOnLoad="1" saveData="1">
    <dbPr connection="Provider=Microsoft.Mashup.OleDb.1;Data Source=$Workbook$;Location=DB08_peptide;Extended Properties=&quot;&quot;" command="SELECT * FROM [DB08_peptid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<sst xmlns="http://schemas.openxmlformats.org/spreadsheetml/2006/main" count="5547" uniqueCount="907">
  <si>
    <t>C</t>
  </si>
  <si>
    <t>H</t>
  </si>
  <si>
    <t>B</t>
  </si>
  <si>
    <t>N</t>
  </si>
  <si>
    <t>O</t>
  </si>
  <si>
    <t>F</t>
  </si>
  <si>
    <t>Na</t>
  </si>
  <si>
    <t>Si</t>
  </si>
  <si>
    <t>P</t>
  </si>
  <si>
    <t>S</t>
  </si>
  <si>
    <t>Cl</t>
  </si>
  <si>
    <t>K</t>
  </si>
  <si>
    <t>A</t>
    <phoneticPr fontId="1"/>
  </si>
  <si>
    <t>G</t>
    <phoneticPr fontId="1"/>
  </si>
  <si>
    <t>R</t>
    <phoneticPr fontId="1"/>
  </si>
  <si>
    <t>H</t>
    <phoneticPr fontId="1"/>
  </si>
  <si>
    <t>K</t>
    <phoneticPr fontId="1"/>
  </si>
  <si>
    <t>D</t>
    <phoneticPr fontId="1"/>
  </si>
  <si>
    <t>E</t>
    <phoneticPr fontId="1"/>
  </si>
  <si>
    <t>S</t>
    <phoneticPr fontId="1"/>
  </si>
  <si>
    <t>T</t>
    <phoneticPr fontId="1"/>
  </si>
  <si>
    <t>N</t>
    <phoneticPr fontId="1"/>
  </si>
  <si>
    <t>Q</t>
    <phoneticPr fontId="1"/>
  </si>
  <si>
    <t>C</t>
    <phoneticPr fontId="1"/>
  </si>
  <si>
    <t>P</t>
    <phoneticPr fontId="1"/>
  </si>
  <si>
    <t>I</t>
    <phoneticPr fontId="1"/>
  </si>
  <si>
    <t>L</t>
    <phoneticPr fontId="1"/>
  </si>
  <si>
    <t>M</t>
    <phoneticPr fontId="1"/>
  </si>
  <si>
    <t>F</t>
    <phoneticPr fontId="1"/>
  </si>
  <si>
    <t>W</t>
    <phoneticPr fontId="1"/>
  </si>
  <si>
    <t>Y</t>
    <phoneticPr fontId="1"/>
  </si>
  <si>
    <t>V</t>
    <phoneticPr fontId="1"/>
  </si>
  <si>
    <t>Arg</t>
    <phoneticPr fontId="1"/>
  </si>
  <si>
    <t>His</t>
    <phoneticPr fontId="1"/>
  </si>
  <si>
    <t>Lys</t>
    <phoneticPr fontId="1"/>
  </si>
  <si>
    <t>Asp</t>
    <phoneticPr fontId="1"/>
  </si>
  <si>
    <t>Glu</t>
    <phoneticPr fontId="1"/>
  </si>
  <si>
    <t>Ser</t>
    <phoneticPr fontId="1"/>
  </si>
  <si>
    <t>Thr</t>
    <phoneticPr fontId="1"/>
  </si>
  <si>
    <t>Asn</t>
    <phoneticPr fontId="1"/>
  </si>
  <si>
    <t>Gln</t>
    <phoneticPr fontId="1"/>
  </si>
  <si>
    <t>Cys</t>
    <phoneticPr fontId="1"/>
  </si>
  <si>
    <t>Gly</t>
    <phoneticPr fontId="1"/>
  </si>
  <si>
    <t>Pro</t>
    <phoneticPr fontId="1"/>
  </si>
  <si>
    <t>Ala</t>
    <phoneticPr fontId="1"/>
  </si>
  <si>
    <t>Ile</t>
    <phoneticPr fontId="1"/>
  </si>
  <si>
    <t>Leu</t>
    <phoneticPr fontId="1"/>
  </si>
  <si>
    <t>Met</t>
    <phoneticPr fontId="1"/>
  </si>
  <si>
    <t>Phe</t>
    <phoneticPr fontId="1"/>
  </si>
  <si>
    <t>Trp</t>
    <phoneticPr fontId="1"/>
  </si>
  <si>
    <t>Tyr</t>
    <phoneticPr fontId="1"/>
  </si>
  <si>
    <t>Val</t>
    <phoneticPr fontId="1"/>
  </si>
  <si>
    <t>NH2</t>
    <phoneticPr fontId="1"/>
  </si>
  <si>
    <t>Ac</t>
    <phoneticPr fontId="1"/>
  </si>
  <si>
    <t>cyclo</t>
    <phoneticPr fontId="1"/>
  </si>
  <si>
    <t>sequence</t>
    <phoneticPr fontId="1"/>
  </si>
  <si>
    <t>OH</t>
    <phoneticPr fontId="1"/>
  </si>
  <si>
    <t>letter</t>
    <phoneticPr fontId="1"/>
  </si>
  <si>
    <t>note</t>
    <phoneticPr fontId="1"/>
  </si>
  <si>
    <t>name</t>
    <phoneticPr fontId="1"/>
  </si>
  <si>
    <t>n_terminal</t>
    <phoneticPr fontId="1"/>
  </si>
  <si>
    <t>c_terminal</t>
    <phoneticPr fontId="1"/>
  </si>
  <si>
    <t>deltams</t>
    <phoneticPr fontId="1"/>
  </si>
  <si>
    <t>mol_w</t>
    <phoneticPr fontId="1"/>
  </si>
  <si>
    <t>exact</t>
    <phoneticPr fontId="1"/>
  </si>
  <si>
    <t>NH2</t>
  </si>
  <si>
    <t>seq_type</t>
    <phoneticPr fontId="1"/>
  </si>
  <si>
    <t>DKGKSIQDLRRRELLEKLLAKLHCA</t>
  </si>
  <si>
    <t>OH</t>
  </si>
  <si>
    <t>Ac</t>
  </si>
  <si>
    <t>AminohexanoicAcid</t>
    <phoneticPr fontId="1"/>
  </si>
  <si>
    <t>beta-alanine</t>
    <phoneticPr fontId="1"/>
  </si>
  <si>
    <t>Homoarginine</t>
    <phoneticPr fontId="1"/>
  </si>
  <si>
    <t>AiB</t>
    <phoneticPr fontId="1"/>
  </si>
  <si>
    <t>cSLS</t>
  </si>
  <si>
    <t>Ang2</t>
  </si>
  <si>
    <t>MTfp</t>
  </si>
  <si>
    <t>eGLP1</t>
  </si>
  <si>
    <t>eNT</t>
  </si>
  <si>
    <t>CCKAR</t>
  </si>
  <si>
    <t>No1</t>
  </si>
  <si>
    <t>No2</t>
  </si>
  <si>
    <t>Rena(Aba)-[33K]</t>
  </si>
  <si>
    <t>Rena(Aba)-2N-[33K]</t>
  </si>
  <si>
    <t>Rena(Aba)-4N-[33K]</t>
  </si>
  <si>
    <t>Rena(Aba)-9N-[33K]</t>
  </si>
  <si>
    <t>Rena(Aba)-[33C]</t>
  </si>
  <si>
    <t>Rena(Aba)-9N-[33C]</t>
  </si>
  <si>
    <t>Rena(Aba)-[35K]</t>
  </si>
  <si>
    <t>Rena(Aba)-9N-[35K]</t>
  </si>
  <si>
    <t>Aba-[33K]</t>
  </si>
  <si>
    <t>Aba-9N-[33K]</t>
  </si>
  <si>
    <t>Aba-[33C]</t>
  </si>
  <si>
    <t>Aba-9N-[33C]</t>
  </si>
  <si>
    <t>Aba-[35K]</t>
  </si>
  <si>
    <t>Aba-9N-[35K]</t>
  </si>
  <si>
    <t>hPTh-[33K]</t>
  </si>
  <si>
    <t>hPTh-9N-[33K]</t>
  </si>
  <si>
    <t>hPTh-[33C]</t>
  </si>
  <si>
    <t>hPTh-9N-[33C]</t>
  </si>
  <si>
    <t>hPTh-[35K]</t>
  </si>
  <si>
    <t>hPTh-9N-[35K]</t>
  </si>
  <si>
    <t>TIP-[40K]</t>
  </si>
  <si>
    <t>TIP-9N-[40K]</t>
  </si>
  <si>
    <t>PIP-C</t>
  </si>
  <si>
    <t>PIP-N</t>
  </si>
  <si>
    <t>08-00-01</t>
  </si>
  <si>
    <t>08-00-02</t>
  </si>
  <si>
    <t>08-00-03</t>
  </si>
  <si>
    <t>08-00-04</t>
  </si>
  <si>
    <t>08-00-05</t>
  </si>
  <si>
    <t>08-00-06</t>
  </si>
  <si>
    <t>08-00-07</t>
  </si>
  <si>
    <t>08-00-08</t>
  </si>
  <si>
    <t>08-00-09</t>
  </si>
  <si>
    <t>08-00-0A</t>
  </si>
  <si>
    <t>08-00-0B</t>
  </si>
  <si>
    <t>08-00-0C</t>
  </si>
  <si>
    <t>08-00-0D</t>
  </si>
  <si>
    <t>08-00-0E</t>
  </si>
  <si>
    <t>08-00-0F</t>
  </si>
  <si>
    <t>08-00-0G</t>
  </si>
  <si>
    <t>08-00-0H</t>
  </si>
  <si>
    <t>08-00-0I</t>
  </si>
  <si>
    <t>08-00-0J</t>
  </si>
  <si>
    <t>08-00-0K</t>
  </si>
  <si>
    <t>08-00-0L</t>
  </si>
  <si>
    <t>08-00-0M</t>
  </si>
  <si>
    <t>08-00-0N</t>
  </si>
  <si>
    <t>08-00-0O</t>
  </si>
  <si>
    <t>08-00-0P</t>
  </si>
  <si>
    <t>08-00-0Q</t>
  </si>
  <si>
    <t>08-00-0R</t>
  </si>
  <si>
    <t>08-00-0S</t>
  </si>
  <si>
    <t>08-00-0T</t>
  </si>
  <si>
    <t>08-00-0U</t>
  </si>
  <si>
    <t>08-00-0V</t>
  </si>
  <si>
    <t>08-00-0W</t>
  </si>
  <si>
    <t>Lys-PEG3-Azide</t>
    <phoneticPr fontId="1"/>
  </si>
  <si>
    <t>Dab</t>
    <phoneticPr fontId="1"/>
  </si>
  <si>
    <t>08-00-0X</t>
  </si>
  <si>
    <t>08-00-0Y</t>
  </si>
  <si>
    <t>08-00-0Z</t>
  </si>
  <si>
    <t>08-00-10</t>
  </si>
  <si>
    <t>TAT</t>
  </si>
  <si>
    <t>MTP-TAT</t>
  </si>
  <si>
    <t>TAT-MTP</t>
  </si>
  <si>
    <t>Dab8</t>
  </si>
  <si>
    <t>AVSEHQLLHDKGKSIQDLRRRELLEKLLAKLHCA</t>
  </si>
  <si>
    <t>SVSEIQLMHNLGKHLNSMERVEWLRKKLQDVHCF</t>
  </si>
  <si>
    <t>NLGKHLNSMERVEWLRKKLQDVHCF</t>
  </si>
  <si>
    <t>Lys-PEG3-DBCO-C6</t>
    <phoneticPr fontId="1"/>
  </si>
  <si>
    <t>Lys-COCH2-Azide</t>
    <phoneticPr fontId="1"/>
  </si>
  <si>
    <t>Lys-COCH2-DBCO-C6</t>
    <phoneticPr fontId="1"/>
  </si>
  <si>
    <t>Tyr-SO2H</t>
    <phoneticPr fontId="1"/>
  </si>
  <si>
    <t>Cys-SS-C6</t>
    <phoneticPr fontId="1"/>
  </si>
  <si>
    <t>Cys-S-Mal-C6</t>
    <phoneticPr fontId="1"/>
  </si>
  <si>
    <t>08-00-11</t>
  </si>
  <si>
    <t>CD59(Base)</t>
    <phoneticPr fontId="1"/>
  </si>
  <si>
    <t>08-00-12</t>
  </si>
  <si>
    <t>Elafin(Base)</t>
    <phoneticPr fontId="1"/>
  </si>
  <si>
    <t>K-PEG3-Azide</t>
    <phoneticPr fontId="1"/>
  </si>
  <si>
    <t>K-PEG3-DBCO-C6</t>
    <phoneticPr fontId="1"/>
  </si>
  <si>
    <t>K-COCH2-Azide</t>
    <phoneticPr fontId="1"/>
  </si>
  <si>
    <t>K-COCH2-DBCO-C6</t>
    <phoneticPr fontId="1"/>
  </si>
  <si>
    <t>Y-SO2H</t>
    <phoneticPr fontId="1"/>
  </si>
  <si>
    <t>C-SS-C6</t>
    <phoneticPr fontId="1"/>
  </si>
  <si>
    <t>C-S-Mal-C6</t>
    <phoneticPr fontId="1"/>
  </si>
  <si>
    <t>img</t>
    <phoneticPr fontId="1"/>
  </si>
  <si>
    <t>HQLLHDKGKSIQDLRRRELLEKLLAKLH(K-PEG3-Azide)A</t>
    <phoneticPr fontId="1"/>
  </si>
  <si>
    <t>DKGKSIQDLRRRELLEKLLAKLH(K-PEG3-Azide)A</t>
    <phoneticPr fontId="1"/>
  </si>
  <si>
    <t>AVSEHQLLHDKGKSIQDLRRRELLEKLLAKLHTA(K-PEG3-Azide)</t>
    <phoneticPr fontId="1"/>
  </si>
  <si>
    <t>DKGKSIQDLRRRELLEKLLAKLHTA(K-PEG3-Azide)</t>
    <phoneticPr fontId="1"/>
  </si>
  <si>
    <t>SVSEIQLMHNLGKHLNSMERVEWLRKKLQDVH(K-PEG3-Azide)F</t>
    <phoneticPr fontId="1"/>
  </si>
  <si>
    <t>NLGKHLNSMERVEWLRKKLQDVH(K-PEG3-Azide)F</t>
    <phoneticPr fontId="1"/>
  </si>
  <si>
    <t>SVSEIQLMHNLGKHLNSMERVEWLRKKLQDVHNF(K-PEG3-Azide)</t>
    <phoneticPr fontId="1"/>
  </si>
  <si>
    <t>NLGKHLNSMERVEWLRKKLQDVHNF(K-PEG3-Azide)</t>
    <phoneticPr fontId="1"/>
  </si>
  <si>
    <t>SLALADDAAFRERARLLAALERRHWLNSYMHKLLVLDAP(K-PEG3-Azide)</t>
    <phoneticPr fontId="1"/>
  </si>
  <si>
    <t>FRERARLLAALERRHWLNSYMHKLLVLDAP(K-PEG3-Azide)</t>
    <phoneticPr fontId="1"/>
  </si>
  <si>
    <t>ASSLNIA(K-COCH2-Azide)</t>
    <phoneticPr fontId="1"/>
  </si>
  <si>
    <t>ASSLNIAGRKKRRQRRRPPQ(K-COCH2-Azide)</t>
    <phoneticPr fontId="1"/>
  </si>
  <si>
    <t>GRKKRRQRRRPPQASSLNIA(K-COCH2-Azide)</t>
    <phoneticPr fontId="1"/>
  </si>
  <si>
    <t>LQCYNCPNPTADCKTAVNCSSDFDACLITKAGLQVYNKCWKFEHCNFNDVTTRLRENELTYYCCKKDLCNF(K-COCH2-Azide)</t>
    <phoneticPr fontId="1"/>
  </si>
  <si>
    <t>KPGSCPIILIRCAMLNPPNRCLKDTDCPGIKKCCEGSCGMACFVP(K-COCH2-Azide)</t>
    <phoneticPr fontId="1"/>
  </si>
  <si>
    <t>FGG(Dab)(Dab)(Dab)(Dab)(Dab)(Dab)(Dab)(Dab)</t>
    <phoneticPr fontId="1"/>
  </si>
  <si>
    <t>R(AminohexanoicAcid)RR(beta-alanine)RRFQILYR(beta-alanine)R(AminohexanoicAcid)R(beta-alanine)(K-PEG3-Azide)</t>
    <phoneticPr fontId="1"/>
  </si>
  <si>
    <t>(K-PEG3-Azide)R(AminohexanoicAcid)RR(beta-alanine)RRFQILYR(beta-alanine)R(AminohexanoicAcid)R(beta-alanine)</t>
    <phoneticPr fontId="1"/>
  </si>
  <si>
    <t>DKGKSIQDLRRRELLEKLL(AiB)KLHTA(K-PEG3-Azide)</t>
    <phoneticPr fontId="1"/>
  </si>
  <si>
    <t>AVSEHQLLHDKGKSIQDLRRRELLEKLL(AiB)KLHTA(K-PEG3-Azide)</t>
    <phoneticPr fontId="1"/>
  </si>
  <si>
    <t>DKGKSIQDLRRRELLEKLL(AiB)KLHCA</t>
    <phoneticPr fontId="1"/>
  </si>
  <si>
    <t>AVSEHQLLHDKGKSIQDLRRRELLEKLL(AiB)KLHCA</t>
    <phoneticPr fontId="1"/>
  </si>
  <si>
    <t>DKGKSIQDLRRRELLEKLL(AiB)KLH(K-PEG3-Azide)A</t>
    <phoneticPr fontId="1"/>
  </si>
  <si>
    <t>AVSEHQLLHDKGKSIQDLRRRELLEKLL(AiB)KLH(K-PEG3-Azide)A</t>
    <phoneticPr fontId="1"/>
  </si>
  <si>
    <t>H(AiB)EGT FTSDV SSYLE EQAAK EFIAW LVKGG PSSGA PPPSC</t>
    <phoneticPr fontId="1"/>
  </si>
  <si>
    <t>cyclic-N</t>
    <phoneticPr fontId="1"/>
  </si>
  <si>
    <t>cyclic-C</t>
    <phoneticPr fontId="1"/>
  </si>
  <si>
    <t>ACSLSHSPQCGGGS(K-COCH2-Azide)</t>
    <phoneticPr fontId="1"/>
  </si>
  <si>
    <t>TFFYGGSRGKRNNFKTEEYGG(K-COCH2-Azide)</t>
    <phoneticPr fontId="1"/>
  </si>
  <si>
    <t>DSSHAFTLDELRY(K-COCH2-Azide)</t>
    <phoneticPr fontId="1"/>
  </si>
  <si>
    <t>(K-PEG3-Azide)D(Y-SO2H)MGWMDF</t>
  </si>
  <si>
    <t>SEHQLLHDKGKSIQDLRRRELLEKLLAKLH(K-PEG3-Azide)A</t>
    <phoneticPr fontId="1"/>
  </si>
  <si>
    <t>AVSEHQLLHDKGKSIQDLRRRELLEKLLAKLH(K-PEG3-Azide)A</t>
    <phoneticPr fontId="1"/>
  </si>
  <si>
    <t>AV(AiB)EI QLMHQ (Homoarginine)AKWL NSMRR VEWLR KKLQD VH(K-PEG3-Azide)F</t>
    <phoneticPr fontId="1"/>
  </si>
  <si>
    <t>AVSEI QLLHD KGKSI QDLRR RFFLH HLIAE IH(K-PEG3-Azide)A</t>
    <phoneticPr fontId="1"/>
  </si>
  <si>
    <t>Amyloid beta(1-42)</t>
    <phoneticPr fontId="1"/>
  </si>
  <si>
    <t>08-00-13</t>
  </si>
  <si>
    <t>DAEFRHDSGYEVHHQKLVFFAEDVGSNKGAIIGLMVGGVVIA(K-COCH2-Azide)</t>
    <phoneticPr fontId="1"/>
  </si>
  <si>
    <t>08-00-14</t>
  </si>
  <si>
    <t>Amyloid beta_base</t>
    <phoneticPr fontId="1"/>
  </si>
  <si>
    <t>DAEFRHDSGYEVHHQKLVFFAEDVGSNKGAIIGLMVGGVVIA</t>
    <phoneticPr fontId="1"/>
  </si>
  <si>
    <t>a</t>
  </si>
  <si>
    <t>c</t>
  </si>
  <si>
    <t>d</t>
  </si>
  <si>
    <t>e</t>
  </si>
  <si>
    <t>f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</si>
  <si>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</si>
  <si>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</si>
  <si>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</si>
  <si>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</si>
  <si>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</si>
  <si>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</si>
  <si>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</si>
  <si>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</si>
  <si>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</si>
  <si>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</si>
  <si>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</si>
  <si>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</si>
  <si>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</si>
  <si>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</si>
  <si>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d-Ala</t>
  </si>
  <si>
    <t>d-Cys</t>
  </si>
  <si>
    <t>d-Asp</t>
  </si>
  <si>
    <t>d-Glu</t>
  </si>
  <si>
    <t>d-Phe</t>
  </si>
  <si>
    <t>d-His</t>
  </si>
  <si>
    <t>d-Ile</t>
  </si>
  <si>
    <t>d-Lys</t>
  </si>
  <si>
    <t>d-Leu</t>
  </si>
  <si>
    <t>d-Met</t>
  </si>
  <si>
    <t>d-Asn</t>
  </si>
  <si>
    <t>d-Pro</t>
  </si>
  <si>
    <t>d-Gln</t>
  </si>
  <si>
    <t>d-Arg</t>
  </si>
  <si>
    <t>d-Ser</t>
  </si>
  <si>
    <t>d-Thr</t>
  </si>
  <si>
    <t>d-Val</t>
  </si>
  <si>
    <t>d-Trp</t>
  </si>
  <si>
    <t>d-Tyr</t>
  </si>
  <si>
    <t>LQCYNCPNPTADCKTAVNCSSDFDACLITKAGLQVYNKCWKFEHCNFNDVTTRLRENELTYYCCKKDLCNF(K-COCH2-DBCO-C6)</t>
    <phoneticPr fontId="1"/>
  </si>
  <si>
    <t>KPGSCPIILIRCAMLNPPNRCLKDTDCPGIKKCCEGSCGMACFVP(K-COCH2-DBCO-C6)</t>
    <phoneticPr fontId="1"/>
  </si>
  <si>
    <t>GRKKRRQRRRPPQASSLNIA(K-COCH2-DBCO-C6)</t>
    <phoneticPr fontId="1"/>
  </si>
  <si>
    <t>ASSLNIAGRKKRRQRRRPPQ(K-COCH2-DBCO-C6)</t>
    <phoneticPr fontId="1"/>
  </si>
  <si>
    <t>ASSLNIA(K-COCH2-DBCO-C6)</t>
    <phoneticPr fontId="1"/>
  </si>
  <si>
    <t>R(AminohexanoicAcid)RR(beta-alanine)RRFQILYR(beta-alanine)R(AminohexanoicAcid)R(beta-alanine)(K-PEG3-DBCO-C6)</t>
    <phoneticPr fontId="1"/>
  </si>
  <si>
    <t>(K-PEG3-DBCO-C6)R(AminohexanoicAcid)RR(beta-alanine)RRFQILYR(beta-alanine)R(AminohexanoicAcid)R(beta-alanine)</t>
    <phoneticPr fontId="1"/>
  </si>
  <si>
    <t>ACSLSHSPQCGGGS(K-COCH2-DBCO-C6)</t>
  </si>
  <si>
    <t>TFFYGGSRGKRNNFKTEEYGG(K-COCH2-DBCO-C6)</t>
  </si>
  <si>
    <t>DSSHAFTLDELRY(K-COCH2-DBCO-C6)</t>
  </si>
  <si>
    <t>(K-COCH2-DBCO-C6)PPPAGSSPG LYENK PRRPY IL</t>
  </si>
  <si>
    <t>(K-PEG3-DBCO-C6)D(Y-SO2H)MGWMDF</t>
  </si>
  <si>
    <t>AV(AiB)EI QLMHQ (Homoarginine)AKWL NSMRR VEWLR KKLQD VH(K-PEG3-DBCO-C6)F</t>
  </si>
  <si>
    <t>AVSEI QLLHD KGKSI QDLRR RFFLH HLIAE IH(K-PEG3-DBCO-C6)A</t>
  </si>
  <si>
    <t>AVSEHQLLHDKGKSIQDLRRRELLEKLLAKLH(K-PEG3-DBCO-C6)A</t>
  </si>
  <si>
    <t>SEHQLLHDKGKSIQDLRRRELLEKLLAKLH(K-PEG3-DBCO-C6)A</t>
  </si>
  <si>
    <t>HQLLHDKGKSIQDLRRRELLEKLLAKLH(K-PEG3-DBCO-C6)A</t>
  </si>
  <si>
    <t>DKGKSIQDLRRRELLEKLLAKLH(K-PEG3-DBCO-C6)A</t>
  </si>
  <si>
    <t>AVSEHQLLHDKGKSIQDLRRRELLEKLLAKLHTA(K-PEG3-DBCO-C6)</t>
  </si>
  <si>
    <t>DKGKSIQDLRRRELLEKLLAKLHTA(K-PEG3-DBCO-C6)</t>
  </si>
  <si>
    <t>AVSEHQLLHDKGKSIQDLRRRELLEKLL(AiB)KLH(K-PEG3-DBCO-C6)A</t>
  </si>
  <si>
    <t>DKGKSIQDLRRRELLEKLL(AiB)KLH(K-PEG3-DBCO-C6)A</t>
  </si>
  <si>
    <t>AVSEHQLLHDKGKSIQDLRRRELLEKLL(AiB)KLHTA(K-PEG3-DBCO-C6)</t>
  </si>
  <si>
    <t>DKGKSIQDLRRRELLEKLL(AiB)KLHTA(K-PEG3-DBCO-C6)</t>
  </si>
  <si>
    <t>SVSEIQLMHNLGKHLNSMERVEWLRKKLQDVH(K-PEG3-DBCO-C6)F</t>
  </si>
  <si>
    <t>SVSEIQLMHNLGKHLNSMERVEWLRKKLQDVHNF(K-PEG3-DBCO-C6)</t>
  </si>
  <si>
    <t>NLGKHLNSMERVEWLRKKLQDVHNF(K-PEG3-DBCO-C6)</t>
  </si>
  <si>
    <t>SLALADDAAFRERARLLAALERRHWLNSYMHKLLVLDAP(K-PEG3-DBCO-C6)</t>
  </si>
  <si>
    <t>FRERARLLAALERRHWLNSYMHKLLVLDAP(K-PEG3-DBCO-C6)</t>
  </si>
  <si>
    <t>AVSEHQLLHDKGKSIQDLRRRELLEKLLAKLH(C-SS-C6)A</t>
    <phoneticPr fontId="1"/>
  </si>
  <si>
    <t>DKGKSIQDLRRRELLEKLLAKLH(C-SS-C6)A</t>
    <phoneticPr fontId="1"/>
  </si>
  <si>
    <t>AVSEHQLLHDKGKSIQDLRRRELLEKLL(AiB)KLH(C-SS-C6)A</t>
    <phoneticPr fontId="1"/>
  </si>
  <si>
    <t>DKGKSIQDLRRRELLEKLL(AiB)KLH(C-SS-C6)A</t>
    <phoneticPr fontId="1"/>
  </si>
  <si>
    <t>SVSEIQLMHNLGKHLNSMERVEWLRKKLQDVH(C-SS-C6)F</t>
    <phoneticPr fontId="1"/>
  </si>
  <si>
    <t>NLGKHLNSMERVEWLRKKLQDVH(C-SS-C6)F</t>
    <phoneticPr fontId="1"/>
  </si>
  <si>
    <t>H(AiB)EGT FTSDV SSYLE EQAAK EFIAW LVKGG PSSGA PPPS(C-SS-C6)</t>
    <phoneticPr fontId="1"/>
  </si>
  <si>
    <t>cRGD</t>
    <phoneticPr fontId="1"/>
  </si>
  <si>
    <t>cyclic-N</t>
  </si>
  <si>
    <t>cyclic-C</t>
  </si>
  <si>
    <t>RGDfK</t>
    <phoneticPr fontId="1"/>
  </si>
  <si>
    <t>08-00-15</t>
  </si>
  <si>
    <t>(K-COCH2-Azide)PPPAGSSPG LYENK PRRPY IL</t>
    <phoneticPr fontId="1"/>
  </si>
  <si>
    <t>K-PEG80-DBCO-C6</t>
    <phoneticPr fontId="1"/>
  </si>
  <si>
    <t>CPP-MTP-PEG</t>
    <phoneticPr fontId="1"/>
  </si>
  <si>
    <t>MTP-CPP</t>
    <phoneticPr fontId="1"/>
  </si>
  <si>
    <t>CPP-MTP</t>
    <phoneticPr fontId="1"/>
  </si>
  <si>
    <t>08-00-16</t>
  </si>
  <si>
    <t>GRKKRRQRRRPPQASSLNIA(K-PEG80-DBCO-C6)</t>
    <phoneticPr fontId="1"/>
  </si>
  <si>
    <t>GRKKRRQRRRPPQASSLNIA(K-PEG80-Azide)</t>
    <phoneticPr fontId="1"/>
  </si>
  <si>
    <t>K-PEG80-Azide</t>
    <phoneticPr fontId="1"/>
  </si>
  <si>
    <t>Lys-PEG80-Azide</t>
    <phoneticPr fontId="1"/>
  </si>
  <si>
    <t>Lys-PEG80-DBCO-C6</t>
    <phoneticPr fontId="1"/>
  </si>
  <si>
    <t>extinction280</t>
    <phoneticPr fontId="1"/>
  </si>
  <si>
    <t>DSS6</t>
    <phoneticPr fontId="1"/>
  </si>
  <si>
    <t>DSSDSSDSSDSSDSSDSS(K-COCH2-Azide)</t>
    <phoneticPr fontId="1"/>
  </si>
  <si>
    <t>is_hydrophobic</t>
    <phoneticPr fontId="1"/>
  </si>
  <si>
    <t>is_acidic</t>
    <phoneticPr fontId="1"/>
  </si>
  <si>
    <t>is_basic</t>
    <phoneticPr fontId="1"/>
  </si>
  <si>
    <t>pKa</t>
    <phoneticPr fontId="1"/>
  </si>
  <si>
    <t>hydrophilicity</t>
    <phoneticPr fontId="1"/>
  </si>
  <si>
    <t>DAEFRHDSGYEVHHQKLVFFAEDVGSNKGAIIGLMVGGVVIA(K-COCH2-DBCO-C6)</t>
    <phoneticPr fontId="1"/>
  </si>
  <si>
    <t>08-00-18</t>
  </si>
  <si>
    <t>08-00-19</t>
  </si>
  <si>
    <t>cCTP</t>
    <phoneticPr fontId="1"/>
  </si>
  <si>
    <t>cS7A</t>
    <phoneticPr fontId="1"/>
  </si>
  <si>
    <t>cR11A</t>
    <phoneticPr fontId="1"/>
  </si>
  <si>
    <t>K-SPDP</t>
    <phoneticPr fontId="1"/>
  </si>
  <si>
    <t>Lys-SPDP</t>
    <phoneticPr fontId="1"/>
  </si>
  <si>
    <t>K-SS-Oligo</t>
    <phoneticPr fontId="1"/>
  </si>
  <si>
    <t>Lys-SS-Oligo</t>
    <phoneticPr fontId="1"/>
  </si>
  <si>
    <t>id</t>
    <phoneticPr fontId="1"/>
  </si>
  <si>
    <t>num</t>
    <phoneticPr fontId="1"/>
  </si>
  <si>
    <t>ID</t>
  </si>
  <si>
    <t>Name</t>
  </si>
  <si>
    <t>Note</t>
  </si>
  <si>
    <t>Length</t>
  </si>
  <si>
    <t>N_terminal</t>
  </si>
  <si>
    <t>Sequence</t>
  </si>
  <si>
    <t>C_terminal</t>
  </si>
  <si>
    <t>Cyclo</t>
  </si>
  <si>
    <t>Formula</t>
  </si>
  <si>
    <t>Ex.MS</t>
  </si>
  <si>
    <t>Mol.W</t>
  </si>
  <si>
    <t>ε(280 nm)</t>
  </si>
  <si>
    <t>TFA</t>
  </si>
  <si>
    <t>AcOH</t>
  </si>
  <si>
    <t>acid</t>
  </si>
  <si>
    <t>base</t>
  </si>
  <si>
    <t>hydrophobic</t>
  </si>
  <si>
    <t>ratio_hydrophobic</t>
  </si>
  <si>
    <t>hydrophilicity</t>
  </si>
  <si>
    <t>A</t>
  </si>
  <si>
    <t>D</t>
  </si>
  <si>
    <t>E</t>
  </si>
  <si>
    <t>G</t>
  </si>
  <si>
    <t>I</t>
  </si>
  <si>
    <t>L</t>
  </si>
  <si>
    <t>M</t>
  </si>
  <si>
    <t>Q</t>
  </si>
  <si>
    <t>R</t>
  </si>
  <si>
    <t>T</t>
  </si>
  <si>
    <t>V</t>
  </si>
  <si>
    <t>W</t>
  </si>
  <si>
    <t>Y</t>
  </si>
  <si>
    <t>a.1</t>
  </si>
  <si>
    <t>c.1</t>
  </si>
  <si>
    <t>d.1</t>
  </si>
  <si>
    <t>e.1</t>
  </si>
  <si>
    <t>f.1</t>
  </si>
  <si>
    <t>h.1</t>
  </si>
  <si>
    <t>i.1</t>
  </si>
  <si>
    <t>k.1</t>
  </si>
  <si>
    <t>l.1</t>
  </si>
  <si>
    <t>m.1</t>
  </si>
  <si>
    <t>n.1</t>
  </si>
  <si>
    <t>p.1</t>
  </si>
  <si>
    <t>q.1</t>
  </si>
  <si>
    <t>r.1</t>
  </si>
  <si>
    <t>s.1</t>
  </si>
  <si>
    <t>t.1</t>
  </si>
  <si>
    <t>v.1</t>
  </si>
  <si>
    <t>w.1</t>
  </si>
  <si>
    <t>y.1</t>
  </si>
  <si>
    <t>AiB</t>
  </si>
  <si>
    <t>K-PEG3-Azide</t>
  </si>
  <si>
    <t>K-PEG3-DBCO-C6</t>
  </si>
  <si>
    <t>K-COCH2-Azide</t>
  </si>
  <si>
    <t>K-COCH2-DBCO-C6</t>
  </si>
  <si>
    <t>Y-SO2H</t>
  </si>
  <si>
    <t>C-SS-C6</t>
  </si>
  <si>
    <t>C-S-Mal-C6</t>
  </si>
  <si>
    <t>AminohexanoicAcid</t>
  </si>
  <si>
    <t>beta-alanine</t>
  </si>
  <si>
    <t>Homoarginine</t>
  </si>
  <si>
    <t>Dab</t>
  </si>
  <si>
    <t>K-PEG80-Azide</t>
  </si>
  <si>
    <t>K-PEG80-DBCO-C6</t>
  </si>
  <si>
    <t>K-SPDP</t>
  </si>
  <si>
    <t/>
  </si>
  <si>
    <t>ACSLSHSPQCGGGS(K-COCH2-Azide)</t>
  </si>
  <si>
    <t>C57H90N22O22S2</t>
  </si>
  <si>
    <t>TFFYGGSRGKRNNFKTEEYGG(K-COCH2-Azide)</t>
  </si>
  <si>
    <t>C116H168N36O35</t>
  </si>
  <si>
    <t>DSSHAFTLDELRY(K-COCH2-Azide)</t>
  </si>
  <si>
    <t>C76H113N23O26</t>
  </si>
  <si>
    <t>H(AiB)EGTFTSDVSSYLEEQAAKEFIAWLVKGGPSSGAPPPSC</t>
  </si>
  <si>
    <t>C186H279N47O60S</t>
  </si>
  <si>
    <t>(K-COCH2-Azide)PPPAGSSPGLYENKPRRPYIL</t>
  </si>
  <si>
    <t>C114H178N34O31</t>
  </si>
  <si>
    <t>C65H89N15O22S3</t>
  </si>
  <si>
    <t>AV(AiB)EIQLMHQ(Homoarginine)AKWLNSMRRVEWLRKKLQDVH(K-PEG3-Azide)F</t>
  </si>
  <si>
    <t>C201H328N64O49S2</t>
  </si>
  <si>
    <t>AVSEIQLLHDKGKSIQDLRRRFFLHHLIAEIH(K-PEG3-Azide)A</t>
  </si>
  <si>
    <t>C190H310N60O50</t>
  </si>
  <si>
    <t>AVSEHQLLHDKGKSIQDLRRRELLEKLLAKLH(K-PEG3-Azide)A</t>
  </si>
  <si>
    <t>C183H316N60O52</t>
  </si>
  <si>
    <t>SEHQLLHDKGKSIQDLRRRELLEKLLAKLH(K-PEG3-Azide)A</t>
  </si>
  <si>
    <t>C175H302N58O50</t>
  </si>
  <si>
    <t>HQLLHDKGKSIQDLRRRELLEKLLAKLH(K-PEG3-Azide)A</t>
  </si>
  <si>
    <t>C167H290N56O45</t>
  </si>
  <si>
    <t>DKGKSIQDLRRRELLEKLLAKLH(K-PEG3-Azide)A</t>
  </si>
  <si>
    <t>C138H246N46O39</t>
  </si>
  <si>
    <t>C172H296N56O48S</t>
  </si>
  <si>
    <t>C127H226N42O35S</t>
  </si>
  <si>
    <t>AVSEHQLLHDKGKSIQDLRRRELLEKLLAKLHTA(K-PEG3-Azide)</t>
  </si>
  <si>
    <t>C187H323N61O54</t>
  </si>
  <si>
    <t>DKGKSIQDLRRRELLEKLLAKLHTA(K-PEG3-Azide)</t>
  </si>
  <si>
    <t>C142H253N47O41</t>
  </si>
  <si>
    <t>AVSEHQLLHDKGKSIQDLRRRELLEKLL(AiB)KLH(K-PEG3-Azide)A</t>
  </si>
  <si>
    <t>C184H318N60O52</t>
  </si>
  <si>
    <t>DKGKSIQDLRRRELLEKLL(AiB)KLH(K-PEG3-Azide)A</t>
  </si>
  <si>
    <t>C139H248N46O39</t>
  </si>
  <si>
    <t>AVSEHQLLHDKGKSIQDLRRRELLEKLL(AiB)KLHCA</t>
  </si>
  <si>
    <t>C173H298N56O48S</t>
  </si>
  <si>
    <t>DKGKSIQDLRRRELLEKLL(AiB)KLHCA</t>
  </si>
  <si>
    <t>C128H228N42O35S</t>
  </si>
  <si>
    <t>AVSEHQLLHDKGKSIQDLRRRELLEKLL(AiB)KLHTA(K-PEG3-Azide)</t>
  </si>
  <si>
    <t>C188H325N61O54</t>
  </si>
  <si>
    <t>DKGKSIQDLRRRELLEKLL(AiB)KLHTA(K-PEG3-Azide)</t>
  </si>
  <si>
    <t>C143H255N47O41</t>
  </si>
  <si>
    <t>SVSEIQLMHNLGKHLNSMERVEWLRKKLQDVH(K-PEG3-Azide)F</t>
  </si>
  <si>
    <t>C191H311N59O53S2</t>
  </si>
  <si>
    <t>NLGKHLNSMERVEWLRKKLQDVH(K-PEG3-Azide)F</t>
  </si>
  <si>
    <t>C147H239N47O39S</t>
  </si>
  <si>
    <t>C180H291N55O49S3</t>
  </si>
  <si>
    <t>C136H219N43O35S2</t>
  </si>
  <si>
    <t>SVSEIQLMHNLGKHLNSMERVEWLRKKLQDVHNF(K-PEG3-Azide)</t>
  </si>
  <si>
    <t>C195H317N61O55S2</t>
  </si>
  <si>
    <t>NLGKHLNSMERVEWLRKKLQDVHNF(K-PEG3-Azide)</t>
  </si>
  <si>
    <t>C151H245N49O41S</t>
  </si>
  <si>
    <t>SLALADDAAFRERARLLAALERRHWLNSYMHKLLVLDAP(K-PEG3-Azide)</t>
  </si>
  <si>
    <t>C216H351N67O58S</t>
  </si>
  <si>
    <t>FRERARLLAALERRHWLNSYMHKLLVLDAP(K-PEG3-Azide)</t>
  </si>
  <si>
    <t>C181H294N58O44S</t>
  </si>
  <si>
    <t>R(AminohexanoicAcid)RR(beta-alanine)RRFQILYR(beta-alanine)R(AminohexanoicAcid)R(beta-alanine)(K-PEG3-Azide)</t>
  </si>
  <si>
    <t>C120H211N49O26</t>
  </si>
  <si>
    <t>(K-PEG3-Azide)R(AminohexanoicAcid)RR(beta-alanine)RRFQILYR(beta-alanine)R(AminohexanoicAcid)R(beta-alanine)</t>
  </si>
  <si>
    <t>ASSLNIA(K-COCH2-Azide)</t>
  </si>
  <si>
    <t>C36H63N13O13</t>
  </si>
  <si>
    <t>MTP-CPP</t>
  </si>
  <si>
    <t>C106H192N48O28</t>
  </si>
  <si>
    <t>CPP-MTP</t>
  </si>
  <si>
    <t>GRKKRRQRRRPPQASSLNIA(K-COCH2-Azide)</t>
  </si>
  <si>
    <t>FGG(Dab)(Dab)(Dab)(Dab)(Dab)(Dab)(Dab)(Dab)</t>
  </si>
  <si>
    <t>C47H84N20O12</t>
  </si>
  <si>
    <t>CD59(Base)</t>
  </si>
  <si>
    <t>LQCYNCPNPTADCKTAVNCSSDFDACLITKAGLQVYNKCWKFEHCNFNDVTTRLRENELTYYCCKKDLCNF(K-COCH2-Azide)</t>
  </si>
  <si>
    <t>C363H543N101O112S10</t>
  </si>
  <si>
    <t>Elafin(Base)</t>
  </si>
  <si>
    <t>KPGSCPIILIRCAMLNPPNRCLKDTDCPGIKKCCEGSCGMACFVP(K-COCH2-Azide)</t>
  </si>
  <si>
    <t>C209H342N62O59S10</t>
  </si>
  <si>
    <t>Amyloid beta(1-42)</t>
  </si>
  <si>
    <t>DAEFRHDSGYEVHHQKLVFFAEDVGSNKGAIIGLMVGGVVIA(K-COCH2-Azide)</t>
  </si>
  <si>
    <t>C211H324N60O62S</t>
  </si>
  <si>
    <t>Amyloid beta_base</t>
  </si>
  <si>
    <t>DAEFRHDSGYEVHHQKLVFFAEDVGSNKGAIIGLMVGGVVIA</t>
  </si>
  <si>
    <t>C203H311N55O60S</t>
  </si>
  <si>
    <t>cRGD</t>
  </si>
  <si>
    <t>RGDfK</t>
  </si>
  <si>
    <t>C27H41N9O7</t>
  </si>
  <si>
    <t>CPP-MTP-PEG</t>
  </si>
  <si>
    <t>GRKKRRQRRRPPQASSLNIA(K-PEG80-Azide)</t>
  </si>
  <si>
    <t>C260H496N48O106</t>
  </si>
  <si>
    <t>08-00-17</t>
  </si>
  <si>
    <t>DSS6</t>
  </si>
  <si>
    <t>DSSDSSDSSDSSDSSDSS(K-COCH2-Azide)</t>
  </si>
  <si>
    <t>C68H105N23O45</t>
  </si>
  <si>
    <t>cCTP</t>
  </si>
  <si>
    <t>cS7A</t>
  </si>
  <si>
    <t>08-00-1A</t>
  </si>
  <si>
    <t>cR11A</t>
  </si>
  <si>
    <t>APWHLSSQYSRT(K-PEG3-Azide)</t>
    <phoneticPr fontId="1"/>
  </si>
  <si>
    <t>APWHLSSQYSRT(K-PEG3-Azide)</t>
  </si>
  <si>
    <t>C78H116N24O23</t>
  </si>
  <si>
    <t>APWHLSSQYSAT(K-PEG3-Azide)</t>
    <phoneticPr fontId="1"/>
  </si>
  <si>
    <t>APWHLSAQYSRT(K-PEG3-Azide)</t>
    <phoneticPr fontId="1"/>
  </si>
  <si>
    <t>APWHLSAQYSRT(K-PEG3-Azide)</t>
  </si>
  <si>
    <t>C78H116N24O22</t>
  </si>
  <si>
    <t>C75H109N21O23</t>
  </si>
  <si>
    <t>K-biotin</t>
    <phoneticPr fontId="1"/>
  </si>
  <si>
    <t>Lys-biotin</t>
    <phoneticPr fontId="1"/>
  </si>
  <si>
    <t>Pep-1-biotin</t>
    <phoneticPr fontId="1"/>
  </si>
  <si>
    <t>Pep-1-azide</t>
    <phoneticPr fontId="1"/>
  </si>
  <si>
    <t>A2b11-biotin</t>
    <phoneticPr fontId="1"/>
  </si>
  <si>
    <t>A2b11-azide</t>
    <phoneticPr fontId="1"/>
  </si>
  <si>
    <t>ACGEMGWVRCGGGS(K-COCH2-Azide)</t>
    <phoneticPr fontId="1"/>
  </si>
  <si>
    <t>(K-COCH2-Azide)GGGWALRVKAG</t>
    <phoneticPr fontId="1"/>
  </si>
  <si>
    <t>(K-biotin)GGGWALRVKAG</t>
    <phoneticPr fontId="1"/>
  </si>
  <si>
    <t>ACGEMGWVRCGGGS(K-biotin)</t>
    <phoneticPr fontId="1"/>
  </si>
  <si>
    <t>08-00-1B</t>
  </si>
  <si>
    <t>Pep-1-biotin</t>
  </si>
  <si>
    <t>ACGEMGWVRCGGGS(K-COCH2-Azide)</t>
  </si>
  <si>
    <t>C62H95N23O20S3</t>
  </si>
  <si>
    <t>08-00-1C</t>
  </si>
  <si>
    <t>Pep-1-azide</t>
  </si>
  <si>
    <t>ACGEMGWVRCGGGS(K-biotin)</t>
  </si>
  <si>
    <t>C70H108N22O21S4</t>
  </si>
  <si>
    <t>08-00-1D</t>
  </si>
  <si>
    <t>A2b11-biotin</t>
  </si>
  <si>
    <t>(K-COCH2-Azide)GGGWALRVKAG</t>
  </si>
  <si>
    <t>C56H91N21O14</t>
  </si>
  <si>
    <t>08-00-1E</t>
  </si>
  <si>
    <t>A2b11-azide</t>
  </si>
  <si>
    <t>(K-biotin)GGGWALRVKAG</t>
  </si>
  <si>
    <t>C64H104N20O15S</t>
  </si>
  <si>
    <t>APWHLSSQYSRT(K-PEG3-DBCO-C6)</t>
    <phoneticPr fontId="1"/>
  </si>
  <si>
    <t>APWHLSSQYSAT(K-PEG3-DBCO-C6)</t>
    <phoneticPr fontId="1"/>
  </si>
  <si>
    <t>APWHLSAQYSRT(K-PEG3-DBCO-C6)</t>
    <phoneticPr fontId="1"/>
  </si>
  <si>
    <t>APWHLSSQYSAT(K-PEG3-Azide)</t>
  </si>
  <si>
    <t>T7-Peptide</t>
    <phoneticPr fontId="1"/>
  </si>
  <si>
    <t>T12Peptide</t>
    <phoneticPr fontId="1"/>
  </si>
  <si>
    <t>08-00-1F</t>
  </si>
  <si>
    <t>T7-Peptide</t>
  </si>
  <si>
    <t>C55H85N19O14</t>
  </si>
  <si>
    <t>08-00-1G</t>
  </si>
  <si>
    <t>T12Peptide</t>
  </si>
  <si>
    <t>C85H124N24O20S</t>
  </si>
  <si>
    <t>YEVHTYYLD</t>
  </si>
  <si>
    <t>VRRDAPRFSMQGLDACGGNNCNN</t>
  </si>
  <si>
    <t>08-00-1H</t>
  </si>
  <si>
    <t>08-00-1I</t>
  </si>
  <si>
    <t>08-00-1J</t>
  </si>
  <si>
    <t>fQWAVGH(Sta)L</t>
    <phoneticPr fontId="1"/>
  </si>
  <si>
    <t>Sta</t>
    <phoneticPr fontId="1"/>
  </si>
  <si>
    <t>Statine</t>
    <phoneticPr fontId="1"/>
  </si>
  <si>
    <t>N3PEG1CCONHC5CO</t>
  </si>
  <si>
    <t>N3PEG1CCONHC5CO</t>
    <phoneticPr fontId="1"/>
  </si>
  <si>
    <t>N3PEG3CCONHC5CO</t>
  </si>
  <si>
    <t>N3PEG3CCONHC5CO</t>
    <phoneticPr fontId="1"/>
  </si>
  <si>
    <t>AZDye647-DBCO-PEG1CCONHC5CO</t>
  </si>
  <si>
    <t>AZDye647-DBCO-PEG1CCONHC5CO</t>
    <phoneticPr fontId="1"/>
  </si>
  <si>
    <t>AZDye647-DBCO-PEG3CCONHC5CO</t>
  </si>
  <si>
    <t>AZDye647-DBCO-PEG3CCONHC5CO</t>
    <phoneticPr fontId="1"/>
  </si>
  <si>
    <t>RM26</t>
    <phoneticPr fontId="1"/>
  </si>
  <si>
    <t>EP1</t>
    <phoneticPr fontId="1"/>
  </si>
  <si>
    <t>pep10</t>
    <phoneticPr fontId="1"/>
  </si>
  <si>
    <t>RM26-AZ647</t>
    <phoneticPr fontId="1"/>
  </si>
  <si>
    <t>EP1-AZ647</t>
    <phoneticPr fontId="1"/>
  </si>
  <si>
    <t>pep10-AZ647</t>
    <phoneticPr fontId="1"/>
  </si>
  <si>
    <t>RM26</t>
  </si>
  <si>
    <t>fQWAVGH(Sta)L</t>
  </si>
  <si>
    <t>EP1</t>
  </si>
  <si>
    <t>C71H99N15O23</t>
  </si>
  <si>
    <t>pep10</t>
  </si>
  <si>
    <t>C112H181N41O39S3</t>
  </si>
  <si>
    <t>08-00-1K</t>
  </si>
  <si>
    <t>RM26-AZ647</t>
  </si>
  <si>
    <t>08-00-1L</t>
  </si>
  <si>
    <t>EP1-AZ647</t>
  </si>
  <si>
    <t>C125H159N19O37S4</t>
  </si>
  <si>
    <t>08-00-1M</t>
  </si>
  <si>
    <t>pep10-AZ647</t>
  </si>
  <si>
    <t>C166H241N45O53S7</t>
  </si>
  <si>
    <t>NLGKHLNSMERVEWLRKKLQDVH(K-PEG3-DBCO-C6)F</t>
    <phoneticPr fontId="1"/>
  </si>
  <si>
    <t>T7-AZDye647</t>
    <phoneticPr fontId="1"/>
  </si>
  <si>
    <t>T12-AZDye647</t>
    <phoneticPr fontId="1"/>
  </si>
  <si>
    <t>(K-PEG3-Azide)HAIYPRH</t>
  </si>
  <si>
    <t>(K-PEG3-Azide)THRPPMWSPVWP</t>
  </si>
  <si>
    <t>K-PEG3-AZDye647</t>
    <phoneticPr fontId="1"/>
  </si>
  <si>
    <t>Lys-PEG3-AZDye647</t>
    <phoneticPr fontId="1"/>
  </si>
  <si>
    <t>(K-PEG3-AZDye647)THRPPMWSPVWP</t>
    <phoneticPr fontId="1"/>
  </si>
  <si>
    <t>(K-PEG3-AZDye647)HAIYPRH</t>
    <phoneticPr fontId="1"/>
  </si>
  <si>
    <t>K-PEG3-AZDye647</t>
  </si>
  <si>
    <t>15</t>
  </si>
  <si>
    <t>1</t>
  </si>
  <si>
    <t>1498.6041449775</t>
  </si>
  <si>
    <t>1499.5887000000002</t>
  </si>
  <si>
    <t>250.0</t>
  </si>
  <si>
    <t>3.0</t>
  </si>
  <si>
    <t>0.5</t>
  </si>
  <si>
    <t>0.0</t>
  </si>
  <si>
    <t>2.0</t>
  </si>
  <si>
    <t>0.13333333333333333</t>
  </si>
  <si>
    <t>-0.22666666666666663</t>
  </si>
  <si>
    <t>1.0</t>
  </si>
  <si>
    <t>4.0</t>
  </si>
  <si>
    <t>22</t>
  </si>
  <si>
    <t>0</t>
  </si>
  <si>
    <t>2625.2472812590704</t>
  </si>
  <si>
    <t>2626.79532</t>
  </si>
  <si>
    <t>2980.0</t>
  </si>
  <si>
    <t>6.0</t>
  </si>
  <si>
    <t>5.0</t>
  </si>
  <si>
    <t>0.13636363636363635</t>
  </si>
  <si>
    <t>0.26363636363636367</t>
  </si>
  <si>
    <t>14</t>
  </si>
  <si>
    <t>1763.8227108526999</t>
  </si>
  <si>
    <t>1764.8489200000001</t>
  </si>
  <si>
    <t>1490.0</t>
  </si>
  <si>
    <t>-1.5</t>
  </si>
  <si>
    <t>0.2857142857142857</t>
  </si>
  <si>
    <t>0.19999999999999998</t>
  </si>
  <si>
    <t>40</t>
  </si>
  <si>
    <t>4162.994610548981</t>
  </si>
  <si>
    <t>4165.54936</t>
  </si>
  <si>
    <t>7115.0</t>
  </si>
  <si>
    <t>12.0</t>
  </si>
  <si>
    <t>0.3</t>
  </si>
  <si>
    <t>-0.01000000000000002</t>
  </si>
  <si>
    <t>2519.33972509423</t>
  </si>
  <si>
    <t>2520.84232</t>
  </si>
  <si>
    <t>0.18181818181818182</t>
  </si>
  <si>
    <t>0.10454545454545454</t>
  </si>
  <si>
    <t>9</t>
  </si>
  <si>
    <t>1527.54687308866</t>
  </si>
  <si>
    <t>1528.6844600000002</t>
  </si>
  <si>
    <t>5500.0</t>
  </si>
  <si>
    <t>-2.0</t>
  </si>
  <si>
    <t>0.4444444444444444</t>
  </si>
  <si>
    <t>-0.2777777777777778</t>
  </si>
  <si>
    <t>34</t>
  </si>
  <si>
    <t>4486.458305562689</t>
  </si>
  <si>
    <t>4489.28442</t>
  </si>
  <si>
    <t>11000.0</t>
  </si>
  <si>
    <t>11.0</t>
  </si>
  <si>
    <t>10.0</t>
  </si>
  <si>
    <t>15.0</t>
  </si>
  <si>
    <t>0.4411764705882353</t>
  </si>
  <si>
    <t>0.020588235294117654</t>
  </si>
  <si>
    <t>4232.355931235599</t>
  </si>
  <si>
    <t>4234.8664</t>
  </si>
  <si>
    <t>0.05294117647058824</t>
  </si>
  <si>
    <t>4186.39271066812</t>
  </si>
  <si>
    <t>4188.837939999999</t>
  </si>
  <si>
    <t>4.5</t>
  </si>
  <si>
    <t>13.0</t>
  </si>
  <si>
    <t>0.38235294117647056</t>
  </si>
  <si>
    <t>0.47941176470588237</t>
  </si>
  <si>
    <t>8.0</t>
  </si>
  <si>
    <t>32</t>
  </si>
  <si>
    <t>4016.2871829689</t>
  </si>
  <si>
    <t>4018.6289800000004</t>
  </si>
  <si>
    <t>0.34375</t>
  </si>
  <si>
    <t>0.571875</t>
  </si>
  <si>
    <t>30</t>
  </si>
  <si>
    <t>3800.2125614754295</t>
  </si>
  <si>
    <t>3802.4377</t>
  </si>
  <si>
    <t>5.5</t>
  </si>
  <si>
    <t>0.36666666666666664</t>
  </si>
  <si>
    <t>25</t>
  </si>
  <si>
    <t>3171.86803229559</t>
  </si>
  <si>
    <t>3173.71464</t>
  </si>
  <si>
    <t>9.0</t>
  </si>
  <si>
    <t>0.36</t>
  </si>
  <si>
    <t>0.7759999999999999</t>
  </si>
  <si>
    <t>3946.2163267019196</t>
  </si>
  <si>
    <t>3948.60204</t>
  </si>
  <si>
    <t>125.0</t>
  </si>
  <si>
    <t>0.45</t>
  </si>
  <si>
    <t>2931.6916483293894</t>
  </si>
  <si>
    <t>2933.47874</t>
  </si>
  <si>
    <t>0.736</t>
  </si>
  <si>
    <t>35</t>
  </si>
  <si>
    <t>4287.4403891373</t>
  </si>
  <si>
    <t>4289.94182</t>
  </si>
  <si>
    <t>0.37142857142857144</t>
  </si>
  <si>
    <t>0.45428571428571435</t>
  </si>
  <si>
    <t>26</t>
  </si>
  <si>
    <t>3272.9157107647698</t>
  </si>
  <si>
    <t>3274.81852</t>
  </si>
  <si>
    <t>0.34615384615384615</t>
  </si>
  <si>
    <t>0.7307692307692307</t>
  </si>
  <si>
    <t>4200.40836073258</t>
  </si>
  <si>
    <t>4202.86452</t>
  </si>
  <si>
    <t>0.35294117647058826</t>
  </si>
  <si>
    <t>0.49411764705882355</t>
  </si>
  <si>
    <t>3185.88368236005</t>
  </si>
  <si>
    <t>3187.74122</t>
  </si>
  <si>
    <t>0.32</t>
  </si>
  <si>
    <t>0.7959999999999999</t>
  </si>
  <si>
    <t>3960.23197676638</t>
  </si>
  <si>
    <t>3962.62862</t>
  </si>
  <si>
    <t>0.4647058823529412</t>
  </si>
  <si>
    <t>2945.70729839385</t>
  </si>
  <si>
    <t>2947.5053199999998</t>
  </si>
  <si>
    <t>0.7559999999999999</t>
  </si>
  <si>
    <t>4301.45603920176</t>
  </si>
  <si>
    <t>4303.9684</t>
  </si>
  <si>
    <t>0.34285714285714286</t>
  </si>
  <si>
    <t>0.46857142857142864</t>
  </si>
  <si>
    <t>3286.93136082923</t>
  </si>
  <si>
    <t>3288.8450999999995</t>
  </si>
  <si>
    <t>0.3076923076923077</t>
  </si>
  <si>
    <t>0.75</t>
  </si>
  <si>
    <t>4343.28956847091</t>
  </si>
  <si>
    <t>4346.00654</t>
  </si>
  <si>
    <t>3.5</t>
  </si>
  <si>
    <t>0.09999999999999998</t>
  </si>
  <si>
    <t>3318.7884022488097</t>
  </si>
  <si>
    <t>3320.82706</t>
  </si>
  <si>
    <t>0.26000000000000006</t>
  </si>
  <si>
    <t>4103.11318450471</t>
  </si>
  <si>
    <t>4105.77064</t>
  </si>
  <si>
    <t>5625.0</t>
  </si>
  <si>
    <t>0.07058823529411762</t>
  </si>
  <si>
    <t>3078.6120182826103</t>
  </si>
  <si>
    <t>3080.59116</t>
  </si>
  <si>
    <t>7.0</t>
  </si>
  <si>
    <t>0.22000000000000008</t>
  </si>
  <si>
    <t>4457.332495912289</t>
  </si>
  <si>
    <t>4460.1091799999995</t>
  </si>
  <si>
    <t>0.10285714285714286</t>
  </si>
  <si>
    <t>3432.8313296901897</t>
  </si>
  <si>
    <t>3434.9297</t>
  </si>
  <si>
    <t>0.2576923076923077</t>
  </si>
  <si>
    <t>4843.629663719</t>
  </si>
  <si>
    <t>4846.57724</t>
  </si>
  <si>
    <t>6990.0</t>
  </si>
  <si>
    <t>21.0</t>
  </si>
  <si>
    <t>0.525</t>
  </si>
  <si>
    <t>0.04000000000000002</t>
  </si>
  <si>
    <t>31</t>
  </si>
  <si>
    <t>4016.22716616804</t>
  </si>
  <si>
    <t>4018.6982600000006</t>
  </si>
  <si>
    <t>0.4838709677419355</t>
  </si>
  <si>
    <t>0.029032258064516182</t>
  </si>
  <si>
    <t>19</t>
  </si>
  <si>
    <t>2754.66948812642</t>
  </si>
  <si>
    <t>2756.27204</t>
  </si>
  <si>
    <t>0.3157894736842105</t>
  </si>
  <si>
    <t>0.8315789473684211</t>
  </si>
  <si>
    <t>8</t>
  </si>
  <si>
    <t>885.4668291424899</t>
  </si>
  <si>
    <t>885.96472</t>
  </si>
  <si>
    <t>-0.4749999999999999</t>
  </si>
  <si>
    <t>21</t>
  </si>
  <si>
    <t>2585.50756774876</t>
  </si>
  <si>
    <t>2586.96348</t>
  </si>
  <si>
    <t>0.19047619047619047</t>
  </si>
  <si>
    <t>0.980952380952381</t>
  </si>
  <si>
    <t>11</t>
  </si>
  <si>
    <t>1120.65775823076</t>
  </si>
  <si>
    <t>1121.29666</t>
  </si>
  <si>
    <t>0.09090909090909091</t>
  </si>
  <si>
    <t>-0.22727272727272727</t>
  </si>
  <si>
    <t>72</t>
  </si>
  <si>
    <t>5</t>
  </si>
  <si>
    <t>8428.71061608416</t>
  </si>
  <si>
    <t>8434.45502</t>
  </si>
  <si>
    <t>12710.0</t>
  </si>
  <si>
    <t>19.0</t>
  </si>
  <si>
    <t>0.2638888888888889</t>
  </si>
  <si>
    <t>-0.05555555555555558</t>
  </si>
  <si>
    <t>46</t>
  </si>
  <si>
    <t>4</t>
  </si>
  <si>
    <t>4984.287423595951</t>
  </si>
  <si>
    <t>4987.981779999999</t>
  </si>
  <si>
    <t>1000.0</t>
  </si>
  <si>
    <t>0.2826086956521739</t>
  </si>
  <si>
    <t>-0.01304347826086954</t>
  </si>
  <si>
    <t>43</t>
  </si>
  <si>
    <t>4722.37652829606</t>
  </si>
  <si>
    <t>4725.26006</t>
  </si>
  <si>
    <t>0.4418604651162791</t>
  </si>
  <si>
    <t>-0.10697674418604652</t>
  </si>
  <si>
    <t>42</t>
  </si>
  <si>
    <t>4511.26960361578</t>
  </si>
  <si>
    <t>4514.0389399999995</t>
  </si>
  <si>
    <t>0.4523809523809524</t>
  </si>
  <si>
    <t>-0.10952380952380954</t>
  </si>
  <si>
    <t>603.3128946982899</t>
  </si>
  <si>
    <t>603.67054</t>
  </si>
  <si>
    <t>0.2</t>
  </si>
  <si>
    <t>1.3</t>
  </si>
  <si>
    <t>5987.489717873141</t>
  </si>
  <si>
    <t>5990.97824</t>
  </si>
  <si>
    <t>1963.66348836669</t>
  </si>
  <si>
    <t>1964.6884</t>
  </si>
  <si>
    <t>-6.0</t>
  </si>
  <si>
    <t>1.1368421052631579</t>
  </si>
  <si>
    <t>13</t>
  </si>
  <si>
    <t>1756.8645160951103</t>
  </si>
  <si>
    <t>1757.90264</t>
  </si>
  <si>
    <t>1.5</t>
  </si>
  <si>
    <t>0.23076923076923078</t>
  </si>
  <si>
    <t>-0.36923076923076914</t>
  </si>
  <si>
    <t>1740.86960147554</t>
  </si>
  <si>
    <t>1741.90324</t>
  </si>
  <si>
    <t>-0.43076923076923074</t>
  </si>
  <si>
    <t>1671.80051885621</t>
  </si>
  <si>
    <t>1672.79486</t>
  </si>
  <si>
    <t>-0.6384615384615385</t>
  </si>
  <si>
    <t>1720.6942232868698</t>
  </si>
  <si>
    <t>1722.00132</t>
  </si>
  <si>
    <t>5750.0</t>
  </si>
  <si>
    <t>0.26666666666666666</t>
  </si>
  <si>
    <t>-0.16</t>
  </si>
  <si>
    <t>1577.62858607834</t>
  </si>
  <si>
    <t>1578.7548</t>
  </si>
  <si>
    <t>12</t>
  </si>
  <si>
    <t>1424.77107390847</t>
  </si>
  <si>
    <t>1425.70056</t>
  </si>
  <si>
    <t>0.4166666666666667</t>
  </si>
  <si>
    <t>-0.14166666666666664</t>
  </si>
  <si>
    <t>1281.70543669994</t>
  </si>
  <si>
    <t>1282.45404</t>
  </si>
  <si>
    <t>1235.6523384977</t>
  </si>
  <si>
    <t>1236.3823</t>
  </si>
  <si>
    <t>0.25</t>
  </si>
  <si>
    <t>-0.32499999999999996</t>
  </si>
  <si>
    <t>1832.91444366864</t>
  </si>
  <si>
    <t>1834.1078600000003</t>
  </si>
  <si>
    <t>-0.5538461538461538</t>
  </si>
  <si>
    <t>0.6666666666666666</t>
  </si>
  <si>
    <t>-1.1111111111111112</t>
  </si>
  <si>
    <t>1529.7038245073302</t>
  </si>
  <si>
    <t>1530.63246</t>
  </si>
  <si>
    <t>4470.0</t>
  </si>
  <si>
    <t>-2.5</t>
  </si>
  <si>
    <t>0.2222222222222222</t>
  </si>
  <si>
    <t>-0.5666666666666667</t>
  </si>
  <si>
    <t>23</t>
  </si>
  <si>
    <t>2820.2602487016898</t>
  </si>
  <si>
    <t>2822.0818400000003</t>
  </si>
  <si>
    <t>0.2608695652173913</t>
  </si>
  <si>
    <t>0.26956521739130435</t>
  </si>
  <si>
    <t>2646.0027118304297</t>
  </si>
  <si>
    <t>2647.9650600000004</t>
  </si>
  <si>
    <t>3936.5591360247904</t>
  </si>
  <si>
    <t>3939.4144399999996</t>
  </si>
  <si>
    <t>08-00-1N</t>
  </si>
  <si>
    <t>T7-AZDye647</t>
  </si>
  <si>
    <t>(K-PEG3-AZDye647)HAIYPRH</t>
  </si>
  <si>
    <t>C109H145N23O28S4</t>
  </si>
  <si>
    <t>2351.9512258207997</t>
  </si>
  <si>
    <t>2353.7149</t>
  </si>
  <si>
    <t>08-00-1O</t>
  </si>
  <si>
    <t>T12-AZDye647</t>
  </si>
  <si>
    <t>(K-PEG3-AZDye647)THRPPMWSPVWP</t>
  </si>
  <si>
    <t>C139H184N28O34S5</t>
  </si>
  <si>
    <t>2949.2133309917403</t>
  </si>
  <si>
    <t>2951.4404600000003</t>
  </si>
  <si>
    <t>C6NH2DBCO-N3PEG1CCONHC5CO</t>
  </si>
  <si>
    <t>C6NH2DBCO-N3PEG1CCONHC5CO</t>
    <phoneticPr fontId="1"/>
  </si>
  <si>
    <t>C6NH2DBCO-N3PEG3CCONHC5CO</t>
  </si>
  <si>
    <t>C6NH2DBCO-N3PEG3CCONHC5CO</t>
    <phoneticPr fontId="1"/>
  </si>
  <si>
    <t>RM26-DBCO-C6</t>
    <phoneticPr fontId="1"/>
  </si>
  <si>
    <t>EP1-DBCO-C6</t>
    <phoneticPr fontId="1"/>
  </si>
  <si>
    <t>RA-3</t>
    <phoneticPr fontId="1"/>
  </si>
  <si>
    <t>RA-5</t>
    <phoneticPr fontId="1"/>
  </si>
  <si>
    <t>RA-10</t>
    <phoneticPr fontId="1"/>
  </si>
  <si>
    <t>octreotide</t>
    <phoneticPr fontId="1"/>
  </si>
  <si>
    <t>(K-PEG3-Azide)fCFwKTC</t>
    <phoneticPr fontId="1"/>
  </si>
  <si>
    <t>L-threoninol</t>
  </si>
  <si>
    <t>L-threoninol</t>
    <phoneticPr fontId="1"/>
  </si>
  <si>
    <t>RA-3</t>
  </si>
  <si>
    <t>RA-5</t>
  </si>
  <si>
    <t>RA-10</t>
  </si>
  <si>
    <t>08-00-1P</t>
  </si>
  <si>
    <t>octreotide</t>
  </si>
  <si>
    <t>(K-PEG3-Azide)fCFwKTC</t>
  </si>
  <si>
    <t>C63H91N15O15S2</t>
  </si>
  <si>
    <t>1361.6260496417299</t>
  </si>
  <si>
    <t>1362.61814</t>
  </si>
  <si>
    <t>0.375</t>
  </si>
  <si>
    <t>-0.9750000000000001</t>
  </si>
  <si>
    <t>C65H96N18O14</t>
  </si>
  <si>
    <t>1352.7353398478</t>
  </si>
  <si>
    <t>1353.56994</t>
  </si>
  <si>
    <t>C119H156N22O28S4</t>
  </si>
  <si>
    <t>2469.0342271709</t>
  </si>
  <si>
    <t>2470.90254</t>
  </si>
  <si>
    <t>BBN(6-14)-azide</t>
    <phoneticPr fontId="1"/>
  </si>
  <si>
    <t>BBN(6-14)-AZ647</t>
    <phoneticPr fontId="1"/>
  </si>
  <si>
    <t>NQWAVGHLM</t>
  </si>
  <si>
    <t>Mal-Propionyl</t>
  </si>
  <si>
    <t>Mal-Propionyl</t>
    <phoneticPr fontId="1"/>
  </si>
  <si>
    <t>08-00-1Q</t>
  </si>
  <si>
    <t>C63H87N15O14</t>
  </si>
  <si>
    <t>1277.65569254444</t>
  </si>
  <si>
    <t>1278.4569800000002</t>
  </si>
  <si>
    <t>08-00-1R</t>
  </si>
  <si>
    <t>C55H78N16O14S</t>
  </si>
  <si>
    <t>1218.5604124332</t>
  </si>
  <si>
    <t>1219.3716200000001</t>
  </si>
  <si>
    <t>0.5555555555555556</t>
  </si>
  <si>
    <t>-0.9555555555555555</t>
  </si>
  <si>
    <t>08-00-1S</t>
  </si>
  <si>
    <t>BBN(6-14)-azide</t>
  </si>
  <si>
    <t>C57H87N19O14S</t>
  </si>
  <si>
    <t>1293.64005973656</t>
  </si>
  <si>
    <t>1294.48458</t>
  </si>
  <si>
    <t>08-00-1T</t>
  </si>
  <si>
    <t>BBN(6-14)-AZ647</t>
  </si>
  <si>
    <t>C111H147N23O28S5</t>
  </si>
  <si>
    <t>2409.93894705966</t>
  </si>
  <si>
    <t>2411.8171799999996</t>
  </si>
  <si>
    <t>BBN(6-14)-DBCO-C6</t>
    <phoneticPr fontId="1"/>
  </si>
  <si>
    <t>NQWAVGHLM</t>
    <phoneticPr fontId="1"/>
  </si>
  <si>
    <t>BBN(6-14)-mal</t>
    <phoneticPr fontId="1"/>
  </si>
  <si>
    <t>RM26-mal</t>
    <phoneticPr fontId="1"/>
  </si>
  <si>
    <t>Mal-S-C6-PS</t>
  </si>
  <si>
    <t>Mal-S-C6-PS</t>
    <phoneticPr fontId="1"/>
  </si>
  <si>
    <t>RM26-mal-S-C6-PS</t>
    <phoneticPr fontId="1"/>
  </si>
  <si>
    <t>BBN(6-14)-mal-S-C6-PS</t>
    <phoneticPr fontId="1"/>
  </si>
  <si>
    <t>RM26-mal</t>
  </si>
  <si>
    <t>BBN(6-14)-mal</t>
  </si>
  <si>
    <t>CPP=TAT</t>
    <phoneticPr fontId="1"/>
  </si>
  <si>
    <t>TAT× MTP○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</si>
</sst>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_ "/>
  </numFmts>
  <fonts count="10" x14ac:knownFonts="1">
    <font>
      <sz val="10.5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Meiryo UI"/>
      <family val="3"/>
      <charset val="128"/>
    </font>
    <font>
      <sz val="1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.5"/>
      <color theme="1"/>
      <name val="メイリオ"/>
      <family val="3"/>
      <charset val="128"/>
    </font>
    <font>
      <sz val="10.5"/>
      <name val="メイリオ"/>
      <family val="3"/>
      <charset val="128"/>
    </font>
    <font>
      <sz val="10"/>
      <color rgb="FF000000"/>
      <name val="Meiryo UI"/>
      <family val="3"/>
      <charset val="128"/>
    </font>
    <font>
      <u/>
      <sz val="10.5"/>
      <color theme="10"/>
      <name val="Meiryo UI"/>
      <family val="2"/>
      <charset val="128"/>
    </font>
    <font>
      <u/>
      <sz val="10.5"/>
      <color theme="1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76" fontId="7" fillId="0" borderId="0" xfId="0" applyNumberFormat="1" applyFont="1">
      <alignment vertical="center"/>
    </xf>
    <xf numFmtId="0" fontId="9" fillId="0" borderId="0" xfId="1" applyFont="1">
      <alignment vertical="center"/>
    </xf>
    <xf numFmtId="0" fontId="6" fillId="0" borderId="0" xfId="1" applyFont="1">
      <alignment vertical="center"/>
    </xf>
    <xf numFmtId="0" fontId="8" fillId="0" borderId="0" xfId="1" applyNumberFormat="1">
      <alignment vertical="center"/>
    </xf>
    <xf numFmtId="0" fontId="8" fillId="0" borderId="0" xfId="1">
      <alignment vertical="center"/>
    </xf>
    <xf numFmtId="0" fontId="0" fillId="0" borderId="0" xfId="0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140"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.5"/>
        <color theme="10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510;&#12452;&#12489;&#12521;&#12452;&#12502;/Python/MS&#35336;&#31639;&#27231;/MS210222/for_re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igo"/>
      <sheetName val="Ligand"/>
      <sheetName val="Manual"/>
      <sheetName val="Sugar"/>
      <sheetName val="Base"/>
      <sheetName val="Linker"/>
      <sheetName val="XNA"/>
      <sheetName val="Letter"/>
      <sheetName val="Combination"/>
      <sheetName val="Weight"/>
      <sheetName val="Impurities"/>
      <sheetName val="MSMS"/>
      <sheetName val="for_rena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PO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F964D70-9B0E-4E47-84DA-96B440C91031}" autoFormatId="20" applyNumberFormats="0" applyBorderFormats="0" applyFontFormats="0" applyPatternFormats="0" applyAlignmentFormats="0" applyWidthHeightFormats="0">
  <queryTableRefresh nextId="77">
    <queryTableFields count="74">
      <queryTableField id="1" name="ID" tableColumnId="1"/>
      <queryTableField id="2" name="Name" tableColumnId="2"/>
      <queryTableField id="3" name="Note" tableColumnId="3"/>
      <queryTableField id="4" name="Length" tableColumnId="4"/>
      <queryTableField id="5" name="N_terminal" tableColumnId="5"/>
      <queryTableField id="6" name="Sequence" tableColumnId="6"/>
      <queryTableField id="7" name="C_terminal" tableColumnId="7"/>
      <queryTableField id="8" name="Cyclo" tableColumnId="8"/>
      <queryTableField id="9" name="Formula" tableColumnId="9"/>
      <queryTableField id="10" name="Ex.MS" tableColumnId="10"/>
      <queryTableField id="11" name="Mol.W" tableColumnId="11"/>
      <queryTableField id="12" name="ε(280 nm)" tableColumnId="12"/>
      <queryTableField id="13" name="TFA" tableColumnId="13"/>
      <queryTableField id="14" name="AcOH" tableColumnId="14"/>
      <queryTableField id="15" name="acid" tableColumnId="15"/>
      <queryTableField id="16" name="base" tableColumnId="16"/>
      <queryTableField id="17" name="hydrophobic" tableColumnId="17"/>
      <queryTableField id="18" name="ratio_hydrophobic" tableColumnId="18"/>
      <queryTableField id="19" name="hydrophilicity" tableColumnId="19"/>
      <queryTableField id="20" name="A" tableColumnId="20"/>
      <queryTableField id="21" name="C" tableColumnId="21"/>
      <queryTableField id="22" name="D" tableColumnId="22"/>
      <queryTableField id="23" name="E" tableColumnId="23"/>
      <queryTableField id="24" name="F" tableColumnId="24"/>
      <queryTableField id="25" name="G" tableColumnId="25"/>
      <queryTableField id="26" name="H" tableColumnId="26"/>
      <queryTableField id="27" name="I" tableColumnId="27"/>
      <queryTableField id="28" name="K" tableColumnId="28"/>
      <queryTableField id="29" name="L" tableColumnId="29"/>
      <queryTableField id="30" name="M" tableColumnId="30"/>
      <queryTableField id="31" name="N" tableColumnId="31"/>
      <queryTableField id="32" name="P" tableColumnId="32"/>
      <queryTableField id="33" name="Q" tableColumnId="33"/>
      <queryTableField id="34" name="R" tableColumnId="34"/>
      <queryTableField id="35" name="S" tableColumnId="35"/>
      <queryTableField id="36" name="T" tableColumnId="36"/>
      <queryTableField id="37" name="V" tableColumnId="37"/>
      <queryTableField id="38" name="W" tableColumnId="38"/>
      <queryTableField id="39" name="Y" tableColumnId="39"/>
      <queryTableField id="40" name="a.1" tableColumnId="40"/>
      <queryTableField id="41" name="c.1" tableColumnId="41"/>
      <queryTableField id="42" name="d.1" tableColumnId="42"/>
      <queryTableField id="43" name="e.1" tableColumnId="43"/>
      <queryTableField id="44" name="f.1" tableColumnId="44"/>
      <queryTableField id="45" name="h.1" tableColumnId="45"/>
      <queryTableField id="46" name="i.1" tableColumnId="46"/>
      <queryTableField id="47" name="k.1" tableColumnId="47"/>
      <queryTableField id="48" name="l.1" tableColumnId="48"/>
      <queryTableField id="49" name="m.1" tableColumnId="49"/>
      <queryTableField id="50" name="n.1" tableColumnId="50"/>
      <queryTableField id="51" name="p.1" tableColumnId="51"/>
      <queryTableField id="52" name="q.1" tableColumnId="52"/>
      <queryTableField id="53" name="r.1" tableColumnId="53"/>
      <queryTableField id="54" name="s.1" tableColumnId="54"/>
      <queryTableField id="55" name="t.1" tableColumnId="55"/>
      <queryTableField id="56" name="v.1" tableColumnId="56"/>
      <queryTableField id="57" name="w.1" tableColumnId="57"/>
      <queryTableField id="58" name="y.1" tableColumnId="58"/>
      <queryTableField id="59" name="AiB" tableColumnId="59"/>
      <queryTableField id="60" name="K-PEG3-Azide" tableColumnId="60"/>
      <queryTableField id="61" name="K-PEG3-DBCO-C6" tableColumnId="61"/>
      <queryTableField id="75" name="K-PEG3-AZDye647" tableColumnId="74"/>
      <queryTableField id="62" name="K-COCH2-Azide" tableColumnId="62"/>
      <queryTableField id="63" name="K-COCH2-DBCO-C6" tableColumnId="63"/>
      <queryTableField id="64" name="Y-SO2H" tableColumnId="64"/>
      <queryTableField id="65" name="C-SS-C6" tableColumnId="65"/>
      <queryTableField id="66" name="C-S-Mal-C6" tableColumnId="66"/>
      <queryTableField id="67" name="AminohexanoicAcid" tableColumnId="67"/>
      <queryTableField id="68" name="beta-alanine" tableColumnId="68"/>
      <queryTableField id="69" name="Homoarginine" tableColumnId="69"/>
      <queryTableField id="70" name="Dab" tableColumnId="70"/>
      <queryTableField id="71" name="K-PEG80-Azide" tableColumnId="71"/>
      <queryTableField id="72" name="K-PEG80-DBCO-C6" tableColumnId="72"/>
      <queryTableField id="73" name="K-SPDP" tableColumnId="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35E837-D7A4-4CE2-8686-D6C743DA53EA}" name="DB08_peptide" displayName="DB08_peptide" ref="A1:BV66" tableType="queryTable" totalsRowShown="0" headerRowDxfId="139" dataDxfId="138">
  <autoFilter ref="A1:BV66" xr:uid="{9735E837-D7A4-4CE2-8686-D6C743DA53EA}"/>
  <tableColumns count="74">
    <tableColumn id="1" xr3:uid="{F12B1922-9438-4BCE-A9B9-A16A6F5A93BC}" uniqueName="1" name="ID" queryTableFieldId="1" dataDxfId="72"/>
    <tableColumn id="2" xr3:uid="{4524F4A9-6A09-4D93-AEA1-3A2324F8D70D}" uniqueName="2" name="Name" queryTableFieldId="2" dataDxfId="71"/>
    <tableColumn id="3" xr3:uid="{972C69A1-AD0B-4865-8409-947FC58F3747}" uniqueName="3" name="Note" queryTableFieldId="3" dataDxfId="70"/>
    <tableColumn id="4" xr3:uid="{BB0C1B92-54F9-4FDD-8147-57F4936E4BF2}" uniqueName="4" name="Length" queryTableFieldId="4" dataDxfId="69"/>
    <tableColumn id="5" xr3:uid="{AE7DE071-0BD3-4C14-B7A2-67231AA4F4A3}" uniqueName="5" name="N_terminal" queryTableFieldId="5" dataDxfId="68"/>
    <tableColumn id="6" xr3:uid="{0B4F11AA-86AE-4401-9E71-19FC323E0585}" uniqueName="6" name="Sequence" queryTableFieldId="6" dataDxfId="67"/>
    <tableColumn id="7" xr3:uid="{7F7791F3-C300-42DD-8D67-09722B5978E1}" uniqueName="7" name="C_terminal" queryTableFieldId="7" dataDxfId="66"/>
    <tableColumn id="8" xr3:uid="{FD8C43CB-5FCB-43AC-AA03-65B9B363FC04}" uniqueName="8" name="Cyclo" queryTableFieldId="8" dataDxfId="65"/>
    <tableColumn id="9" xr3:uid="{24484265-3CD4-48A4-8E6A-897A8F4AA8E0}" uniqueName="9" name="Formula" queryTableFieldId="9" dataDxfId="64"/>
    <tableColumn id="10" xr3:uid="{B710384B-EFD5-459B-AA6A-9E85FC228B72}" uniqueName="10" name="Ex.MS" queryTableFieldId="10" dataDxfId="63"/>
    <tableColumn id="11" xr3:uid="{5431A260-00A7-4C6B-9CDA-B8109B62E907}" uniqueName="11" name="Mol.W" queryTableFieldId="11" dataDxfId="62"/>
    <tableColumn id="12" xr3:uid="{CC8FB55C-66A0-4549-BD3B-EFC4275BBE1C}" uniqueName="12" name="ε(280 nm)" queryTableFieldId="12" dataDxfId="61"/>
    <tableColumn id="13" xr3:uid="{28376F13-26B1-4D5A-8266-7A4156D59170}" uniqueName="13" name="TFA" queryTableFieldId="13" dataDxfId="60"/>
    <tableColumn id="14" xr3:uid="{8FB6294B-195D-4754-A3B7-7E6B10E7C1C5}" uniqueName="14" name="AcOH" queryTableFieldId="14" dataDxfId="59"/>
    <tableColumn id="15" xr3:uid="{B0FBDB0E-80C8-49A2-B249-6A377776F478}" uniqueName="15" name="acid" queryTableFieldId="15" dataDxfId="58"/>
    <tableColumn id="16" xr3:uid="{B64FD4DD-8261-441F-A749-716C935A160E}" uniqueName="16" name="base" queryTableFieldId="16" dataDxfId="57"/>
    <tableColumn id="17" xr3:uid="{E447AB84-7873-43E4-B42E-6317347FC6B9}" uniqueName="17" name="hydrophobic" queryTableFieldId="17" dataDxfId="56"/>
    <tableColumn id="18" xr3:uid="{6DBE5ED3-AE26-4DA2-A028-894528775FD4}" uniqueName="18" name="ratio_hydrophobic" queryTableFieldId="18" dataDxfId="55"/>
    <tableColumn id="19" xr3:uid="{1344C968-57C1-41AE-A264-C1300D309CF1}" uniqueName="19" name="hydrophilicity" queryTableFieldId="19" dataDxfId="54"/>
    <tableColumn id="20" xr3:uid="{67441A1C-3E11-4270-8FA3-85AE32F70693}" uniqueName="20" name="A" queryTableFieldId="20" dataDxfId="53"/>
    <tableColumn id="21" xr3:uid="{1CEE384E-3A66-45F9-86CF-89A2E1F374A8}" uniqueName="21" name="C" queryTableFieldId="21" dataDxfId="52"/>
    <tableColumn id="22" xr3:uid="{AC07D828-3EE3-4A67-8C0B-8D849FE9278A}" uniqueName="22" name="D" queryTableFieldId="22" dataDxfId="51"/>
    <tableColumn id="23" xr3:uid="{E9CB2408-26D7-408E-9E3E-76A93BE908FD}" uniqueName="23" name="E" queryTableFieldId="23" dataDxfId="50"/>
    <tableColumn id="24" xr3:uid="{4842DF8F-7741-4C5B-959C-79B780E911F3}" uniqueName="24" name="F" queryTableFieldId="24" dataDxfId="49"/>
    <tableColumn id="25" xr3:uid="{F6166867-85C6-4F29-AA2C-9AF85BD9D762}" uniqueName="25" name="G" queryTableFieldId="25" dataDxfId="48"/>
    <tableColumn id="26" xr3:uid="{A6766309-2904-45EE-87CA-35D13D3E24A8}" uniqueName="26" name="H" queryTableFieldId="26" dataDxfId="47"/>
    <tableColumn id="27" xr3:uid="{189E5F78-E819-47D5-978E-6F998A395930}" uniqueName="27" name="I" queryTableFieldId="27" dataDxfId="46"/>
    <tableColumn id="28" xr3:uid="{368FC441-453F-4425-ADE3-532A414E7878}" uniqueName="28" name="K" queryTableFieldId="28" dataDxfId="45"/>
    <tableColumn id="29" xr3:uid="{51DCC211-1D37-43BB-85B9-D21F57E56BF8}" uniqueName="29" name="L" queryTableFieldId="29" dataDxfId="44"/>
    <tableColumn id="30" xr3:uid="{C93D2899-8572-4942-A4EE-608266A41012}" uniqueName="30" name="M" queryTableFieldId="30" dataDxfId="43"/>
    <tableColumn id="31" xr3:uid="{CE71600D-6BCD-4683-8C6D-26753E65A656}" uniqueName="31" name="N" queryTableFieldId="31" dataDxfId="42"/>
    <tableColumn id="32" xr3:uid="{CACF2D61-D608-49FD-A827-2ECDC8C491E2}" uniqueName="32" name="P" queryTableFieldId="32" dataDxfId="41"/>
    <tableColumn id="33" xr3:uid="{CEF8F709-5BDB-40E1-97FB-F87392ADBE22}" uniqueName="33" name="Q" queryTableFieldId="33" dataDxfId="40"/>
    <tableColumn id="34" xr3:uid="{8CFCE843-6814-474F-8978-F81ADD9323FC}" uniqueName="34" name="R" queryTableFieldId="34" dataDxfId="39"/>
    <tableColumn id="35" xr3:uid="{036864DD-7AF2-4A4B-8362-A4C0AB9EB520}" uniqueName="35" name="S" queryTableFieldId="35" dataDxfId="38"/>
    <tableColumn id="36" xr3:uid="{814B9B0E-E23A-4649-A979-4F1DA2D010FA}" uniqueName="36" name="T" queryTableFieldId="36" dataDxfId="37"/>
    <tableColumn id="37" xr3:uid="{AF26FBC9-DCAF-44FD-8A30-32CEEDD93A81}" uniqueName="37" name="V" queryTableFieldId="37" dataDxfId="36"/>
    <tableColumn id="38" xr3:uid="{0A44A6D0-941A-4F72-8FB1-6895D218257C}" uniqueName="38" name="W" queryTableFieldId="38" dataDxfId="35"/>
    <tableColumn id="39" xr3:uid="{052F7AD7-0326-4B51-8240-34B48004D5A9}" uniqueName="39" name="Y" queryTableFieldId="39" dataDxfId="34"/>
    <tableColumn id="40" xr3:uid="{93D1DDFB-114F-4F52-9B8A-F8C1A475D8F4}" uniqueName="40" name="a.1" queryTableFieldId="40" dataDxfId="33"/>
    <tableColumn id="41" xr3:uid="{48BDF1BB-DDC1-4EF1-A999-5CA96F4B1A3D}" uniqueName="41" name="c.1" queryTableFieldId="41" dataDxfId="32"/>
    <tableColumn id="42" xr3:uid="{81004EBD-502A-431A-8442-D247394C0A32}" uniqueName="42" name="d.1" queryTableFieldId="42" dataDxfId="31"/>
    <tableColumn id="43" xr3:uid="{92FB7652-22D2-4DDF-B935-BDD8E70CDD00}" uniqueName="43" name="e.1" queryTableFieldId="43" dataDxfId="30"/>
    <tableColumn id="44" xr3:uid="{A3D300DE-EAB9-435C-94A7-B2E7F14E2A68}" uniqueName="44" name="f.1" queryTableFieldId="44" dataDxfId="29"/>
    <tableColumn id="45" xr3:uid="{119AFF63-5729-4119-8412-0321D05DA004}" uniqueName="45" name="h.1" queryTableFieldId="45" dataDxfId="28"/>
    <tableColumn id="46" xr3:uid="{64FAE94D-474A-4AE8-B3F6-8EDEF5D8F1E1}" uniqueName="46" name="i.1" queryTableFieldId="46" dataDxfId="27"/>
    <tableColumn id="47" xr3:uid="{BB65D769-5AFE-45A1-A21A-C790E9AE0BFA}" uniqueName="47" name="k.1" queryTableFieldId="47" dataDxfId="26"/>
    <tableColumn id="48" xr3:uid="{D7411B16-08C8-48D1-BFAF-7989E8421AE5}" uniqueName="48" name="l.1" queryTableFieldId="48" dataDxfId="25"/>
    <tableColumn id="49" xr3:uid="{5EB81D1D-58A3-4B0E-B1DF-23A3049BAA88}" uniqueName="49" name="m.1" queryTableFieldId="49" dataDxfId="24"/>
    <tableColumn id="50" xr3:uid="{D3E16776-F78B-4439-8681-BC79E75711CE}" uniqueName="50" name="n.1" queryTableFieldId="50" dataDxfId="23"/>
    <tableColumn id="51" xr3:uid="{5A6A2387-5DBA-4D53-A1C3-F4D084014D1F}" uniqueName="51" name="p.1" queryTableFieldId="51" dataDxfId="22"/>
    <tableColumn id="52" xr3:uid="{05A876A4-E988-4999-B134-519BFBB59577}" uniqueName="52" name="q.1" queryTableFieldId="52" dataDxfId="21"/>
    <tableColumn id="53" xr3:uid="{28328688-B8EF-4154-95CA-473009FEBE88}" uniqueName="53" name="r.1" queryTableFieldId="53" dataDxfId="20"/>
    <tableColumn id="54" xr3:uid="{A00C64D1-EA01-4C00-A2D5-D50C74E6AF39}" uniqueName="54" name="s.1" queryTableFieldId="54" dataDxfId="19"/>
    <tableColumn id="55" xr3:uid="{ABB1682F-2CB0-4B05-BE68-159CC1208D6B}" uniqueName="55" name="t.1" queryTableFieldId="55" dataDxfId="18"/>
    <tableColumn id="56" xr3:uid="{403CD1E7-8905-461D-9238-5A232448E233}" uniqueName="56" name="v.1" queryTableFieldId="56" dataDxfId="17"/>
    <tableColumn id="57" xr3:uid="{BA42E6CD-6729-47DB-887E-D3C6900163B9}" uniqueName="57" name="w.1" queryTableFieldId="57" dataDxfId="16"/>
    <tableColumn id="58" xr3:uid="{834DCDD7-2A3E-4435-8DF3-B9D60E5EC0FF}" uniqueName="58" name="y.1" queryTableFieldId="58" dataDxfId="15"/>
    <tableColumn id="59" xr3:uid="{CE45A7D9-65F3-4506-B158-218E9FBC31D8}" uniqueName="59" name="AiB" queryTableFieldId="59" dataDxfId="14"/>
    <tableColumn id="60" xr3:uid="{5D5F815C-956E-4F13-A99F-15A009AD6141}" uniqueName="60" name="K-PEG3-Azide" queryTableFieldId="60" dataDxfId="13"/>
    <tableColumn id="61" xr3:uid="{09ED0E45-561C-49C8-AC83-83AE1902DDCE}" uniqueName="61" name="K-PEG3-DBCO-C6" queryTableFieldId="61" dataDxfId="12"/>
    <tableColumn id="74" xr3:uid="{2F6F591F-E764-44DA-9EA9-6407DAB9E7F6}" uniqueName="74" name="K-PEG3-AZDye647" queryTableFieldId="75" dataDxfId="137"/>
    <tableColumn id="62" xr3:uid="{21C85647-8999-4941-9E48-7AF7CB5795FC}" uniqueName="62" name="K-COCH2-Azide" queryTableFieldId="62" dataDxfId="11"/>
    <tableColumn id="63" xr3:uid="{1AEE4055-58D7-40F3-B267-0FBB7E72699C}" uniqueName="63" name="K-COCH2-DBCO-C6" queryTableFieldId="63" dataDxfId="10"/>
    <tableColumn id="64" xr3:uid="{D1DEEC26-712D-4CEB-AAB2-36E62AAC518D}" uniqueName="64" name="Y-SO2H" queryTableFieldId="64" dataDxfId="9"/>
    <tableColumn id="65" xr3:uid="{FA3C93F0-22B5-4713-8614-990680EB3C75}" uniqueName="65" name="C-SS-C6" queryTableFieldId="65" dataDxfId="8"/>
    <tableColumn id="66" xr3:uid="{E3CD1F2F-3E30-4EA6-8546-89E9BFB11F8B}" uniqueName="66" name="C-S-Mal-C6" queryTableFieldId="66" dataDxfId="7"/>
    <tableColumn id="67" xr3:uid="{47E127F3-70F3-40FB-94C2-77969156D596}" uniqueName="67" name="AminohexanoicAcid" queryTableFieldId="67" dataDxfId="6"/>
    <tableColumn id="68" xr3:uid="{435DCC0B-2B5A-44A5-88F2-BBEB52883B81}" uniqueName="68" name="beta-alanine" queryTableFieldId="68" dataDxfId="5"/>
    <tableColumn id="69" xr3:uid="{1C3E4D57-0818-46BB-804D-ADA489DED942}" uniqueName="69" name="Homoarginine" queryTableFieldId="69" dataDxfId="4"/>
    <tableColumn id="70" xr3:uid="{317883AF-289E-460C-AEA9-3F33CED08D4F}" uniqueName="70" name="Dab" queryTableFieldId="70" dataDxfId="3"/>
    <tableColumn id="71" xr3:uid="{2F53130E-A0EB-4304-86CC-BC9259572729}" uniqueName="71" name="K-PEG80-Azide" queryTableFieldId="71" dataDxfId="2"/>
    <tableColumn id="72" xr3:uid="{62DF634E-B499-41AD-90D7-F92579272859}" uniqueName="72" name="K-PEG80-DBCO-C6" queryTableFieldId="72" dataDxfId="1"/>
    <tableColumn id="73" xr3:uid="{6CA3CE55-7257-4004-809A-29189581E0DC}" uniqueName="73" name="K-SPDP" queryTableFieldId="7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C1BA48-3926-4618-B300-59746C59A59A}" name="テーブル3" displayName="テーブル3" ref="A1:J66" totalsRowShown="0" headerRowDxfId="136" dataDxfId="135">
  <autoFilter ref="A1:J66" xr:uid="{3FC1BA48-3926-4618-B300-59746C59A59A}"/>
  <tableColumns count="10">
    <tableColumn id="2" xr3:uid="{F94B628D-50F9-43A2-9E2B-29257F1FAF10}" name="id" dataDxfId="134">
      <calculatedColumnFormula>"08-"&amp;LEFT(RIGHTB(REPT(0,4)&amp;_xlfn.BASE(テーブル3[[#This Row],[num]],36),4),2)&amp;"-"&amp;RIGHT(RIGHTB(REPT(0,4)&amp;_xlfn.BASE(テーブル3[[#This Row],[num]],36),4),2)</calculatedColumnFormula>
    </tableColumn>
    <tableColumn id="4" xr3:uid="{17732C8A-6E3C-46BC-BD56-2DA92586B2BC}" name="num" dataDxfId="133"/>
    <tableColumn id="3" xr3:uid="{85CDA90F-430B-420E-A4A1-98E2EE2C1728}" name="name" dataDxfId="132"/>
    <tableColumn id="15" xr3:uid="{18989F7D-0843-4151-9C1D-96030A832D06}" name="note" dataDxfId="131"/>
    <tableColumn id="5" xr3:uid="{62EEAB79-DC82-4D8E-89F7-9B00F3A1604A}" name="cyclo" dataDxfId="130"/>
    <tableColumn id="13" xr3:uid="{D906A810-AAA0-4538-8631-C03C84DF191B}" name="deltams" dataDxfId="129"/>
    <tableColumn id="1" xr3:uid="{5060561D-4FB3-4C0A-8104-8869C9F2EB8F}" name="seq_type" dataDxfId="128"/>
    <tableColumn id="11" xr3:uid="{EDC010D8-FD69-4319-BAA7-CF5615044F14}" name="n_terminal" dataDxfId="127"/>
    <tableColumn id="6" xr3:uid="{A93E8DDC-69E7-4729-AF73-5D971031F5BF}" name="sequence" dataDxfId="126"/>
    <tableColumn id="10" xr3:uid="{FDE3EC1E-9389-4AE9-9078-5CFFADFEA1AB}" name="c_terminal" dataDxfId="1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B0388E-835A-416C-8098-A197F88859E2}" name="ligandtable" displayName="ligandtable" ref="A1:I51" totalsRowShown="0" headerRowDxfId="124" dataDxfId="123">
  <autoFilter ref="A1:I51" xr:uid="{3FC1BA48-3926-4618-B300-59746C59A59A}"/>
  <tableColumns count="9">
    <tableColumn id="2" xr3:uid="{CF6D6F29-698A-45FA-9C1E-3C998F68DD25}" name="id" dataDxfId="122"/>
    <tableColumn id="3" xr3:uid="{6323F149-EDC0-46E1-A1AE-81F79F45B026}" name="name" dataDxfId="121"/>
    <tableColumn id="15" xr3:uid="{5331D062-9862-4368-9FDA-26B9DD376B92}" name="note" dataDxfId="120"/>
    <tableColumn id="5" xr3:uid="{AAB1572E-175C-4F6E-B9BD-779C717470DD}" name="cyclo" dataDxfId="119"/>
    <tableColumn id="13" xr3:uid="{DB9021FE-126D-4C3E-A23D-F42525F8E20B}" name="deltams" dataDxfId="118"/>
    <tableColumn id="1" xr3:uid="{4817F925-6C40-45EB-90F0-D107CED0C91A}" name="seq_type" dataDxfId="117"/>
    <tableColumn id="11" xr3:uid="{1EF9AA79-8B98-4F26-A03D-DBB3FB28A37D}" name="n_terminal" dataDxfId="116"/>
    <tableColumn id="6" xr3:uid="{80F7B2F7-CA8C-4C72-9595-0DF441904DAD}" name="sequence" dataDxfId="115"/>
    <tableColumn id="10" xr3:uid="{9C3F8C73-89D0-415A-924E-95A58045D973}" name="c_terminal" dataDxfId="1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A2265-99B5-4470-AA0C-2862B56B766C}" name="Ligand" displayName="Ligand" ref="A1:V59" totalsRowShown="0" headerRowDxfId="113" dataDxfId="112">
  <autoFilter ref="A1:V59" xr:uid="{E5E8B14A-EAD6-4544-B3A4-3252AB2485FE}"/>
  <sortState xmlns:xlrd2="http://schemas.microsoft.com/office/spreadsheetml/2017/richdata2" ref="A2:V40">
    <sortCondition ref="A1:A40"/>
  </sortState>
  <tableColumns count="22">
    <tableColumn id="1" xr3:uid="{56BE2B7D-D74B-49D4-A4E0-289CC1A72347}" name="name" dataDxfId="111"/>
    <tableColumn id="15" xr3:uid="{4B5B74D4-2D34-4145-A871-6E0FE708E031}" name="letter" dataDxfId="110"/>
    <tableColumn id="14" xr3:uid="{AC2E9A48-6231-4333-B473-E7F97A9EA47C}" name="note" dataDxfId="109"/>
    <tableColumn id="17" xr3:uid="{DF287E0C-64F7-4DDE-BB44-55FE2BA88164}" name="extinction280" dataDxfId="108"/>
    <tableColumn id="16" xr3:uid="{6D56F628-588C-4C33-A7F4-D37C83A0B8ED}" name="img" dataDxfId="107">
      <calculatedColumnFormula>HYPERLINK("./aminoicacid/"&amp;Ligand[[#This Row],[name]]&amp;".png","◆")</calculatedColumnFormula>
    </tableColumn>
    <tableColumn id="21" xr3:uid="{B7C1BAF5-EDF7-49C5-B07E-92C74A5CC9CC}" name="pKa" dataDxfId="106" dataCellStyle="ハイパーリンク"/>
    <tableColumn id="22" xr3:uid="{B57E6792-B978-403D-895B-ED3E0A7AC67A}" name="hydrophilicity" dataDxfId="105" dataCellStyle="ハイパーリンク"/>
    <tableColumn id="18" xr3:uid="{55C2C763-3A16-4681-8F47-F008DFA2728A}" name="is_hydrophobic" dataDxfId="104" dataCellStyle="ハイパーリンク"/>
    <tableColumn id="19" xr3:uid="{D86946E8-ED9C-43D6-A7F6-A40226B6DD83}" name="is_acidic" dataDxfId="103"/>
    <tableColumn id="20" xr3:uid="{6DEAE809-D2FB-4631-A22A-F4D7AC23DE5C}" name="is_basic" dataDxfId="102"/>
    <tableColumn id="2" xr3:uid="{6C45720B-9BB6-43B4-ACDF-C5DD9CA496CE}" name="C" dataDxfId="101"/>
    <tableColumn id="3" xr3:uid="{33CB9CAF-744B-418A-878D-0F6FA8963BA3}" name="H" dataDxfId="100"/>
    <tableColumn id="4" xr3:uid="{88C5E175-D781-465C-BDED-16C197642410}" name="B" dataDxfId="99"/>
    <tableColumn id="12" xr3:uid="{58364512-763F-46AC-9803-E822F72A0161}" name="Cl" dataDxfId="98"/>
    <tableColumn id="7" xr3:uid="{FADC2A65-91C6-4037-BCAB-D570C28E573D}" name="F" dataDxfId="97"/>
    <tableColumn id="13" xr3:uid="{0EC4C660-B3AC-4944-96EA-05E2AC53558D}" name="K" dataDxfId="96"/>
    <tableColumn id="5" xr3:uid="{328655EE-8D29-462B-B0A9-326E7E5AAD93}" name="N" dataDxfId="95"/>
    <tableColumn id="8" xr3:uid="{35600B2F-2D8A-4AF9-BD34-248031E818D6}" name="Na" dataDxfId="94"/>
    <tableColumn id="6" xr3:uid="{F7B58F3A-2AAF-413F-81EB-D391EB5CEDE7}" name="O" dataDxfId="93"/>
    <tableColumn id="10" xr3:uid="{6B8B6540-6F74-40FC-9A37-A3DBF1533924}" name="P" dataDxfId="92"/>
    <tableColumn id="11" xr3:uid="{4D88F717-E25C-46BE-BA03-EFDCC9D10147}" name="S" dataDxfId="91"/>
    <tableColumn id="9" xr3:uid="{5598EBDE-9588-4ED5-B667-43F2DC9E53A0}" name="Si" dataDxfId="90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C3E2ED-A8BE-4B00-AF5E-1BF7FDE53A87}" name="table_terminal" displayName="table_terminal" ref="A1:O16" totalsRowShown="0" headerRowDxfId="89" dataDxfId="88">
  <autoFilter ref="A1:O16" xr:uid="{8BC3E2ED-A8BE-4B00-AF5E-1BF7FDE53A87}"/>
  <tableColumns count="15">
    <tableColumn id="1" xr3:uid="{36E3D89B-5800-464B-A4AA-7FA4347A4CD5}" name="name" dataDxfId="87"/>
    <tableColumn id="14" xr3:uid="{AA483A6B-F0B3-4725-8C7A-4EA3FE77CEC4}" name="note" dataDxfId="86"/>
    <tableColumn id="15" xr3:uid="{9BCFA7A8-F807-4F4B-B141-BF919E304540}" name="pKa" dataDxfId="85"/>
    <tableColumn id="2" xr3:uid="{55F80F63-F15E-4DDC-83E9-4289514E9762}" name="C" dataDxfId="84"/>
    <tableColumn id="3" xr3:uid="{BB1257C0-42D0-4763-A290-9475926DC83F}" name="H" dataDxfId="83"/>
    <tableColumn id="4" xr3:uid="{AF937A6B-4875-41A2-A085-496E8D184E46}" name="B" dataDxfId="82"/>
    <tableColumn id="12" xr3:uid="{3375DC6D-7B28-46C9-9E27-379B0E05C8A2}" name="Cl" dataDxfId="81"/>
    <tableColumn id="7" xr3:uid="{0724E377-9710-4265-BF3A-674F0C73506D}" name="F" dataDxfId="80"/>
    <tableColumn id="13" xr3:uid="{46A877C6-28AC-49C1-93DA-C3DB05F52F0E}" name="K" dataDxfId="79"/>
    <tableColumn id="5" xr3:uid="{FE077A87-C4D9-440A-9207-BD070E296137}" name="N" dataDxfId="78"/>
    <tableColumn id="8" xr3:uid="{3D118CC7-E879-4109-9558-104B876A74D2}" name="Na" dataDxfId="77"/>
    <tableColumn id="6" xr3:uid="{FB6574CC-EC66-4549-A477-AE1A23DEBC88}" name="O" dataDxfId="76"/>
    <tableColumn id="10" xr3:uid="{F8ADBAAF-3AEE-4CB6-AE4A-C77931721F7A}" name="P" dataDxfId="75"/>
    <tableColumn id="11" xr3:uid="{6BFF2CC7-BDC3-4B0F-86D3-E972D84CD654}" name="S" dataDxfId="74"/>
    <tableColumn id="9" xr3:uid="{4C73D64C-A27D-4273-858E-430F3EB3627C}" name="Si" dataDxfId="7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E659-5D89-4D66-8A7E-3196522A2EA6}">
  <dimension ref="A1:BV66"/>
  <sheetViews>
    <sheetView zoomScale="85" zoomScaleNormal="85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defaultColWidth="8.90625" defaultRowHeight="17.399999999999999" x14ac:dyDescent="0.3"/>
  <cols>
    <col min="1" max="1" width="9.453125" style="6" bestFit="1" customWidth="1"/>
    <col min="2" max="2" width="18.453125" style="6" bestFit="1" customWidth="1"/>
    <col min="3" max="3" width="7.81640625" style="6" bestFit="1" customWidth="1"/>
    <col min="4" max="4" width="9.54296875" style="6" bestFit="1" customWidth="1"/>
    <col min="5" max="5" width="11.08984375" style="6" bestFit="1" customWidth="1"/>
    <col min="6" max="6" width="102.6328125" style="6" bestFit="1" customWidth="1"/>
    <col min="7" max="7" width="11.08984375" style="6" bestFit="1" customWidth="1"/>
    <col min="8" max="8" width="8.36328125" style="6" bestFit="1" customWidth="1"/>
    <col min="9" max="12" width="11.08984375" style="6" bestFit="1" customWidth="1"/>
    <col min="13" max="13" width="7" style="6" bestFit="1" customWidth="1"/>
    <col min="14" max="14" width="8.6328125" style="6" bestFit="1" customWidth="1"/>
    <col min="15" max="15" width="7.453125" style="6" bestFit="1" customWidth="1"/>
    <col min="16" max="16" width="7.81640625" style="6" bestFit="1" customWidth="1"/>
    <col min="17" max="19" width="11.08984375" style="6" bestFit="1" customWidth="1"/>
    <col min="20" max="22" width="5" style="6" bestFit="1" customWidth="1"/>
    <col min="23" max="23" width="4.81640625" style="6" bestFit="1" customWidth="1"/>
    <col min="24" max="24" width="4.7265625" style="6" bestFit="1" customWidth="1"/>
    <col min="25" max="25" width="5" style="6" bestFit="1" customWidth="1"/>
    <col min="26" max="26" width="5.1796875" style="6" bestFit="1" customWidth="1"/>
    <col min="27" max="27" width="4.6328125" style="6" bestFit="1" customWidth="1"/>
    <col min="28" max="28" width="5" style="6" bestFit="1" customWidth="1"/>
    <col min="29" max="29" width="4.7265625" style="6" bestFit="1" customWidth="1"/>
    <col min="30" max="30" width="5.26953125" style="6" bestFit="1" customWidth="1"/>
    <col min="31" max="31" width="5.1796875" style="6" bestFit="1" customWidth="1"/>
    <col min="32" max="32" width="4.81640625" style="6" bestFit="1" customWidth="1"/>
    <col min="33" max="33" width="5.1796875" style="6" bestFit="1" customWidth="1"/>
    <col min="34" max="35" width="5" style="6" bestFit="1" customWidth="1"/>
    <col min="36" max="36" width="4.81640625" style="6" bestFit="1" customWidth="1"/>
    <col min="37" max="37" width="5" style="6" bestFit="1" customWidth="1"/>
    <col min="38" max="38" width="5.54296875" style="6" bestFit="1" customWidth="1"/>
    <col min="39" max="39" width="4.81640625" style="6" bestFit="1" customWidth="1"/>
    <col min="40" max="40" width="6.453125" style="6" bestFit="1" customWidth="1"/>
    <col min="41" max="41" width="6.36328125" style="6" bestFit="1" customWidth="1"/>
    <col min="42" max="42" width="6.453125" style="6" bestFit="1" customWidth="1"/>
    <col min="43" max="43" width="6.36328125" style="6" bestFit="1" customWidth="1"/>
    <col min="44" max="44" width="6.08984375" style="6" bestFit="1" customWidth="1"/>
    <col min="45" max="45" width="6.453125" style="6" bestFit="1" customWidth="1"/>
    <col min="46" max="46" width="6" style="6" bestFit="1" customWidth="1"/>
    <col min="47" max="47" width="6.453125" style="6" bestFit="1" customWidth="1"/>
    <col min="48" max="48" width="6" style="6" bestFit="1" customWidth="1"/>
    <col min="49" max="49" width="7" style="6" bestFit="1" customWidth="1"/>
    <col min="50" max="52" width="6.453125" style="6" bestFit="1" customWidth="1"/>
    <col min="53" max="53" width="6.1796875" style="6" bestFit="1" customWidth="1"/>
    <col min="54" max="54" width="6.36328125" style="6" bestFit="1" customWidth="1"/>
    <col min="55" max="55" width="6.08984375" style="6" bestFit="1" customWidth="1"/>
    <col min="56" max="56" width="6.36328125" style="6" bestFit="1" customWidth="1"/>
    <col min="57" max="57" width="6.90625" style="6" bestFit="1" customWidth="1"/>
    <col min="58" max="58" width="6.36328125" style="6" bestFit="1" customWidth="1"/>
    <col min="59" max="59" width="6.81640625" style="6" bestFit="1" customWidth="1"/>
    <col min="60" max="64" width="11.08984375" style="6" bestFit="1" customWidth="1"/>
    <col min="65" max="65" width="10.54296875" style="6" bestFit="1" customWidth="1"/>
    <col min="66" max="66" width="10.7265625" style="6" bestFit="1" customWidth="1"/>
    <col min="67" max="70" width="11.08984375" style="6" bestFit="1" customWidth="1"/>
    <col min="71" max="71" width="7.08984375" style="6" bestFit="1" customWidth="1"/>
    <col min="72" max="73" width="11.08984375" style="6" bestFit="1" customWidth="1"/>
    <col min="74" max="74" width="10.1796875" style="6" bestFit="1" customWidth="1"/>
    <col min="75" max="75" width="13.08984375" style="6" bestFit="1" customWidth="1"/>
    <col min="76" max="16384" width="8.90625" style="6"/>
  </cols>
  <sheetData>
    <row r="1" spans="1:74" x14ac:dyDescent="0.3">
      <c r="A1" s="6" t="s">
        <v>320</v>
      </c>
      <c r="B1" s="6" t="s">
        <v>321</v>
      </c>
      <c r="C1" s="6" t="s">
        <v>322</v>
      </c>
      <c r="D1" s="6" t="s">
        <v>323</v>
      </c>
      <c r="E1" s="6" t="s">
        <v>324</v>
      </c>
      <c r="F1" s="6" t="s">
        <v>325</v>
      </c>
      <c r="G1" s="6" t="s">
        <v>326</v>
      </c>
      <c r="H1" s="6" t="s">
        <v>327</v>
      </c>
      <c r="I1" s="6" t="s">
        <v>328</v>
      </c>
      <c r="J1" s="6" t="s">
        <v>329</v>
      </c>
      <c r="K1" s="6" t="s">
        <v>330</v>
      </c>
      <c r="L1" s="6" t="s">
        <v>331</v>
      </c>
      <c r="M1" s="6" t="s">
        <v>332</v>
      </c>
      <c r="N1" s="6" t="s">
        <v>333</v>
      </c>
      <c r="O1" s="6" t="s">
        <v>334</v>
      </c>
      <c r="P1" s="6" t="s">
        <v>335</v>
      </c>
      <c r="Q1" s="6" t="s">
        <v>336</v>
      </c>
      <c r="R1" s="6" t="s">
        <v>337</v>
      </c>
      <c r="S1" s="6" t="s">
        <v>338</v>
      </c>
      <c r="T1" s="6" t="s">
        <v>339</v>
      </c>
      <c r="U1" s="6" t="s">
        <v>0</v>
      </c>
      <c r="V1" s="6" t="s">
        <v>340</v>
      </c>
      <c r="W1" s="6" t="s">
        <v>341</v>
      </c>
      <c r="X1" s="6" t="s">
        <v>5</v>
      </c>
      <c r="Y1" s="6" t="s">
        <v>342</v>
      </c>
      <c r="Z1" s="6" t="s">
        <v>1</v>
      </c>
      <c r="AA1" s="6" t="s">
        <v>343</v>
      </c>
      <c r="AB1" s="6" t="s">
        <v>11</v>
      </c>
      <c r="AC1" s="6" t="s">
        <v>344</v>
      </c>
      <c r="AD1" s="6" t="s">
        <v>345</v>
      </c>
      <c r="AE1" s="6" t="s">
        <v>3</v>
      </c>
      <c r="AF1" s="6" t="s">
        <v>8</v>
      </c>
      <c r="AG1" s="6" t="s">
        <v>346</v>
      </c>
      <c r="AH1" s="6" t="s">
        <v>347</v>
      </c>
      <c r="AI1" s="6" t="s">
        <v>9</v>
      </c>
      <c r="AJ1" s="6" t="s">
        <v>348</v>
      </c>
      <c r="AK1" s="6" t="s">
        <v>349</v>
      </c>
      <c r="AL1" s="6" t="s">
        <v>350</v>
      </c>
      <c r="AM1" s="6" t="s">
        <v>351</v>
      </c>
      <c r="AN1" s="6" t="s">
        <v>352</v>
      </c>
      <c r="AO1" s="6" t="s">
        <v>353</v>
      </c>
      <c r="AP1" s="6" t="s">
        <v>354</v>
      </c>
      <c r="AQ1" s="6" t="s">
        <v>355</v>
      </c>
      <c r="AR1" s="6" t="s">
        <v>356</v>
      </c>
      <c r="AS1" s="6" t="s">
        <v>357</v>
      </c>
      <c r="AT1" s="6" t="s">
        <v>358</v>
      </c>
      <c r="AU1" s="6" t="s">
        <v>359</v>
      </c>
      <c r="AV1" s="6" t="s">
        <v>360</v>
      </c>
      <c r="AW1" s="6" t="s">
        <v>361</v>
      </c>
      <c r="AX1" s="6" t="s">
        <v>362</v>
      </c>
      <c r="AY1" s="6" t="s">
        <v>363</v>
      </c>
      <c r="AZ1" s="6" t="s">
        <v>364</v>
      </c>
      <c r="BA1" s="6" t="s">
        <v>365</v>
      </c>
      <c r="BB1" s="6" t="s">
        <v>366</v>
      </c>
      <c r="BC1" s="6" t="s">
        <v>367</v>
      </c>
      <c r="BD1" s="6" t="s">
        <v>368</v>
      </c>
      <c r="BE1" s="6" t="s">
        <v>369</v>
      </c>
      <c r="BF1" s="6" t="s">
        <v>370</v>
      </c>
      <c r="BG1" s="6" t="s">
        <v>371</v>
      </c>
      <c r="BH1" s="6" t="s">
        <v>372</v>
      </c>
      <c r="BI1" s="6" t="s">
        <v>373</v>
      </c>
      <c r="BJ1" t="s">
        <v>570</v>
      </c>
      <c r="BK1" s="6" t="s">
        <v>374</v>
      </c>
      <c r="BL1" s="6" t="s">
        <v>375</v>
      </c>
      <c r="BM1" s="6" t="s">
        <v>376</v>
      </c>
      <c r="BN1" s="6" t="s">
        <v>377</v>
      </c>
      <c r="BO1" s="6" t="s">
        <v>378</v>
      </c>
      <c r="BP1" s="6" t="s">
        <v>379</v>
      </c>
      <c r="BQ1" s="6" t="s">
        <v>380</v>
      </c>
      <c r="BR1" s="6" t="s">
        <v>381</v>
      </c>
      <c r="BS1" s="6" t="s">
        <v>382</v>
      </c>
      <c r="BT1" s="6" t="s">
        <v>383</v>
      </c>
      <c r="BU1" s="6" t="s">
        <v>384</v>
      </c>
      <c r="BV1" s="6" t="s">
        <v>385</v>
      </c>
    </row>
    <row r="2" spans="1:74" x14ac:dyDescent="0.3">
      <c r="A2" s="6" t="s">
        <v>106</v>
      </c>
      <c r="B2" s="6" t="s">
        <v>74</v>
      </c>
      <c r="C2" s="6" t="s">
        <v>386</v>
      </c>
      <c r="D2" s="6" t="s">
        <v>571</v>
      </c>
      <c r="E2" s="6" t="s">
        <v>1</v>
      </c>
      <c r="F2" s="6" t="s">
        <v>387</v>
      </c>
      <c r="G2" s="6" t="s">
        <v>68</v>
      </c>
      <c r="H2" s="6" t="s">
        <v>572</v>
      </c>
      <c r="I2" s="6" t="s">
        <v>388</v>
      </c>
      <c r="J2" s="6" t="s">
        <v>573</v>
      </c>
      <c r="K2" s="6" t="s">
        <v>574</v>
      </c>
      <c r="L2" s="6" t="s">
        <v>575</v>
      </c>
      <c r="M2" s="6" t="s">
        <v>576</v>
      </c>
      <c r="N2" s="6" t="s">
        <v>577</v>
      </c>
      <c r="O2" s="6" t="s">
        <v>578</v>
      </c>
      <c r="P2" s="6" t="s">
        <v>579</v>
      </c>
      <c r="Q2" s="6" t="s">
        <v>579</v>
      </c>
      <c r="R2" s="6" t="s">
        <v>580</v>
      </c>
      <c r="S2" s="6" t="s">
        <v>581</v>
      </c>
      <c r="T2" s="6" t="s">
        <v>582</v>
      </c>
      <c r="U2" s="6" t="s">
        <v>579</v>
      </c>
      <c r="V2" s="6" t="s">
        <v>578</v>
      </c>
      <c r="W2" s="6" t="s">
        <v>578</v>
      </c>
      <c r="X2" s="6" t="s">
        <v>578</v>
      </c>
      <c r="Y2" s="6" t="s">
        <v>576</v>
      </c>
      <c r="Z2" s="6" t="s">
        <v>582</v>
      </c>
      <c r="AA2" s="6" t="s">
        <v>578</v>
      </c>
      <c r="AB2" s="6" t="s">
        <v>578</v>
      </c>
      <c r="AC2" s="6" t="s">
        <v>582</v>
      </c>
      <c r="AD2" s="6" t="s">
        <v>578</v>
      </c>
      <c r="AE2" s="6" t="s">
        <v>578</v>
      </c>
      <c r="AF2" s="6" t="s">
        <v>582</v>
      </c>
      <c r="AG2" s="6" t="s">
        <v>582</v>
      </c>
      <c r="AH2" s="6" t="s">
        <v>578</v>
      </c>
      <c r="AI2" s="6" t="s">
        <v>583</v>
      </c>
      <c r="AJ2" s="6" t="s">
        <v>578</v>
      </c>
      <c r="AK2" s="6" t="s">
        <v>578</v>
      </c>
      <c r="AL2" s="6" t="s">
        <v>578</v>
      </c>
      <c r="AM2" s="6" t="s">
        <v>578</v>
      </c>
      <c r="AN2" s="6" t="s">
        <v>578</v>
      </c>
      <c r="AO2" s="6" t="s">
        <v>578</v>
      </c>
      <c r="AP2" s="6" t="s">
        <v>578</v>
      </c>
      <c r="AQ2" s="6" t="s">
        <v>578</v>
      </c>
      <c r="AR2" s="6" t="s">
        <v>578</v>
      </c>
      <c r="AS2" s="6" t="s">
        <v>578</v>
      </c>
      <c r="AT2" s="6" t="s">
        <v>578</v>
      </c>
      <c r="AU2" s="6" t="s">
        <v>578</v>
      </c>
      <c r="AV2" s="6" t="s">
        <v>578</v>
      </c>
      <c r="AW2" s="6" t="s">
        <v>578</v>
      </c>
      <c r="AX2" s="6" t="s">
        <v>578</v>
      </c>
      <c r="AY2" s="6" t="s">
        <v>578</v>
      </c>
      <c r="AZ2" s="6" t="s">
        <v>578</v>
      </c>
      <c r="BA2" s="6" t="s">
        <v>578</v>
      </c>
      <c r="BB2" s="6" t="s">
        <v>578</v>
      </c>
      <c r="BC2" s="6" t="s">
        <v>578</v>
      </c>
      <c r="BD2" s="6" t="s">
        <v>578</v>
      </c>
      <c r="BE2" s="6" t="s">
        <v>578</v>
      </c>
      <c r="BF2" s="6" t="s">
        <v>578</v>
      </c>
      <c r="BG2" s="6" t="s">
        <v>578</v>
      </c>
      <c r="BH2" s="6" t="s">
        <v>578</v>
      </c>
      <c r="BI2" s="6" t="s">
        <v>578</v>
      </c>
      <c r="BJ2" t="s">
        <v>578</v>
      </c>
      <c r="BK2" s="6" t="s">
        <v>582</v>
      </c>
      <c r="BL2" s="6" t="s">
        <v>578</v>
      </c>
      <c r="BM2" s="6" t="s">
        <v>578</v>
      </c>
      <c r="BN2" s="6" t="s">
        <v>578</v>
      </c>
      <c r="BO2" s="6" t="s">
        <v>578</v>
      </c>
      <c r="BP2" s="6" t="s">
        <v>578</v>
      </c>
      <c r="BQ2" s="6" t="s">
        <v>578</v>
      </c>
      <c r="BR2" s="6" t="s">
        <v>578</v>
      </c>
      <c r="BS2" s="6" t="s">
        <v>578</v>
      </c>
      <c r="BT2" s="6" t="s">
        <v>578</v>
      </c>
      <c r="BU2" s="6" t="s">
        <v>578</v>
      </c>
      <c r="BV2" s="6" t="s">
        <v>578</v>
      </c>
    </row>
    <row r="3" spans="1:74" x14ac:dyDescent="0.3">
      <c r="A3" s="6" t="s">
        <v>107</v>
      </c>
      <c r="B3" s="6" t="s">
        <v>75</v>
      </c>
      <c r="C3" s="6" t="s">
        <v>386</v>
      </c>
      <c r="D3" s="6" t="s">
        <v>584</v>
      </c>
      <c r="E3" s="6" t="s">
        <v>1</v>
      </c>
      <c r="F3" s="6" t="s">
        <v>389</v>
      </c>
      <c r="G3" s="6" t="s">
        <v>68</v>
      </c>
      <c r="H3" s="6" t="s">
        <v>585</v>
      </c>
      <c r="I3" s="6" t="s">
        <v>390</v>
      </c>
      <c r="J3" s="6" t="s">
        <v>586</v>
      </c>
      <c r="K3" s="6" t="s">
        <v>587</v>
      </c>
      <c r="L3" s="6" t="s">
        <v>588</v>
      </c>
      <c r="M3" s="6" t="s">
        <v>589</v>
      </c>
      <c r="N3" s="6" t="s">
        <v>579</v>
      </c>
      <c r="O3" s="6" t="s">
        <v>579</v>
      </c>
      <c r="P3" s="6" t="s">
        <v>590</v>
      </c>
      <c r="Q3" s="6" t="s">
        <v>576</v>
      </c>
      <c r="R3" s="6" t="s">
        <v>591</v>
      </c>
      <c r="S3" s="6" t="s">
        <v>592</v>
      </c>
      <c r="T3" s="6" t="s">
        <v>578</v>
      </c>
      <c r="U3" s="6" t="s">
        <v>578</v>
      </c>
      <c r="V3" s="6" t="s">
        <v>578</v>
      </c>
      <c r="W3" s="6" t="s">
        <v>579</v>
      </c>
      <c r="X3" s="6" t="s">
        <v>576</v>
      </c>
      <c r="Y3" s="6" t="s">
        <v>590</v>
      </c>
      <c r="Z3" s="6" t="s">
        <v>578</v>
      </c>
      <c r="AA3" s="6" t="s">
        <v>578</v>
      </c>
      <c r="AB3" s="6" t="s">
        <v>579</v>
      </c>
      <c r="AC3" s="6" t="s">
        <v>578</v>
      </c>
      <c r="AD3" s="6" t="s">
        <v>578</v>
      </c>
      <c r="AE3" s="6" t="s">
        <v>579</v>
      </c>
      <c r="AF3" s="6" t="s">
        <v>578</v>
      </c>
      <c r="AG3" s="6" t="s">
        <v>578</v>
      </c>
      <c r="AH3" s="6" t="s">
        <v>579</v>
      </c>
      <c r="AI3" s="6" t="s">
        <v>582</v>
      </c>
      <c r="AJ3" s="6" t="s">
        <v>579</v>
      </c>
      <c r="AK3" s="6" t="s">
        <v>578</v>
      </c>
      <c r="AL3" s="6" t="s">
        <v>578</v>
      </c>
      <c r="AM3" s="6" t="s">
        <v>579</v>
      </c>
      <c r="AN3" s="6" t="s">
        <v>578</v>
      </c>
      <c r="AO3" s="6" t="s">
        <v>578</v>
      </c>
      <c r="AP3" s="6" t="s">
        <v>578</v>
      </c>
      <c r="AQ3" s="6" t="s">
        <v>578</v>
      </c>
      <c r="AR3" s="6" t="s">
        <v>578</v>
      </c>
      <c r="AS3" s="6" t="s">
        <v>578</v>
      </c>
      <c r="AT3" s="6" t="s">
        <v>578</v>
      </c>
      <c r="AU3" s="6" t="s">
        <v>578</v>
      </c>
      <c r="AV3" s="6" t="s">
        <v>578</v>
      </c>
      <c r="AW3" s="6" t="s">
        <v>578</v>
      </c>
      <c r="AX3" s="6" t="s">
        <v>578</v>
      </c>
      <c r="AY3" s="6" t="s">
        <v>578</v>
      </c>
      <c r="AZ3" s="6" t="s">
        <v>578</v>
      </c>
      <c r="BA3" s="6" t="s">
        <v>578</v>
      </c>
      <c r="BB3" s="6" t="s">
        <v>578</v>
      </c>
      <c r="BC3" s="6" t="s">
        <v>578</v>
      </c>
      <c r="BD3" s="6" t="s">
        <v>578</v>
      </c>
      <c r="BE3" s="6" t="s">
        <v>578</v>
      </c>
      <c r="BF3" s="6" t="s">
        <v>578</v>
      </c>
      <c r="BG3" s="6" t="s">
        <v>578</v>
      </c>
      <c r="BH3" s="6" t="s">
        <v>578</v>
      </c>
      <c r="BI3" s="6" t="s">
        <v>578</v>
      </c>
      <c r="BJ3" t="s">
        <v>578</v>
      </c>
      <c r="BK3" s="6" t="s">
        <v>582</v>
      </c>
      <c r="BL3" s="6" t="s">
        <v>578</v>
      </c>
      <c r="BM3" s="6" t="s">
        <v>578</v>
      </c>
      <c r="BN3" s="6" t="s">
        <v>578</v>
      </c>
      <c r="BO3" s="6" t="s">
        <v>578</v>
      </c>
      <c r="BP3" s="6" t="s">
        <v>578</v>
      </c>
      <c r="BQ3" s="6" t="s">
        <v>578</v>
      </c>
      <c r="BR3" s="6" t="s">
        <v>578</v>
      </c>
      <c r="BS3" s="6" t="s">
        <v>578</v>
      </c>
      <c r="BT3" s="6" t="s">
        <v>578</v>
      </c>
      <c r="BU3" s="6" t="s">
        <v>578</v>
      </c>
      <c r="BV3" s="6" t="s">
        <v>578</v>
      </c>
    </row>
    <row r="4" spans="1:74" x14ac:dyDescent="0.3">
      <c r="A4" s="6" t="s">
        <v>108</v>
      </c>
      <c r="B4" s="6" t="s">
        <v>76</v>
      </c>
      <c r="C4" s="6" t="s">
        <v>386</v>
      </c>
      <c r="D4" s="6" t="s">
        <v>593</v>
      </c>
      <c r="E4" s="6" t="s">
        <v>1</v>
      </c>
      <c r="F4" s="6" t="s">
        <v>391</v>
      </c>
      <c r="G4" s="6" t="s">
        <v>68</v>
      </c>
      <c r="H4" s="6" t="s">
        <v>585</v>
      </c>
      <c r="I4" s="6" t="s">
        <v>392</v>
      </c>
      <c r="J4" s="6" t="s">
        <v>594</v>
      </c>
      <c r="K4" s="6" t="s">
        <v>595</v>
      </c>
      <c r="L4" s="6" t="s">
        <v>596</v>
      </c>
      <c r="M4" s="6" t="s">
        <v>583</v>
      </c>
      <c r="N4" s="6" t="s">
        <v>597</v>
      </c>
      <c r="O4" s="6" t="s">
        <v>576</v>
      </c>
      <c r="P4" s="6" t="s">
        <v>576</v>
      </c>
      <c r="Q4" s="6" t="s">
        <v>583</v>
      </c>
      <c r="R4" s="6" t="s">
        <v>598</v>
      </c>
      <c r="S4" s="6" t="s">
        <v>599</v>
      </c>
      <c r="T4" s="6" t="s">
        <v>582</v>
      </c>
      <c r="U4" s="6" t="s">
        <v>578</v>
      </c>
      <c r="V4" s="6" t="s">
        <v>579</v>
      </c>
      <c r="W4" s="6" t="s">
        <v>582</v>
      </c>
      <c r="X4" s="6" t="s">
        <v>582</v>
      </c>
      <c r="Y4" s="6" t="s">
        <v>578</v>
      </c>
      <c r="Z4" s="6" t="s">
        <v>582</v>
      </c>
      <c r="AA4" s="6" t="s">
        <v>578</v>
      </c>
      <c r="AB4" s="6" t="s">
        <v>578</v>
      </c>
      <c r="AC4" s="6" t="s">
        <v>579</v>
      </c>
      <c r="AD4" s="6" t="s">
        <v>578</v>
      </c>
      <c r="AE4" s="6" t="s">
        <v>578</v>
      </c>
      <c r="AF4" s="6" t="s">
        <v>578</v>
      </c>
      <c r="AG4" s="6" t="s">
        <v>578</v>
      </c>
      <c r="AH4" s="6" t="s">
        <v>582</v>
      </c>
      <c r="AI4" s="6" t="s">
        <v>579</v>
      </c>
      <c r="AJ4" s="6" t="s">
        <v>582</v>
      </c>
      <c r="AK4" s="6" t="s">
        <v>578</v>
      </c>
      <c r="AL4" s="6" t="s">
        <v>578</v>
      </c>
      <c r="AM4" s="6" t="s">
        <v>582</v>
      </c>
      <c r="AN4" s="6" t="s">
        <v>578</v>
      </c>
      <c r="AO4" s="6" t="s">
        <v>578</v>
      </c>
      <c r="AP4" s="6" t="s">
        <v>578</v>
      </c>
      <c r="AQ4" s="6" t="s">
        <v>578</v>
      </c>
      <c r="AR4" s="6" t="s">
        <v>578</v>
      </c>
      <c r="AS4" s="6" t="s">
        <v>578</v>
      </c>
      <c r="AT4" s="6" t="s">
        <v>578</v>
      </c>
      <c r="AU4" s="6" t="s">
        <v>578</v>
      </c>
      <c r="AV4" s="6" t="s">
        <v>578</v>
      </c>
      <c r="AW4" s="6" t="s">
        <v>578</v>
      </c>
      <c r="AX4" s="6" t="s">
        <v>578</v>
      </c>
      <c r="AY4" s="6" t="s">
        <v>578</v>
      </c>
      <c r="AZ4" s="6" t="s">
        <v>578</v>
      </c>
      <c r="BA4" s="6" t="s">
        <v>578</v>
      </c>
      <c r="BB4" s="6" t="s">
        <v>578</v>
      </c>
      <c r="BC4" s="6" t="s">
        <v>578</v>
      </c>
      <c r="BD4" s="6" t="s">
        <v>578</v>
      </c>
      <c r="BE4" s="6" t="s">
        <v>578</v>
      </c>
      <c r="BF4" s="6" t="s">
        <v>578</v>
      </c>
      <c r="BG4" s="6" t="s">
        <v>578</v>
      </c>
      <c r="BH4" s="6" t="s">
        <v>578</v>
      </c>
      <c r="BI4" s="6" t="s">
        <v>578</v>
      </c>
      <c r="BJ4" t="s">
        <v>578</v>
      </c>
      <c r="BK4" s="6" t="s">
        <v>582</v>
      </c>
      <c r="BL4" s="6" t="s">
        <v>578</v>
      </c>
      <c r="BM4" s="6" t="s">
        <v>578</v>
      </c>
      <c r="BN4" s="6" t="s">
        <v>578</v>
      </c>
      <c r="BO4" s="6" t="s">
        <v>578</v>
      </c>
      <c r="BP4" s="6" t="s">
        <v>578</v>
      </c>
      <c r="BQ4" s="6" t="s">
        <v>578</v>
      </c>
      <c r="BR4" s="6" t="s">
        <v>578</v>
      </c>
      <c r="BS4" s="6" t="s">
        <v>578</v>
      </c>
      <c r="BT4" s="6" t="s">
        <v>578</v>
      </c>
      <c r="BU4" s="6" t="s">
        <v>578</v>
      </c>
      <c r="BV4" s="6" t="s">
        <v>578</v>
      </c>
    </row>
    <row r="5" spans="1:74" x14ac:dyDescent="0.3">
      <c r="A5" s="6" t="s">
        <v>109</v>
      </c>
      <c r="B5" s="6" t="s">
        <v>77</v>
      </c>
      <c r="C5" s="6" t="s">
        <v>386</v>
      </c>
      <c r="D5" s="6" t="s">
        <v>600</v>
      </c>
      <c r="E5" s="6" t="s">
        <v>1</v>
      </c>
      <c r="F5" s="6" t="s">
        <v>393</v>
      </c>
      <c r="G5" s="6" t="s">
        <v>65</v>
      </c>
      <c r="H5" s="6" t="s">
        <v>585</v>
      </c>
      <c r="I5" s="6" t="s">
        <v>394</v>
      </c>
      <c r="J5" s="6" t="s">
        <v>601</v>
      </c>
      <c r="K5" s="6" t="s">
        <v>602</v>
      </c>
      <c r="L5" s="6" t="s">
        <v>603</v>
      </c>
      <c r="M5" s="6" t="s">
        <v>583</v>
      </c>
      <c r="N5" s="6" t="s">
        <v>597</v>
      </c>
      <c r="O5" s="6" t="s">
        <v>590</v>
      </c>
      <c r="P5" s="6" t="s">
        <v>576</v>
      </c>
      <c r="Q5" s="6" t="s">
        <v>604</v>
      </c>
      <c r="R5" s="6" t="s">
        <v>605</v>
      </c>
      <c r="S5" s="6" t="s">
        <v>606</v>
      </c>
      <c r="T5" s="6" t="s">
        <v>583</v>
      </c>
      <c r="U5" s="6" t="s">
        <v>582</v>
      </c>
      <c r="V5" s="6" t="s">
        <v>582</v>
      </c>
      <c r="W5" s="6" t="s">
        <v>583</v>
      </c>
      <c r="X5" s="6" t="s">
        <v>579</v>
      </c>
      <c r="Y5" s="6" t="s">
        <v>583</v>
      </c>
      <c r="Z5" s="6" t="s">
        <v>582</v>
      </c>
      <c r="AA5" s="6" t="s">
        <v>582</v>
      </c>
      <c r="AB5" s="6" t="s">
        <v>579</v>
      </c>
      <c r="AC5" s="6" t="s">
        <v>579</v>
      </c>
      <c r="AD5" s="6" t="s">
        <v>578</v>
      </c>
      <c r="AE5" s="6" t="s">
        <v>578</v>
      </c>
      <c r="AF5" s="6" t="s">
        <v>583</v>
      </c>
      <c r="AG5" s="6" t="s">
        <v>582</v>
      </c>
      <c r="AH5" s="6" t="s">
        <v>578</v>
      </c>
      <c r="AI5" s="6" t="s">
        <v>589</v>
      </c>
      <c r="AJ5" s="6" t="s">
        <v>579</v>
      </c>
      <c r="AK5" s="6" t="s">
        <v>579</v>
      </c>
      <c r="AL5" s="6" t="s">
        <v>582</v>
      </c>
      <c r="AM5" s="6" t="s">
        <v>582</v>
      </c>
      <c r="AN5" s="6" t="s">
        <v>578</v>
      </c>
      <c r="AO5" s="6" t="s">
        <v>578</v>
      </c>
      <c r="AP5" s="6" t="s">
        <v>578</v>
      </c>
      <c r="AQ5" s="6" t="s">
        <v>578</v>
      </c>
      <c r="AR5" s="6" t="s">
        <v>578</v>
      </c>
      <c r="AS5" s="6" t="s">
        <v>578</v>
      </c>
      <c r="AT5" s="6" t="s">
        <v>578</v>
      </c>
      <c r="AU5" s="6" t="s">
        <v>578</v>
      </c>
      <c r="AV5" s="6" t="s">
        <v>578</v>
      </c>
      <c r="AW5" s="6" t="s">
        <v>578</v>
      </c>
      <c r="AX5" s="6" t="s">
        <v>578</v>
      </c>
      <c r="AY5" s="6" t="s">
        <v>578</v>
      </c>
      <c r="AZ5" s="6" t="s">
        <v>578</v>
      </c>
      <c r="BA5" s="6" t="s">
        <v>578</v>
      </c>
      <c r="BB5" s="6" t="s">
        <v>578</v>
      </c>
      <c r="BC5" s="6" t="s">
        <v>578</v>
      </c>
      <c r="BD5" s="6" t="s">
        <v>578</v>
      </c>
      <c r="BE5" s="6" t="s">
        <v>578</v>
      </c>
      <c r="BF5" s="6" t="s">
        <v>578</v>
      </c>
      <c r="BG5" s="6" t="s">
        <v>582</v>
      </c>
      <c r="BH5" s="6" t="s">
        <v>578</v>
      </c>
      <c r="BI5" s="6" t="s">
        <v>578</v>
      </c>
      <c r="BJ5" t="s">
        <v>578</v>
      </c>
      <c r="BK5" s="6" t="s">
        <v>578</v>
      </c>
      <c r="BL5" s="6" t="s">
        <v>578</v>
      </c>
      <c r="BM5" s="6" t="s">
        <v>578</v>
      </c>
      <c r="BN5" s="6" t="s">
        <v>578</v>
      </c>
      <c r="BO5" s="6" t="s">
        <v>578</v>
      </c>
      <c r="BP5" s="6" t="s">
        <v>578</v>
      </c>
      <c r="BQ5" s="6" t="s">
        <v>578</v>
      </c>
      <c r="BR5" s="6" t="s">
        <v>578</v>
      </c>
      <c r="BS5" s="6" t="s">
        <v>578</v>
      </c>
      <c r="BT5" s="6" t="s">
        <v>578</v>
      </c>
      <c r="BU5" s="6" t="s">
        <v>578</v>
      </c>
      <c r="BV5" s="6" t="s">
        <v>578</v>
      </c>
    </row>
    <row r="6" spans="1:74" x14ac:dyDescent="0.3">
      <c r="A6" s="6" t="s">
        <v>110</v>
      </c>
      <c r="B6" s="6" t="s">
        <v>78</v>
      </c>
      <c r="C6" s="6" t="s">
        <v>386</v>
      </c>
      <c r="D6" s="6" t="s">
        <v>584</v>
      </c>
      <c r="E6" s="6" t="s">
        <v>1</v>
      </c>
      <c r="F6" s="6" t="s">
        <v>395</v>
      </c>
      <c r="G6" s="6" t="s">
        <v>68</v>
      </c>
      <c r="H6" s="6" t="s">
        <v>585</v>
      </c>
      <c r="I6" s="6" t="s">
        <v>396</v>
      </c>
      <c r="J6" s="6" t="s">
        <v>607</v>
      </c>
      <c r="K6" s="6" t="s">
        <v>608</v>
      </c>
      <c r="L6" s="6" t="s">
        <v>588</v>
      </c>
      <c r="M6" s="6" t="s">
        <v>590</v>
      </c>
      <c r="N6" s="6" t="s">
        <v>579</v>
      </c>
      <c r="O6" s="6" t="s">
        <v>582</v>
      </c>
      <c r="P6" s="6" t="s">
        <v>583</v>
      </c>
      <c r="Q6" s="6" t="s">
        <v>583</v>
      </c>
      <c r="R6" s="6" t="s">
        <v>609</v>
      </c>
      <c r="S6" s="6" t="s">
        <v>610</v>
      </c>
      <c r="T6" s="6" t="s">
        <v>582</v>
      </c>
      <c r="U6" s="6" t="s">
        <v>578</v>
      </c>
      <c r="V6" s="6" t="s">
        <v>578</v>
      </c>
      <c r="W6" s="6" t="s">
        <v>582</v>
      </c>
      <c r="X6" s="6" t="s">
        <v>578</v>
      </c>
      <c r="Y6" s="6" t="s">
        <v>579</v>
      </c>
      <c r="Z6" s="6" t="s">
        <v>578</v>
      </c>
      <c r="AA6" s="6" t="s">
        <v>582</v>
      </c>
      <c r="AB6" s="6" t="s">
        <v>582</v>
      </c>
      <c r="AC6" s="6" t="s">
        <v>579</v>
      </c>
      <c r="AD6" s="6" t="s">
        <v>578</v>
      </c>
      <c r="AE6" s="6" t="s">
        <v>582</v>
      </c>
      <c r="AF6" s="6" t="s">
        <v>589</v>
      </c>
      <c r="AG6" s="6" t="s">
        <v>578</v>
      </c>
      <c r="AH6" s="6" t="s">
        <v>579</v>
      </c>
      <c r="AI6" s="6" t="s">
        <v>579</v>
      </c>
      <c r="AJ6" s="6" t="s">
        <v>578</v>
      </c>
      <c r="AK6" s="6" t="s">
        <v>578</v>
      </c>
      <c r="AL6" s="6" t="s">
        <v>578</v>
      </c>
      <c r="AM6" s="6" t="s">
        <v>579</v>
      </c>
      <c r="AN6" s="6" t="s">
        <v>578</v>
      </c>
      <c r="AO6" s="6" t="s">
        <v>578</v>
      </c>
      <c r="AP6" s="6" t="s">
        <v>578</v>
      </c>
      <c r="AQ6" s="6" t="s">
        <v>578</v>
      </c>
      <c r="AR6" s="6" t="s">
        <v>578</v>
      </c>
      <c r="AS6" s="6" t="s">
        <v>578</v>
      </c>
      <c r="AT6" s="6" t="s">
        <v>578</v>
      </c>
      <c r="AU6" s="6" t="s">
        <v>578</v>
      </c>
      <c r="AV6" s="6" t="s">
        <v>578</v>
      </c>
      <c r="AW6" s="6" t="s">
        <v>578</v>
      </c>
      <c r="AX6" s="6" t="s">
        <v>578</v>
      </c>
      <c r="AY6" s="6" t="s">
        <v>578</v>
      </c>
      <c r="AZ6" s="6" t="s">
        <v>578</v>
      </c>
      <c r="BA6" s="6" t="s">
        <v>578</v>
      </c>
      <c r="BB6" s="6" t="s">
        <v>578</v>
      </c>
      <c r="BC6" s="6" t="s">
        <v>578</v>
      </c>
      <c r="BD6" s="6" t="s">
        <v>578</v>
      </c>
      <c r="BE6" s="6" t="s">
        <v>578</v>
      </c>
      <c r="BF6" s="6" t="s">
        <v>578</v>
      </c>
      <c r="BG6" s="6" t="s">
        <v>578</v>
      </c>
      <c r="BH6" s="6" t="s">
        <v>578</v>
      </c>
      <c r="BI6" s="6" t="s">
        <v>578</v>
      </c>
      <c r="BJ6" t="s">
        <v>578</v>
      </c>
      <c r="BK6" s="6" t="s">
        <v>582</v>
      </c>
      <c r="BL6" s="6" t="s">
        <v>578</v>
      </c>
      <c r="BM6" s="6" t="s">
        <v>578</v>
      </c>
      <c r="BN6" s="6" t="s">
        <v>578</v>
      </c>
      <c r="BO6" s="6" t="s">
        <v>578</v>
      </c>
      <c r="BP6" s="6" t="s">
        <v>578</v>
      </c>
      <c r="BQ6" s="6" t="s">
        <v>578</v>
      </c>
      <c r="BR6" s="6" t="s">
        <v>578</v>
      </c>
      <c r="BS6" s="6" t="s">
        <v>578</v>
      </c>
      <c r="BT6" s="6" t="s">
        <v>578</v>
      </c>
      <c r="BU6" s="6" t="s">
        <v>578</v>
      </c>
      <c r="BV6" s="6" t="s">
        <v>578</v>
      </c>
    </row>
    <row r="7" spans="1:74" x14ac:dyDescent="0.3">
      <c r="A7" s="6" t="s">
        <v>111</v>
      </c>
      <c r="B7" s="6" t="s">
        <v>79</v>
      </c>
      <c r="C7" s="6" t="s">
        <v>386</v>
      </c>
      <c r="D7" s="6" t="s">
        <v>611</v>
      </c>
      <c r="E7" s="6" t="s">
        <v>69</v>
      </c>
      <c r="F7" s="6" t="s">
        <v>199</v>
      </c>
      <c r="G7" s="6" t="s">
        <v>65</v>
      </c>
      <c r="H7" s="6" t="s">
        <v>585</v>
      </c>
      <c r="I7" s="6" t="s">
        <v>397</v>
      </c>
      <c r="J7" s="6" t="s">
        <v>612</v>
      </c>
      <c r="K7" s="6" t="s">
        <v>613</v>
      </c>
      <c r="L7" s="6" t="s">
        <v>614</v>
      </c>
      <c r="M7" s="6" t="s">
        <v>582</v>
      </c>
      <c r="N7" s="6" t="s">
        <v>615</v>
      </c>
      <c r="O7" s="6" t="s">
        <v>579</v>
      </c>
      <c r="P7" s="6" t="s">
        <v>582</v>
      </c>
      <c r="Q7" s="6" t="s">
        <v>583</v>
      </c>
      <c r="R7" s="6" t="s">
        <v>616</v>
      </c>
      <c r="S7" s="6" t="s">
        <v>617</v>
      </c>
      <c r="T7" s="6" t="s">
        <v>578</v>
      </c>
      <c r="U7" s="6" t="s">
        <v>578</v>
      </c>
      <c r="V7" s="6" t="s">
        <v>579</v>
      </c>
      <c r="W7" s="6" t="s">
        <v>578</v>
      </c>
      <c r="X7" s="6" t="s">
        <v>582</v>
      </c>
      <c r="Y7" s="6" t="s">
        <v>582</v>
      </c>
      <c r="Z7" s="6" t="s">
        <v>578</v>
      </c>
      <c r="AA7" s="6" t="s">
        <v>578</v>
      </c>
      <c r="AB7" s="6" t="s">
        <v>578</v>
      </c>
      <c r="AC7" s="6" t="s">
        <v>578</v>
      </c>
      <c r="AD7" s="6" t="s">
        <v>579</v>
      </c>
      <c r="AE7" s="6" t="s">
        <v>578</v>
      </c>
      <c r="AF7" s="6" t="s">
        <v>578</v>
      </c>
      <c r="AG7" s="6" t="s">
        <v>578</v>
      </c>
      <c r="AH7" s="6" t="s">
        <v>578</v>
      </c>
      <c r="AI7" s="6" t="s">
        <v>578</v>
      </c>
      <c r="AJ7" s="6" t="s">
        <v>578</v>
      </c>
      <c r="AK7" s="6" t="s">
        <v>578</v>
      </c>
      <c r="AL7" s="6" t="s">
        <v>582</v>
      </c>
      <c r="AM7" s="6" t="s">
        <v>578</v>
      </c>
      <c r="AN7" s="6" t="s">
        <v>578</v>
      </c>
      <c r="AO7" s="6" t="s">
        <v>578</v>
      </c>
      <c r="AP7" s="6" t="s">
        <v>578</v>
      </c>
      <c r="AQ7" s="6" t="s">
        <v>578</v>
      </c>
      <c r="AR7" s="6" t="s">
        <v>578</v>
      </c>
      <c r="AS7" s="6" t="s">
        <v>578</v>
      </c>
      <c r="AT7" s="6" t="s">
        <v>578</v>
      </c>
      <c r="AU7" s="6" t="s">
        <v>578</v>
      </c>
      <c r="AV7" s="6" t="s">
        <v>578</v>
      </c>
      <c r="AW7" s="6" t="s">
        <v>578</v>
      </c>
      <c r="AX7" s="6" t="s">
        <v>578</v>
      </c>
      <c r="AY7" s="6" t="s">
        <v>578</v>
      </c>
      <c r="AZ7" s="6" t="s">
        <v>578</v>
      </c>
      <c r="BA7" s="6" t="s">
        <v>578</v>
      </c>
      <c r="BB7" s="6" t="s">
        <v>578</v>
      </c>
      <c r="BC7" s="6" t="s">
        <v>578</v>
      </c>
      <c r="BD7" s="6" t="s">
        <v>578</v>
      </c>
      <c r="BE7" s="6" t="s">
        <v>578</v>
      </c>
      <c r="BF7" s="6" t="s">
        <v>578</v>
      </c>
      <c r="BG7" s="6" t="s">
        <v>578</v>
      </c>
      <c r="BH7" s="6" t="s">
        <v>582</v>
      </c>
      <c r="BI7" s="6" t="s">
        <v>578</v>
      </c>
      <c r="BJ7" t="s">
        <v>578</v>
      </c>
      <c r="BK7" s="6" t="s">
        <v>578</v>
      </c>
      <c r="BL7" s="6" t="s">
        <v>578</v>
      </c>
      <c r="BM7" s="6" t="s">
        <v>582</v>
      </c>
      <c r="BN7" s="6" t="s">
        <v>578</v>
      </c>
      <c r="BO7" s="6" t="s">
        <v>578</v>
      </c>
      <c r="BP7" s="6" t="s">
        <v>578</v>
      </c>
      <c r="BQ7" s="6" t="s">
        <v>578</v>
      </c>
      <c r="BR7" s="6" t="s">
        <v>578</v>
      </c>
      <c r="BS7" s="6" t="s">
        <v>578</v>
      </c>
      <c r="BT7" s="6" t="s">
        <v>578</v>
      </c>
      <c r="BU7" s="6" t="s">
        <v>578</v>
      </c>
      <c r="BV7" s="6" t="s">
        <v>578</v>
      </c>
    </row>
    <row r="8" spans="1:74" x14ac:dyDescent="0.3">
      <c r="A8" s="6" t="s">
        <v>112</v>
      </c>
      <c r="B8" s="6" t="s">
        <v>80</v>
      </c>
      <c r="C8" s="6" t="s">
        <v>386</v>
      </c>
      <c r="D8" s="6" t="s">
        <v>618</v>
      </c>
      <c r="E8" s="6" t="s">
        <v>1</v>
      </c>
      <c r="F8" s="6" t="s">
        <v>398</v>
      </c>
      <c r="G8" s="6" t="s">
        <v>65</v>
      </c>
      <c r="H8" s="6" t="s">
        <v>585</v>
      </c>
      <c r="I8" s="6" t="s">
        <v>399</v>
      </c>
      <c r="J8" s="6" t="s">
        <v>619</v>
      </c>
      <c r="K8" s="6" t="s">
        <v>620</v>
      </c>
      <c r="L8" s="6" t="s">
        <v>621</v>
      </c>
      <c r="M8" s="6" t="s">
        <v>622</v>
      </c>
      <c r="N8" s="6" t="s">
        <v>590</v>
      </c>
      <c r="O8" s="6" t="s">
        <v>576</v>
      </c>
      <c r="P8" s="6" t="s">
        <v>623</v>
      </c>
      <c r="Q8" s="6" t="s">
        <v>624</v>
      </c>
      <c r="R8" s="6" t="s">
        <v>625</v>
      </c>
      <c r="S8" s="6" t="s">
        <v>626</v>
      </c>
      <c r="T8" s="6" t="s">
        <v>579</v>
      </c>
      <c r="U8" s="6" t="s">
        <v>578</v>
      </c>
      <c r="V8" s="6" t="s">
        <v>582</v>
      </c>
      <c r="W8" s="6" t="s">
        <v>579</v>
      </c>
      <c r="X8" s="6" t="s">
        <v>582</v>
      </c>
      <c r="Y8" s="6" t="s">
        <v>578</v>
      </c>
      <c r="Z8" s="6" t="s">
        <v>579</v>
      </c>
      <c r="AA8" s="6" t="s">
        <v>582</v>
      </c>
      <c r="AB8" s="6" t="s">
        <v>576</v>
      </c>
      <c r="AC8" s="6" t="s">
        <v>583</v>
      </c>
      <c r="AD8" s="6" t="s">
        <v>579</v>
      </c>
      <c r="AE8" s="6" t="s">
        <v>582</v>
      </c>
      <c r="AF8" s="6" t="s">
        <v>578</v>
      </c>
      <c r="AG8" s="6" t="s">
        <v>576</v>
      </c>
      <c r="AH8" s="6" t="s">
        <v>576</v>
      </c>
      <c r="AI8" s="6" t="s">
        <v>582</v>
      </c>
      <c r="AJ8" s="6" t="s">
        <v>578</v>
      </c>
      <c r="AK8" s="6" t="s">
        <v>576</v>
      </c>
      <c r="AL8" s="6" t="s">
        <v>579</v>
      </c>
      <c r="AM8" s="6" t="s">
        <v>578</v>
      </c>
      <c r="AN8" s="6" t="s">
        <v>578</v>
      </c>
      <c r="AO8" s="6" t="s">
        <v>578</v>
      </c>
      <c r="AP8" s="6" t="s">
        <v>578</v>
      </c>
      <c r="AQ8" s="6" t="s">
        <v>578</v>
      </c>
      <c r="AR8" s="6" t="s">
        <v>578</v>
      </c>
      <c r="AS8" s="6" t="s">
        <v>578</v>
      </c>
      <c r="AT8" s="6" t="s">
        <v>578</v>
      </c>
      <c r="AU8" s="6" t="s">
        <v>578</v>
      </c>
      <c r="AV8" s="6" t="s">
        <v>578</v>
      </c>
      <c r="AW8" s="6" t="s">
        <v>578</v>
      </c>
      <c r="AX8" s="6" t="s">
        <v>578</v>
      </c>
      <c r="AY8" s="6" t="s">
        <v>578</v>
      </c>
      <c r="AZ8" s="6" t="s">
        <v>578</v>
      </c>
      <c r="BA8" s="6" t="s">
        <v>578</v>
      </c>
      <c r="BB8" s="6" t="s">
        <v>578</v>
      </c>
      <c r="BC8" s="6" t="s">
        <v>578</v>
      </c>
      <c r="BD8" s="6" t="s">
        <v>578</v>
      </c>
      <c r="BE8" s="6" t="s">
        <v>578</v>
      </c>
      <c r="BF8" s="6" t="s">
        <v>578</v>
      </c>
      <c r="BG8" s="6" t="s">
        <v>582</v>
      </c>
      <c r="BH8" s="6" t="s">
        <v>582</v>
      </c>
      <c r="BI8" s="6" t="s">
        <v>578</v>
      </c>
      <c r="BJ8" t="s">
        <v>578</v>
      </c>
      <c r="BK8" s="6" t="s">
        <v>578</v>
      </c>
      <c r="BL8" s="6" t="s">
        <v>578</v>
      </c>
      <c r="BM8" s="6" t="s">
        <v>578</v>
      </c>
      <c r="BN8" s="6" t="s">
        <v>578</v>
      </c>
      <c r="BO8" s="6" t="s">
        <v>578</v>
      </c>
      <c r="BP8" s="6" t="s">
        <v>578</v>
      </c>
      <c r="BQ8" s="6" t="s">
        <v>578</v>
      </c>
      <c r="BR8" s="6" t="s">
        <v>582</v>
      </c>
      <c r="BS8" s="6" t="s">
        <v>578</v>
      </c>
      <c r="BT8" s="6" t="s">
        <v>578</v>
      </c>
      <c r="BU8" s="6" t="s">
        <v>578</v>
      </c>
      <c r="BV8" s="6" t="s">
        <v>578</v>
      </c>
    </row>
    <row r="9" spans="1:74" x14ac:dyDescent="0.3">
      <c r="A9" s="6" t="s">
        <v>113</v>
      </c>
      <c r="B9" s="6" t="s">
        <v>81</v>
      </c>
      <c r="C9" s="6" t="s">
        <v>386</v>
      </c>
      <c r="D9" s="6" t="s">
        <v>618</v>
      </c>
      <c r="E9" s="6" t="s">
        <v>1</v>
      </c>
      <c r="F9" s="6" t="s">
        <v>400</v>
      </c>
      <c r="G9" s="6" t="s">
        <v>65</v>
      </c>
      <c r="H9" s="6" t="s">
        <v>585</v>
      </c>
      <c r="I9" s="6" t="s">
        <v>401</v>
      </c>
      <c r="J9" s="6" t="s">
        <v>627</v>
      </c>
      <c r="K9" s="6" t="s">
        <v>628</v>
      </c>
      <c r="L9" s="6" t="s">
        <v>578</v>
      </c>
      <c r="M9" s="6" t="s">
        <v>622</v>
      </c>
      <c r="N9" s="6" t="s">
        <v>583</v>
      </c>
      <c r="O9" s="6" t="s">
        <v>583</v>
      </c>
      <c r="P9" s="6" t="s">
        <v>623</v>
      </c>
      <c r="Q9" s="6" t="s">
        <v>624</v>
      </c>
      <c r="R9" s="6" t="s">
        <v>625</v>
      </c>
      <c r="S9" s="6" t="s">
        <v>629</v>
      </c>
      <c r="T9" s="6" t="s">
        <v>576</v>
      </c>
      <c r="U9" s="6" t="s">
        <v>578</v>
      </c>
      <c r="V9" s="6" t="s">
        <v>579</v>
      </c>
      <c r="W9" s="6" t="s">
        <v>579</v>
      </c>
      <c r="X9" s="6" t="s">
        <v>579</v>
      </c>
      <c r="Y9" s="6" t="s">
        <v>582</v>
      </c>
      <c r="Z9" s="6" t="s">
        <v>583</v>
      </c>
      <c r="AA9" s="6" t="s">
        <v>583</v>
      </c>
      <c r="AB9" s="6" t="s">
        <v>579</v>
      </c>
      <c r="AC9" s="6" t="s">
        <v>590</v>
      </c>
      <c r="AD9" s="6" t="s">
        <v>578</v>
      </c>
      <c r="AE9" s="6" t="s">
        <v>578</v>
      </c>
      <c r="AF9" s="6" t="s">
        <v>578</v>
      </c>
      <c r="AG9" s="6" t="s">
        <v>579</v>
      </c>
      <c r="AH9" s="6" t="s">
        <v>576</v>
      </c>
      <c r="AI9" s="6" t="s">
        <v>579</v>
      </c>
      <c r="AJ9" s="6" t="s">
        <v>578</v>
      </c>
      <c r="AK9" s="6" t="s">
        <v>582</v>
      </c>
      <c r="AL9" s="6" t="s">
        <v>578</v>
      </c>
      <c r="AM9" s="6" t="s">
        <v>578</v>
      </c>
      <c r="AN9" s="6" t="s">
        <v>578</v>
      </c>
      <c r="AO9" s="6" t="s">
        <v>578</v>
      </c>
      <c r="AP9" s="6" t="s">
        <v>578</v>
      </c>
      <c r="AQ9" s="6" t="s">
        <v>578</v>
      </c>
      <c r="AR9" s="6" t="s">
        <v>578</v>
      </c>
      <c r="AS9" s="6" t="s">
        <v>578</v>
      </c>
      <c r="AT9" s="6" t="s">
        <v>578</v>
      </c>
      <c r="AU9" s="6" t="s">
        <v>578</v>
      </c>
      <c r="AV9" s="6" t="s">
        <v>578</v>
      </c>
      <c r="AW9" s="6" t="s">
        <v>578</v>
      </c>
      <c r="AX9" s="6" t="s">
        <v>578</v>
      </c>
      <c r="AY9" s="6" t="s">
        <v>578</v>
      </c>
      <c r="AZ9" s="6" t="s">
        <v>578</v>
      </c>
      <c r="BA9" s="6" t="s">
        <v>578</v>
      </c>
      <c r="BB9" s="6" t="s">
        <v>578</v>
      </c>
      <c r="BC9" s="6" t="s">
        <v>578</v>
      </c>
      <c r="BD9" s="6" t="s">
        <v>578</v>
      </c>
      <c r="BE9" s="6" t="s">
        <v>578</v>
      </c>
      <c r="BF9" s="6" t="s">
        <v>578</v>
      </c>
      <c r="BG9" s="6" t="s">
        <v>578</v>
      </c>
      <c r="BH9" s="6" t="s">
        <v>582</v>
      </c>
      <c r="BI9" s="6" t="s">
        <v>578</v>
      </c>
      <c r="BJ9" t="s">
        <v>578</v>
      </c>
      <c r="BK9" s="6" t="s">
        <v>578</v>
      </c>
      <c r="BL9" s="6" t="s">
        <v>578</v>
      </c>
      <c r="BM9" s="6" t="s">
        <v>578</v>
      </c>
      <c r="BN9" s="6" t="s">
        <v>578</v>
      </c>
      <c r="BO9" s="6" t="s">
        <v>578</v>
      </c>
      <c r="BP9" s="6" t="s">
        <v>578</v>
      </c>
      <c r="BQ9" s="6" t="s">
        <v>578</v>
      </c>
      <c r="BR9" s="6" t="s">
        <v>578</v>
      </c>
      <c r="BS9" s="6" t="s">
        <v>578</v>
      </c>
      <c r="BT9" s="6" t="s">
        <v>578</v>
      </c>
      <c r="BU9" s="6" t="s">
        <v>578</v>
      </c>
      <c r="BV9" s="6" t="s">
        <v>578</v>
      </c>
    </row>
    <row r="10" spans="1:74" x14ac:dyDescent="0.3">
      <c r="A10" s="6" t="s">
        <v>114</v>
      </c>
      <c r="B10" s="6" t="s">
        <v>82</v>
      </c>
      <c r="C10" s="6" t="s">
        <v>386</v>
      </c>
      <c r="D10" s="6" t="s">
        <v>618</v>
      </c>
      <c r="E10" s="6" t="s">
        <v>1</v>
      </c>
      <c r="F10" s="6" t="s">
        <v>402</v>
      </c>
      <c r="G10" s="6" t="s">
        <v>65</v>
      </c>
      <c r="H10" s="6" t="s">
        <v>585</v>
      </c>
      <c r="I10" s="6" t="s">
        <v>403</v>
      </c>
      <c r="J10" s="6" t="s">
        <v>630</v>
      </c>
      <c r="K10" s="6" t="s">
        <v>631</v>
      </c>
      <c r="L10" s="6" t="s">
        <v>578</v>
      </c>
      <c r="M10" s="6" t="s">
        <v>604</v>
      </c>
      <c r="N10" s="6" t="s">
        <v>632</v>
      </c>
      <c r="O10" s="6" t="s">
        <v>590</v>
      </c>
      <c r="P10" s="6" t="s">
        <v>622</v>
      </c>
      <c r="Q10" s="6" t="s">
        <v>633</v>
      </c>
      <c r="R10" s="6" t="s">
        <v>634</v>
      </c>
      <c r="S10" s="6" t="s">
        <v>635</v>
      </c>
      <c r="T10" s="6" t="s">
        <v>576</v>
      </c>
      <c r="U10" s="6" t="s">
        <v>578</v>
      </c>
      <c r="V10" s="6" t="s">
        <v>579</v>
      </c>
      <c r="W10" s="6" t="s">
        <v>576</v>
      </c>
      <c r="X10" s="6" t="s">
        <v>578</v>
      </c>
      <c r="Y10" s="6" t="s">
        <v>582</v>
      </c>
      <c r="Z10" s="6" t="s">
        <v>576</v>
      </c>
      <c r="AA10" s="6" t="s">
        <v>582</v>
      </c>
      <c r="AB10" s="6" t="s">
        <v>583</v>
      </c>
      <c r="AC10" s="6" t="s">
        <v>636</v>
      </c>
      <c r="AD10" s="6" t="s">
        <v>578</v>
      </c>
      <c r="AE10" s="6" t="s">
        <v>578</v>
      </c>
      <c r="AF10" s="6" t="s">
        <v>578</v>
      </c>
      <c r="AG10" s="6" t="s">
        <v>579</v>
      </c>
      <c r="AH10" s="6" t="s">
        <v>576</v>
      </c>
      <c r="AI10" s="6" t="s">
        <v>579</v>
      </c>
      <c r="AJ10" s="6" t="s">
        <v>578</v>
      </c>
      <c r="AK10" s="6" t="s">
        <v>582</v>
      </c>
      <c r="AL10" s="6" t="s">
        <v>578</v>
      </c>
      <c r="AM10" s="6" t="s">
        <v>578</v>
      </c>
      <c r="AN10" s="6" t="s">
        <v>578</v>
      </c>
      <c r="AO10" s="6" t="s">
        <v>578</v>
      </c>
      <c r="AP10" s="6" t="s">
        <v>578</v>
      </c>
      <c r="AQ10" s="6" t="s">
        <v>578</v>
      </c>
      <c r="AR10" s="6" t="s">
        <v>578</v>
      </c>
      <c r="AS10" s="6" t="s">
        <v>578</v>
      </c>
      <c r="AT10" s="6" t="s">
        <v>578</v>
      </c>
      <c r="AU10" s="6" t="s">
        <v>578</v>
      </c>
      <c r="AV10" s="6" t="s">
        <v>578</v>
      </c>
      <c r="AW10" s="6" t="s">
        <v>578</v>
      </c>
      <c r="AX10" s="6" t="s">
        <v>578</v>
      </c>
      <c r="AY10" s="6" t="s">
        <v>578</v>
      </c>
      <c r="AZ10" s="6" t="s">
        <v>578</v>
      </c>
      <c r="BA10" s="6" t="s">
        <v>578</v>
      </c>
      <c r="BB10" s="6" t="s">
        <v>578</v>
      </c>
      <c r="BC10" s="6" t="s">
        <v>578</v>
      </c>
      <c r="BD10" s="6" t="s">
        <v>578</v>
      </c>
      <c r="BE10" s="6" t="s">
        <v>578</v>
      </c>
      <c r="BF10" s="6" t="s">
        <v>578</v>
      </c>
      <c r="BG10" s="6" t="s">
        <v>578</v>
      </c>
      <c r="BH10" s="6" t="s">
        <v>582</v>
      </c>
      <c r="BI10" s="6" t="s">
        <v>578</v>
      </c>
      <c r="BJ10" t="s">
        <v>578</v>
      </c>
      <c r="BK10" s="6" t="s">
        <v>578</v>
      </c>
      <c r="BL10" s="6" t="s">
        <v>578</v>
      </c>
      <c r="BM10" s="6" t="s">
        <v>578</v>
      </c>
      <c r="BN10" s="6" t="s">
        <v>578</v>
      </c>
      <c r="BO10" s="6" t="s">
        <v>578</v>
      </c>
      <c r="BP10" s="6" t="s">
        <v>578</v>
      </c>
      <c r="BQ10" s="6" t="s">
        <v>578</v>
      </c>
      <c r="BR10" s="6" t="s">
        <v>578</v>
      </c>
      <c r="BS10" s="6" t="s">
        <v>578</v>
      </c>
      <c r="BT10" s="6" t="s">
        <v>578</v>
      </c>
      <c r="BU10" s="6" t="s">
        <v>578</v>
      </c>
      <c r="BV10" s="6" t="s">
        <v>578</v>
      </c>
    </row>
    <row r="11" spans="1:74" x14ac:dyDescent="0.3">
      <c r="A11" s="6" t="s">
        <v>115</v>
      </c>
      <c r="B11" s="6" t="s">
        <v>83</v>
      </c>
      <c r="C11" s="6" t="s">
        <v>853</v>
      </c>
      <c r="D11" s="6" t="s">
        <v>637</v>
      </c>
      <c r="E11" s="6" t="s">
        <v>1</v>
      </c>
      <c r="F11" s="6" t="s">
        <v>404</v>
      </c>
      <c r="G11" s="6" t="s">
        <v>65</v>
      </c>
      <c r="H11" s="6" t="s">
        <v>585</v>
      </c>
      <c r="I11" s="6" t="s">
        <v>405</v>
      </c>
      <c r="J11" s="6" t="s">
        <v>638</v>
      </c>
      <c r="K11" s="6" t="s">
        <v>639</v>
      </c>
      <c r="L11" s="6" t="s">
        <v>578</v>
      </c>
      <c r="M11" s="6" t="s">
        <v>604</v>
      </c>
      <c r="N11" s="6" t="s">
        <v>632</v>
      </c>
      <c r="O11" s="6" t="s">
        <v>590</v>
      </c>
      <c r="P11" s="6" t="s">
        <v>622</v>
      </c>
      <c r="Q11" s="6" t="s">
        <v>622</v>
      </c>
      <c r="R11" s="6" t="s">
        <v>640</v>
      </c>
      <c r="S11" s="6" t="s">
        <v>641</v>
      </c>
      <c r="T11" s="6" t="s">
        <v>579</v>
      </c>
      <c r="U11" s="6" t="s">
        <v>578</v>
      </c>
      <c r="V11" s="6" t="s">
        <v>579</v>
      </c>
      <c r="W11" s="6" t="s">
        <v>576</v>
      </c>
      <c r="X11" s="6" t="s">
        <v>578</v>
      </c>
      <c r="Y11" s="6" t="s">
        <v>582</v>
      </c>
      <c r="Z11" s="6" t="s">
        <v>576</v>
      </c>
      <c r="AA11" s="6" t="s">
        <v>582</v>
      </c>
      <c r="AB11" s="6" t="s">
        <v>583</v>
      </c>
      <c r="AC11" s="6" t="s">
        <v>636</v>
      </c>
      <c r="AD11" s="6" t="s">
        <v>578</v>
      </c>
      <c r="AE11" s="6" t="s">
        <v>578</v>
      </c>
      <c r="AF11" s="6" t="s">
        <v>578</v>
      </c>
      <c r="AG11" s="6" t="s">
        <v>579</v>
      </c>
      <c r="AH11" s="6" t="s">
        <v>576</v>
      </c>
      <c r="AI11" s="6" t="s">
        <v>579</v>
      </c>
      <c r="AJ11" s="6" t="s">
        <v>578</v>
      </c>
      <c r="AK11" s="6" t="s">
        <v>578</v>
      </c>
      <c r="AL11" s="6" t="s">
        <v>578</v>
      </c>
      <c r="AM11" s="6" t="s">
        <v>578</v>
      </c>
      <c r="AN11" s="6" t="s">
        <v>578</v>
      </c>
      <c r="AO11" s="6" t="s">
        <v>578</v>
      </c>
      <c r="AP11" s="6" t="s">
        <v>578</v>
      </c>
      <c r="AQ11" s="6" t="s">
        <v>578</v>
      </c>
      <c r="AR11" s="6" t="s">
        <v>578</v>
      </c>
      <c r="AS11" s="6" t="s">
        <v>578</v>
      </c>
      <c r="AT11" s="6" t="s">
        <v>578</v>
      </c>
      <c r="AU11" s="6" t="s">
        <v>578</v>
      </c>
      <c r="AV11" s="6" t="s">
        <v>578</v>
      </c>
      <c r="AW11" s="6" t="s">
        <v>578</v>
      </c>
      <c r="AX11" s="6" t="s">
        <v>578</v>
      </c>
      <c r="AY11" s="6" t="s">
        <v>578</v>
      </c>
      <c r="AZ11" s="6" t="s">
        <v>578</v>
      </c>
      <c r="BA11" s="6" t="s">
        <v>578</v>
      </c>
      <c r="BB11" s="6" t="s">
        <v>578</v>
      </c>
      <c r="BC11" s="6" t="s">
        <v>578</v>
      </c>
      <c r="BD11" s="6" t="s">
        <v>578</v>
      </c>
      <c r="BE11" s="6" t="s">
        <v>578</v>
      </c>
      <c r="BF11" s="6" t="s">
        <v>578</v>
      </c>
      <c r="BG11" s="6" t="s">
        <v>578</v>
      </c>
      <c r="BH11" s="6" t="s">
        <v>582</v>
      </c>
      <c r="BI11" s="6" t="s">
        <v>578</v>
      </c>
      <c r="BJ11" t="s">
        <v>578</v>
      </c>
      <c r="BK11" s="6" t="s">
        <v>578</v>
      </c>
      <c r="BL11" s="6" t="s">
        <v>578</v>
      </c>
      <c r="BM11" s="6" t="s">
        <v>578</v>
      </c>
      <c r="BN11" s="6" t="s">
        <v>578</v>
      </c>
      <c r="BO11" s="6" t="s">
        <v>578</v>
      </c>
      <c r="BP11" s="6" t="s">
        <v>578</v>
      </c>
      <c r="BQ11" s="6" t="s">
        <v>578</v>
      </c>
      <c r="BR11" s="6" t="s">
        <v>578</v>
      </c>
      <c r="BS11" s="6" t="s">
        <v>578</v>
      </c>
      <c r="BT11" s="6" t="s">
        <v>578</v>
      </c>
      <c r="BU11" s="6" t="s">
        <v>578</v>
      </c>
      <c r="BV11" s="6" t="s">
        <v>578</v>
      </c>
    </row>
    <row r="12" spans="1:74" x14ac:dyDescent="0.3">
      <c r="A12" s="6" t="s">
        <v>116</v>
      </c>
      <c r="B12" s="6" t="s">
        <v>84</v>
      </c>
      <c r="C12" s="6" t="s">
        <v>854</v>
      </c>
      <c r="D12" s="6" t="s">
        <v>642</v>
      </c>
      <c r="E12" s="6" t="s">
        <v>1</v>
      </c>
      <c r="F12" s="6" t="s">
        <v>406</v>
      </c>
      <c r="G12" s="6" t="s">
        <v>65</v>
      </c>
      <c r="H12" s="6" t="s">
        <v>585</v>
      </c>
      <c r="I12" s="6" t="s">
        <v>407</v>
      </c>
      <c r="J12" s="6" t="s">
        <v>643</v>
      </c>
      <c r="K12" s="6" t="s">
        <v>644</v>
      </c>
      <c r="L12" s="6" t="s">
        <v>578</v>
      </c>
      <c r="M12" s="6" t="s">
        <v>604</v>
      </c>
      <c r="N12" s="6" t="s">
        <v>645</v>
      </c>
      <c r="O12" s="6" t="s">
        <v>583</v>
      </c>
      <c r="P12" s="6" t="s">
        <v>622</v>
      </c>
      <c r="Q12" s="6" t="s">
        <v>622</v>
      </c>
      <c r="R12" s="6" t="s">
        <v>646</v>
      </c>
      <c r="S12" s="6" t="s">
        <v>577</v>
      </c>
      <c r="T12" s="6" t="s">
        <v>579</v>
      </c>
      <c r="U12" s="6" t="s">
        <v>578</v>
      </c>
      <c r="V12" s="6" t="s">
        <v>579</v>
      </c>
      <c r="W12" s="6" t="s">
        <v>579</v>
      </c>
      <c r="X12" s="6" t="s">
        <v>578</v>
      </c>
      <c r="Y12" s="6" t="s">
        <v>582</v>
      </c>
      <c r="Z12" s="6" t="s">
        <v>576</v>
      </c>
      <c r="AA12" s="6" t="s">
        <v>582</v>
      </c>
      <c r="AB12" s="6" t="s">
        <v>583</v>
      </c>
      <c r="AC12" s="6" t="s">
        <v>636</v>
      </c>
      <c r="AD12" s="6" t="s">
        <v>578</v>
      </c>
      <c r="AE12" s="6" t="s">
        <v>578</v>
      </c>
      <c r="AF12" s="6" t="s">
        <v>578</v>
      </c>
      <c r="AG12" s="6" t="s">
        <v>579</v>
      </c>
      <c r="AH12" s="6" t="s">
        <v>576</v>
      </c>
      <c r="AI12" s="6" t="s">
        <v>582</v>
      </c>
      <c r="AJ12" s="6" t="s">
        <v>578</v>
      </c>
      <c r="AK12" s="6" t="s">
        <v>578</v>
      </c>
      <c r="AL12" s="6" t="s">
        <v>578</v>
      </c>
      <c r="AM12" s="6" t="s">
        <v>578</v>
      </c>
      <c r="AN12" s="6" t="s">
        <v>578</v>
      </c>
      <c r="AO12" s="6" t="s">
        <v>578</v>
      </c>
      <c r="AP12" s="6" t="s">
        <v>578</v>
      </c>
      <c r="AQ12" s="6" t="s">
        <v>578</v>
      </c>
      <c r="AR12" s="6" t="s">
        <v>578</v>
      </c>
      <c r="AS12" s="6" t="s">
        <v>578</v>
      </c>
      <c r="AT12" s="6" t="s">
        <v>578</v>
      </c>
      <c r="AU12" s="6" t="s">
        <v>578</v>
      </c>
      <c r="AV12" s="6" t="s">
        <v>578</v>
      </c>
      <c r="AW12" s="6" t="s">
        <v>578</v>
      </c>
      <c r="AX12" s="6" t="s">
        <v>578</v>
      </c>
      <c r="AY12" s="6" t="s">
        <v>578</v>
      </c>
      <c r="AZ12" s="6" t="s">
        <v>578</v>
      </c>
      <c r="BA12" s="6" t="s">
        <v>578</v>
      </c>
      <c r="BB12" s="6" t="s">
        <v>578</v>
      </c>
      <c r="BC12" s="6" t="s">
        <v>578</v>
      </c>
      <c r="BD12" s="6" t="s">
        <v>578</v>
      </c>
      <c r="BE12" s="6" t="s">
        <v>578</v>
      </c>
      <c r="BF12" s="6" t="s">
        <v>578</v>
      </c>
      <c r="BG12" s="6" t="s">
        <v>578</v>
      </c>
      <c r="BH12" s="6" t="s">
        <v>582</v>
      </c>
      <c r="BI12" s="6" t="s">
        <v>578</v>
      </c>
      <c r="BJ12" t="s">
        <v>578</v>
      </c>
      <c r="BK12" s="6" t="s">
        <v>578</v>
      </c>
      <c r="BL12" s="6" t="s">
        <v>578</v>
      </c>
      <c r="BM12" s="6" t="s">
        <v>578</v>
      </c>
      <c r="BN12" s="6" t="s">
        <v>578</v>
      </c>
      <c r="BO12" s="6" t="s">
        <v>578</v>
      </c>
      <c r="BP12" s="6" t="s">
        <v>578</v>
      </c>
      <c r="BQ12" s="6" t="s">
        <v>578</v>
      </c>
      <c r="BR12" s="6" t="s">
        <v>578</v>
      </c>
      <c r="BS12" s="6" t="s">
        <v>578</v>
      </c>
      <c r="BT12" s="6" t="s">
        <v>578</v>
      </c>
      <c r="BU12" s="6" t="s">
        <v>578</v>
      </c>
      <c r="BV12" s="6" t="s">
        <v>578</v>
      </c>
    </row>
    <row r="13" spans="1:74" x14ac:dyDescent="0.3">
      <c r="A13" s="6" t="s">
        <v>117</v>
      </c>
      <c r="B13" s="6" t="s">
        <v>85</v>
      </c>
      <c r="C13" s="6" t="s">
        <v>855</v>
      </c>
      <c r="D13" s="6" t="s">
        <v>647</v>
      </c>
      <c r="E13" s="6" t="s">
        <v>1</v>
      </c>
      <c r="F13" s="6" t="s">
        <v>408</v>
      </c>
      <c r="G13" s="6" t="s">
        <v>65</v>
      </c>
      <c r="H13" s="6" t="s">
        <v>585</v>
      </c>
      <c r="I13" s="6" t="s">
        <v>409</v>
      </c>
      <c r="J13" s="6" t="s">
        <v>648</v>
      </c>
      <c r="K13" s="6" t="s">
        <v>649</v>
      </c>
      <c r="L13" s="6" t="s">
        <v>578</v>
      </c>
      <c r="M13" s="6" t="s">
        <v>623</v>
      </c>
      <c r="N13" s="6" t="s">
        <v>632</v>
      </c>
      <c r="O13" s="6" t="s">
        <v>583</v>
      </c>
      <c r="P13" s="6" t="s">
        <v>650</v>
      </c>
      <c r="Q13" s="6" t="s">
        <v>650</v>
      </c>
      <c r="R13" s="6" t="s">
        <v>651</v>
      </c>
      <c r="S13" s="6" t="s">
        <v>652</v>
      </c>
      <c r="T13" s="6" t="s">
        <v>579</v>
      </c>
      <c r="U13" s="6" t="s">
        <v>578</v>
      </c>
      <c r="V13" s="6" t="s">
        <v>579</v>
      </c>
      <c r="W13" s="6" t="s">
        <v>579</v>
      </c>
      <c r="X13" s="6" t="s">
        <v>578</v>
      </c>
      <c r="Y13" s="6" t="s">
        <v>582</v>
      </c>
      <c r="Z13" s="6" t="s">
        <v>582</v>
      </c>
      <c r="AA13" s="6" t="s">
        <v>582</v>
      </c>
      <c r="AB13" s="6" t="s">
        <v>583</v>
      </c>
      <c r="AC13" s="6" t="s">
        <v>589</v>
      </c>
      <c r="AD13" s="6" t="s">
        <v>578</v>
      </c>
      <c r="AE13" s="6" t="s">
        <v>578</v>
      </c>
      <c r="AF13" s="6" t="s">
        <v>578</v>
      </c>
      <c r="AG13" s="6" t="s">
        <v>582</v>
      </c>
      <c r="AH13" s="6" t="s">
        <v>576</v>
      </c>
      <c r="AI13" s="6" t="s">
        <v>582</v>
      </c>
      <c r="AJ13" s="6" t="s">
        <v>578</v>
      </c>
      <c r="AK13" s="6" t="s">
        <v>578</v>
      </c>
      <c r="AL13" s="6" t="s">
        <v>578</v>
      </c>
      <c r="AM13" s="6" t="s">
        <v>578</v>
      </c>
      <c r="AN13" s="6" t="s">
        <v>578</v>
      </c>
      <c r="AO13" s="6" t="s">
        <v>578</v>
      </c>
      <c r="AP13" s="6" t="s">
        <v>578</v>
      </c>
      <c r="AQ13" s="6" t="s">
        <v>578</v>
      </c>
      <c r="AR13" s="6" t="s">
        <v>578</v>
      </c>
      <c r="AS13" s="6" t="s">
        <v>578</v>
      </c>
      <c r="AT13" s="6" t="s">
        <v>578</v>
      </c>
      <c r="AU13" s="6" t="s">
        <v>578</v>
      </c>
      <c r="AV13" s="6" t="s">
        <v>578</v>
      </c>
      <c r="AW13" s="6" t="s">
        <v>578</v>
      </c>
      <c r="AX13" s="6" t="s">
        <v>578</v>
      </c>
      <c r="AY13" s="6" t="s">
        <v>578</v>
      </c>
      <c r="AZ13" s="6" t="s">
        <v>578</v>
      </c>
      <c r="BA13" s="6" t="s">
        <v>578</v>
      </c>
      <c r="BB13" s="6" t="s">
        <v>578</v>
      </c>
      <c r="BC13" s="6" t="s">
        <v>578</v>
      </c>
      <c r="BD13" s="6" t="s">
        <v>578</v>
      </c>
      <c r="BE13" s="6" t="s">
        <v>578</v>
      </c>
      <c r="BF13" s="6" t="s">
        <v>578</v>
      </c>
      <c r="BG13" s="6" t="s">
        <v>578</v>
      </c>
      <c r="BH13" s="6" t="s">
        <v>582</v>
      </c>
      <c r="BI13" s="6" t="s">
        <v>578</v>
      </c>
      <c r="BJ13" t="s">
        <v>578</v>
      </c>
      <c r="BK13" s="6" t="s">
        <v>578</v>
      </c>
      <c r="BL13" s="6" t="s">
        <v>578</v>
      </c>
      <c r="BM13" s="6" t="s">
        <v>578</v>
      </c>
      <c r="BN13" s="6" t="s">
        <v>578</v>
      </c>
      <c r="BO13" s="6" t="s">
        <v>578</v>
      </c>
      <c r="BP13" s="6" t="s">
        <v>578</v>
      </c>
      <c r="BQ13" s="6" t="s">
        <v>578</v>
      </c>
      <c r="BR13" s="6" t="s">
        <v>578</v>
      </c>
      <c r="BS13" s="6" t="s">
        <v>578</v>
      </c>
      <c r="BT13" s="6" t="s">
        <v>578</v>
      </c>
      <c r="BU13" s="6" t="s">
        <v>578</v>
      </c>
      <c r="BV13" s="6" t="s">
        <v>578</v>
      </c>
    </row>
    <row r="14" spans="1:74" x14ac:dyDescent="0.3">
      <c r="A14" s="6" t="s">
        <v>118</v>
      </c>
      <c r="B14" s="6" t="s">
        <v>86</v>
      </c>
      <c r="C14" s="6" t="s">
        <v>386</v>
      </c>
      <c r="D14" s="6" t="s">
        <v>618</v>
      </c>
      <c r="E14" s="6" t="s">
        <v>1</v>
      </c>
      <c r="F14" s="6" t="s">
        <v>148</v>
      </c>
      <c r="G14" s="6" t="s">
        <v>65</v>
      </c>
      <c r="H14" s="6" t="s">
        <v>585</v>
      </c>
      <c r="I14" s="6" t="s">
        <v>410</v>
      </c>
      <c r="J14" s="6" t="s">
        <v>653</v>
      </c>
      <c r="K14" s="6" t="s">
        <v>654</v>
      </c>
      <c r="L14" s="6" t="s">
        <v>655</v>
      </c>
      <c r="M14" s="6" t="s">
        <v>622</v>
      </c>
      <c r="N14" s="6" t="s">
        <v>632</v>
      </c>
      <c r="O14" s="6" t="s">
        <v>590</v>
      </c>
      <c r="P14" s="6" t="s">
        <v>623</v>
      </c>
      <c r="Q14" s="6" t="s">
        <v>633</v>
      </c>
      <c r="R14" s="6" t="s">
        <v>634</v>
      </c>
      <c r="S14" s="6" t="s">
        <v>656</v>
      </c>
      <c r="T14" s="6" t="s">
        <v>576</v>
      </c>
      <c r="U14" s="6" t="s">
        <v>582</v>
      </c>
      <c r="V14" s="6" t="s">
        <v>579</v>
      </c>
      <c r="W14" s="6" t="s">
        <v>576</v>
      </c>
      <c r="X14" s="6" t="s">
        <v>578</v>
      </c>
      <c r="Y14" s="6" t="s">
        <v>582</v>
      </c>
      <c r="Z14" s="6" t="s">
        <v>576</v>
      </c>
      <c r="AA14" s="6" t="s">
        <v>582</v>
      </c>
      <c r="AB14" s="6" t="s">
        <v>583</v>
      </c>
      <c r="AC14" s="6" t="s">
        <v>636</v>
      </c>
      <c r="AD14" s="6" t="s">
        <v>578</v>
      </c>
      <c r="AE14" s="6" t="s">
        <v>578</v>
      </c>
      <c r="AF14" s="6" t="s">
        <v>578</v>
      </c>
      <c r="AG14" s="6" t="s">
        <v>579</v>
      </c>
      <c r="AH14" s="6" t="s">
        <v>576</v>
      </c>
      <c r="AI14" s="6" t="s">
        <v>579</v>
      </c>
      <c r="AJ14" s="6" t="s">
        <v>578</v>
      </c>
      <c r="AK14" s="6" t="s">
        <v>582</v>
      </c>
      <c r="AL14" s="6" t="s">
        <v>578</v>
      </c>
      <c r="AM14" s="6" t="s">
        <v>578</v>
      </c>
      <c r="AN14" s="6" t="s">
        <v>578</v>
      </c>
      <c r="AO14" s="6" t="s">
        <v>578</v>
      </c>
      <c r="AP14" s="6" t="s">
        <v>578</v>
      </c>
      <c r="AQ14" s="6" t="s">
        <v>578</v>
      </c>
      <c r="AR14" s="6" t="s">
        <v>578</v>
      </c>
      <c r="AS14" s="6" t="s">
        <v>578</v>
      </c>
      <c r="AT14" s="6" t="s">
        <v>578</v>
      </c>
      <c r="AU14" s="6" t="s">
        <v>578</v>
      </c>
      <c r="AV14" s="6" t="s">
        <v>578</v>
      </c>
      <c r="AW14" s="6" t="s">
        <v>578</v>
      </c>
      <c r="AX14" s="6" t="s">
        <v>578</v>
      </c>
      <c r="AY14" s="6" t="s">
        <v>578</v>
      </c>
      <c r="AZ14" s="6" t="s">
        <v>578</v>
      </c>
      <c r="BA14" s="6" t="s">
        <v>578</v>
      </c>
      <c r="BB14" s="6" t="s">
        <v>578</v>
      </c>
      <c r="BC14" s="6" t="s">
        <v>578</v>
      </c>
      <c r="BD14" s="6" t="s">
        <v>578</v>
      </c>
      <c r="BE14" s="6" t="s">
        <v>578</v>
      </c>
      <c r="BF14" s="6" t="s">
        <v>578</v>
      </c>
      <c r="BG14" s="6" t="s">
        <v>578</v>
      </c>
      <c r="BH14" s="6" t="s">
        <v>578</v>
      </c>
      <c r="BI14" s="6" t="s">
        <v>578</v>
      </c>
      <c r="BJ14" t="s">
        <v>578</v>
      </c>
      <c r="BK14" s="6" t="s">
        <v>578</v>
      </c>
      <c r="BL14" s="6" t="s">
        <v>578</v>
      </c>
      <c r="BM14" s="6" t="s">
        <v>578</v>
      </c>
      <c r="BN14" s="6" t="s">
        <v>578</v>
      </c>
      <c r="BO14" s="6" t="s">
        <v>578</v>
      </c>
      <c r="BP14" s="6" t="s">
        <v>578</v>
      </c>
      <c r="BQ14" s="6" t="s">
        <v>578</v>
      </c>
      <c r="BR14" s="6" t="s">
        <v>578</v>
      </c>
      <c r="BS14" s="6" t="s">
        <v>578</v>
      </c>
      <c r="BT14" s="6" t="s">
        <v>578</v>
      </c>
      <c r="BU14" s="6" t="s">
        <v>578</v>
      </c>
      <c r="BV14" s="6" t="s">
        <v>578</v>
      </c>
    </row>
    <row r="15" spans="1:74" x14ac:dyDescent="0.3">
      <c r="A15" s="6" t="s">
        <v>119</v>
      </c>
      <c r="B15" s="6" t="s">
        <v>87</v>
      </c>
      <c r="C15" s="6" t="s">
        <v>386</v>
      </c>
      <c r="D15" s="6" t="s">
        <v>647</v>
      </c>
      <c r="E15" s="6" t="s">
        <v>1</v>
      </c>
      <c r="F15" s="6" t="s">
        <v>67</v>
      </c>
      <c r="G15" s="6" t="s">
        <v>65</v>
      </c>
      <c r="H15" s="6" t="s">
        <v>585</v>
      </c>
      <c r="I15" s="6" t="s">
        <v>411</v>
      </c>
      <c r="J15" s="6" t="s">
        <v>657</v>
      </c>
      <c r="K15" s="6" t="s">
        <v>658</v>
      </c>
      <c r="L15" s="6" t="s">
        <v>655</v>
      </c>
      <c r="M15" s="6" t="s">
        <v>650</v>
      </c>
      <c r="N15" s="6" t="s">
        <v>632</v>
      </c>
      <c r="O15" s="6" t="s">
        <v>583</v>
      </c>
      <c r="P15" s="6" t="s">
        <v>636</v>
      </c>
      <c r="Q15" s="6" t="s">
        <v>650</v>
      </c>
      <c r="R15" s="6" t="s">
        <v>651</v>
      </c>
      <c r="S15" s="6" t="s">
        <v>659</v>
      </c>
      <c r="T15" s="6" t="s">
        <v>579</v>
      </c>
      <c r="U15" s="6" t="s">
        <v>582</v>
      </c>
      <c r="V15" s="6" t="s">
        <v>579</v>
      </c>
      <c r="W15" s="6" t="s">
        <v>579</v>
      </c>
      <c r="X15" s="6" t="s">
        <v>578</v>
      </c>
      <c r="Y15" s="6" t="s">
        <v>582</v>
      </c>
      <c r="Z15" s="6" t="s">
        <v>582</v>
      </c>
      <c r="AA15" s="6" t="s">
        <v>582</v>
      </c>
      <c r="AB15" s="6" t="s">
        <v>583</v>
      </c>
      <c r="AC15" s="6" t="s">
        <v>589</v>
      </c>
      <c r="AD15" s="6" t="s">
        <v>578</v>
      </c>
      <c r="AE15" s="6" t="s">
        <v>578</v>
      </c>
      <c r="AF15" s="6" t="s">
        <v>578</v>
      </c>
      <c r="AG15" s="6" t="s">
        <v>582</v>
      </c>
      <c r="AH15" s="6" t="s">
        <v>576</v>
      </c>
      <c r="AI15" s="6" t="s">
        <v>582</v>
      </c>
      <c r="AJ15" s="6" t="s">
        <v>578</v>
      </c>
      <c r="AK15" s="6" t="s">
        <v>578</v>
      </c>
      <c r="AL15" s="6" t="s">
        <v>578</v>
      </c>
      <c r="AM15" s="6" t="s">
        <v>578</v>
      </c>
      <c r="AN15" s="6" t="s">
        <v>578</v>
      </c>
      <c r="AO15" s="6" t="s">
        <v>578</v>
      </c>
      <c r="AP15" s="6" t="s">
        <v>578</v>
      </c>
      <c r="AQ15" s="6" t="s">
        <v>578</v>
      </c>
      <c r="AR15" s="6" t="s">
        <v>578</v>
      </c>
      <c r="AS15" s="6" t="s">
        <v>578</v>
      </c>
      <c r="AT15" s="6" t="s">
        <v>578</v>
      </c>
      <c r="AU15" s="6" t="s">
        <v>578</v>
      </c>
      <c r="AV15" s="6" t="s">
        <v>578</v>
      </c>
      <c r="AW15" s="6" t="s">
        <v>578</v>
      </c>
      <c r="AX15" s="6" t="s">
        <v>578</v>
      </c>
      <c r="AY15" s="6" t="s">
        <v>578</v>
      </c>
      <c r="AZ15" s="6" t="s">
        <v>578</v>
      </c>
      <c r="BA15" s="6" t="s">
        <v>578</v>
      </c>
      <c r="BB15" s="6" t="s">
        <v>578</v>
      </c>
      <c r="BC15" s="6" t="s">
        <v>578</v>
      </c>
      <c r="BD15" s="6" t="s">
        <v>578</v>
      </c>
      <c r="BE15" s="6" t="s">
        <v>578</v>
      </c>
      <c r="BF15" s="6" t="s">
        <v>578</v>
      </c>
      <c r="BG15" s="6" t="s">
        <v>578</v>
      </c>
      <c r="BH15" s="6" t="s">
        <v>578</v>
      </c>
      <c r="BI15" s="6" t="s">
        <v>578</v>
      </c>
      <c r="BJ15" t="s">
        <v>578</v>
      </c>
      <c r="BK15" s="6" t="s">
        <v>578</v>
      </c>
      <c r="BL15" s="6" t="s">
        <v>578</v>
      </c>
      <c r="BM15" s="6" t="s">
        <v>578</v>
      </c>
      <c r="BN15" s="6" t="s">
        <v>578</v>
      </c>
      <c r="BO15" s="6" t="s">
        <v>578</v>
      </c>
      <c r="BP15" s="6" t="s">
        <v>578</v>
      </c>
      <c r="BQ15" s="6" t="s">
        <v>578</v>
      </c>
      <c r="BR15" s="6" t="s">
        <v>578</v>
      </c>
      <c r="BS15" s="6" t="s">
        <v>578</v>
      </c>
      <c r="BT15" s="6" t="s">
        <v>578</v>
      </c>
      <c r="BU15" s="6" t="s">
        <v>578</v>
      </c>
      <c r="BV15" s="6" t="s">
        <v>578</v>
      </c>
    </row>
    <row r="16" spans="1:74" x14ac:dyDescent="0.3">
      <c r="A16" s="6" t="s">
        <v>120</v>
      </c>
      <c r="B16" s="6" t="s">
        <v>88</v>
      </c>
      <c r="C16" s="6" t="s">
        <v>386</v>
      </c>
      <c r="D16" s="6" t="s">
        <v>660</v>
      </c>
      <c r="E16" s="6" t="s">
        <v>1</v>
      </c>
      <c r="F16" s="6" t="s">
        <v>412</v>
      </c>
      <c r="G16" s="6" t="s">
        <v>65</v>
      </c>
      <c r="H16" s="6" t="s">
        <v>585</v>
      </c>
      <c r="I16" s="6" t="s">
        <v>413</v>
      </c>
      <c r="J16" s="6" t="s">
        <v>661</v>
      </c>
      <c r="K16" s="6" t="s">
        <v>662</v>
      </c>
      <c r="L16" s="6" t="s">
        <v>578</v>
      </c>
      <c r="M16" s="6" t="s">
        <v>604</v>
      </c>
      <c r="N16" s="6" t="s">
        <v>632</v>
      </c>
      <c r="O16" s="6" t="s">
        <v>590</v>
      </c>
      <c r="P16" s="6" t="s">
        <v>622</v>
      </c>
      <c r="Q16" s="6" t="s">
        <v>633</v>
      </c>
      <c r="R16" s="6" t="s">
        <v>663</v>
      </c>
      <c r="S16" s="6" t="s">
        <v>664</v>
      </c>
      <c r="T16" s="6" t="s">
        <v>576</v>
      </c>
      <c r="U16" s="6" t="s">
        <v>578</v>
      </c>
      <c r="V16" s="6" t="s">
        <v>579</v>
      </c>
      <c r="W16" s="6" t="s">
        <v>576</v>
      </c>
      <c r="X16" s="6" t="s">
        <v>578</v>
      </c>
      <c r="Y16" s="6" t="s">
        <v>582</v>
      </c>
      <c r="Z16" s="6" t="s">
        <v>576</v>
      </c>
      <c r="AA16" s="6" t="s">
        <v>582</v>
      </c>
      <c r="AB16" s="6" t="s">
        <v>583</v>
      </c>
      <c r="AC16" s="6" t="s">
        <v>636</v>
      </c>
      <c r="AD16" s="6" t="s">
        <v>578</v>
      </c>
      <c r="AE16" s="6" t="s">
        <v>578</v>
      </c>
      <c r="AF16" s="6" t="s">
        <v>578</v>
      </c>
      <c r="AG16" s="6" t="s">
        <v>579</v>
      </c>
      <c r="AH16" s="6" t="s">
        <v>576</v>
      </c>
      <c r="AI16" s="6" t="s">
        <v>579</v>
      </c>
      <c r="AJ16" s="6" t="s">
        <v>582</v>
      </c>
      <c r="AK16" s="6" t="s">
        <v>582</v>
      </c>
      <c r="AL16" s="6" t="s">
        <v>578</v>
      </c>
      <c r="AM16" s="6" t="s">
        <v>578</v>
      </c>
      <c r="AN16" s="6" t="s">
        <v>578</v>
      </c>
      <c r="AO16" s="6" t="s">
        <v>578</v>
      </c>
      <c r="AP16" s="6" t="s">
        <v>578</v>
      </c>
      <c r="AQ16" s="6" t="s">
        <v>578</v>
      </c>
      <c r="AR16" s="6" t="s">
        <v>578</v>
      </c>
      <c r="AS16" s="6" t="s">
        <v>578</v>
      </c>
      <c r="AT16" s="6" t="s">
        <v>578</v>
      </c>
      <c r="AU16" s="6" t="s">
        <v>578</v>
      </c>
      <c r="AV16" s="6" t="s">
        <v>578</v>
      </c>
      <c r="AW16" s="6" t="s">
        <v>578</v>
      </c>
      <c r="AX16" s="6" t="s">
        <v>578</v>
      </c>
      <c r="AY16" s="6" t="s">
        <v>578</v>
      </c>
      <c r="AZ16" s="6" t="s">
        <v>578</v>
      </c>
      <c r="BA16" s="6" t="s">
        <v>578</v>
      </c>
      <c r="BB16" s="6" t="s">
        <v>578</v>
      </c>
      <c r="BC16" s="6" t="s">
        <v>578</v>
      </c>
      <c r="BD16" s="6" t="s">
        <v>578</v>
      </c>
      <c r="BE16" s="6" t="s">
        <v>578</v>
      </c>
      <c r="BF16" s="6" t="s">
        <v>578</v>
      </c>
      <c r="BG16" s="6" t="s">
        <v>578</v>
      </c>
      <c r="BH16" s="6" t="s">
        <v>582</v>
      </c>
      <c r="BI16" s="6" t="s">
        <v>578</v>
      </c>
      <c r="BJ16" t="s">
        <v>578</v>
      </c>
      <c r="BK16" s="6" t="s">
        <v>578</v>
      </c>
      <c r="BL16" s="6" t="s">
        <v>578</v>
      </c>
      <c r="BM16" s="6" t="s">
        <v>578</v>
      </c>
      <c r="BN16" s="6" t="s">
        <v>578</v>
      </c>
      <c r="BO16" s="6" t="s">
        <v>578</v>
      </c>
      <c r="BP16" s="6" t="s">
        <v>578</v>
      </c>
      <c r="BQ16" s="6" t="s">
        <v>578</v>
      </c>
      <c r="BR16" s="6" t="s">
        <v>578</v>
      </c>
      <c r="BS16" s="6" t="s">
        <v>578</v>
      </c>
      <c r="BT16" s="6" t="s">
        <v>578</v>
      </c>
      <c r="BU16" s="6" t="s">
        <v>578</v>
      </c>
      <c r="BV16" s="6" t="s">
        <v>578</v>
      </c>
    </row>
    <row r="17" spans="1:74" x14ac:dyDescent="0.3">
      <c r="A17" s="6" t="s">
        <v>121</v>
      </c>
      <c r="B17" s="6" t="s">
        <v>89</v>
      </c>
      <c r="C17" s="6" t="s">
        <v>386</v>
      </c>
      <c r="D17" s="6" t="s">
        <v>665</v>
      </c>
      <c r="E17" s="6" t="s">
        <v>1</v>
      </c>
      <c r="F17" s="6" t="s">
        <v>414</v>
      </c>
      <c r="G17" s="6" t="s">
        <v>65</v>
      </c>
      <c r="H17" s="6" t="s">
        <v>585</v>
      </c>
      <c r="I17" s="6" t="s">
        <v>415</v>
      </c>
      <c r="J17" s="6" t="s">
        <v>666</v>
      </c>
      <c r="K17" s="6" t="s">
        <v>667</v>
      </c>
      <c r="L17" s="6" t="s">
        <v>578</v>
      </c>
      <c r="M17" s="6" t="s">
        <v>623</v>
      </c>
      <c r="N17" s="6" t="s">
        <v>632</v>
      </c>
      <c r="O17" s="6" t="s">
        <v>583</v>
      </c>
      <c r="P17" s="6" t="s">
        <v>650</v>
      </c>
      <c r="Q17" s="6" t="s">
        <v>650</v>
      </c>
      <c r="R17" s="6" t="s">
        <v>668</v>
      </c>
      <c r="S17" s="6" t="s">
        <v>669</v>
      </c>
      <c r="T17" s="6" t="s">
        <v>579</v>
      </c>
      <c r="U17" s="6" t="s">
        <v>578</v>
      </c>
      <c r="V17" s="6" t="s">
        <v>579</v>
      </c>
      <c r="W17" s="6" t="s">
        <v>579</v>
      </c>
      <c r="X17" s="6" t="s">
        <v>578</v>
      </c>
      <c r="Y17" s="6" t="s">
        <v>582</v>
      </c>
      <c r="Z17" s="6" t="s">
        <v>582</v>
      </c>
      <c r="AA17" s="6" t="s">
        <v>582</v>
      </c>
      <c r="AB17" s="6" t="s">
        <v>583</v>
      </c>
      <c r="AC17" s="6" t="s">
        <v>589</v>
      </c>
      <c r="AD17" s="6" t="s">
        <v>578</v>
      </c>
      <c r="AE17" s="6" t="s">
        <v>578</v>
      </c>
      <c r="AF17" s="6" t="s">
        <v>578</v>
      </c>
      <c r="AG17" s="6" t="s">
        <v>582</v>
      </c>
      <c r="AH17" s="6" t="s">
        <v>576</v>
      </c>
      <c r="AI17" s="6" t="s">
        <v>582</v>
      </c>
      <c r="AJ17" s="6" t="s">
        <v>582</v>
      </c>
      <c r="AK17" s="6" t="s">
        <v>578</v>
      </c>
      <c r="AL17" s="6" t="s">
        <v>578</v>
      </c>
      <c r="AM17" s="6" t="s">
        <v>578</v>
      </c>
      <c r="AN17" s="6" t="s">
        <v>578</v>
      </c>
      <c r="AO17" s="6" t="s">
        <v>578</v>
      </c>
      <c r="AP17" s="6" t="s">
        <v>578</v>
      </c>
      <c r="AQ17" s="6" t="s">
        <v>578</v>
      </c>
      <c r="AR17" s="6" t="s">
        <v>578</v>
      </c>
      <c r="AS17" s="6" t="s">
        <v>578</v>
      </c>
      <c r="AT17" s="6" t="s">
        <v>578</v>
      </c>
      <c r="AU17" s="6" t="s">
        <v>578</v>
      </c>
      <c r="AV17" s="6" t="s">
        <v>578</v>
      </c>
      <c r="AW17" s="6" t="s">
        <v>578</v>
      </c>
      <c r="AX17" s="6" t="s">
        <v>578</v>
      </c>
      <c r="AY17" s="6" t="s">
        <v>578</v>
      </c>
      <c r="AZ17" s="6" t="s">
        <v>578</v>
      </c>
      <c r="BA17" s="6" t="s">
        <v>578</v>
      </c>
      <c r="BB17" s="6" t="s">
        <v>578</v>
      </c>
      <c r="BC17" s="6" t="s">
        <v>578</v>
      </c>
      <c r="BD17" s="6" t="s">
        <v>578</v>
      </c>
      <c r="BE17" s="6" t="s">
        <v>578</v>
      </c>
      <c r="BF17" s="6" t="s">
        <v>578</v>
      </c>
      <c r="BG17" s="6" t="s">
        <v>578</v>
      </c>
      <c r="BH17" s="6" t="s">
        <v>582</v>
      </c>
      <c r="BI17" s="6" t="s">
        <v>578</v>
      </c>
      <c r="BJ17" t="s">
        <v>578</v>
      </c>
      <c r="BK17" s="6" t="s">
        <v>578</v>
      </c>
      <c r="BL17" s="6" t="s">
        <v>578</v>
      </c>
      <c r="BM17" s="6" t="s">
        <v>578</v>
      </c>
      <c r="BN17" s="6" t="s">
        <v>578</v>
      </c>
      <c r="BO17" s="6" t="s">
        <v>578</v>
      </c>
      <c r="BP17" s="6" t="s">
        <v>578</v>
      </c>
      <c r="BQ17" s="6" t="s">
        <v>578</v>
      </c>
      <c r="BR17" s="6" t="s">
        <v>578</v>
      </c>
      <c r="BS17" s="6" t="s">
        <v>578</v>
      </c>
      <c r="BT17" s="6" t="s">
        <v>578</v>
      </c>
      <c r="BU17" s="6" t="s">
        <v>578</v>
      </c>
      <c r="BV17" s="6" t="s">
        <v>578</v>
      </c>
    </row>
    <row r="18" spans="1:74" x14ac:dyDescent="0.3">
      <c r="A18" s="6" t="s">
        <v>122</v>
      </c>
      <c r="B18" s="6" t="s">
        <v>90</v>
      </c>
      <c r="C18" s="6" t="s">
        <v>386</v>
      </c>
      <c r="D18" s="6" t="s">
        <v>618</v>
      </c>
      <c r="E18" s="6" t="s">
        <v>1</v>
      </c>
      <c r="F18" s="6" t="s">
        <v>416</v>
      </c>
      <c r="G18" s="6" t="s">
        <v>65</v>
      </c>
      <c r="H18" s="6" t="s">
        <v>585</v>
      </c>
      <c r="I18" s="6" t="s">
        <v>417</v>
      </c>
      <c r="J18" s="6" t="s">
        <v>670</v>
      </c>
      <c r="K18" s="6" t="s">
        <v>671</v>
      </c>
      <c r="L18" s="6" t="s">
        <v>578</v>
      </c>
      <c r="M18" s="6" t="s">
        <v>604</v>
      </c>
      <c r="N18" s="6" t="s">
        <v>632</v>
      </c>
      <c r="O18" s="6" t="s">
        <v>590</v>
      </c>
      <c r="P18" s="6" t="s">
        <v>622</v>
      </c>
      <c r="Q18" s="6" t="s">
        <v>604</v>
      </c>
      <c r="R18" s="6" t="s">
        <v>672</v>
      </c>
      <c r="S18" s="6" t="s">
        <v>673</v>
      </c>
      <c r="T18" s="6" t="s">
        <v>579</v>
      </c>
      <c r="U18" s="6" t="s">
        <v>578</v>
      </c>
      <c r="V18" s="6" t="s">
        <v>579</v>
      </c>
      <c r="W18" s="6" t="s">
        <v>576</v>
      </c>
      <c r="X18" s="6" t="s">
        <v>578</v>
      </c>
      <c r="Y18" s="6" t="s">
        <v>582</v>
      </c>
      <c r="Z18" s="6" t="s">
        <v>576</v>
      </c>
      <c r="AA18" s="6" t="s">
        <v>582</v>
      </c>
      <c r="AB18" s="6" t="s">
        <v>583</v>
      </c>
      <c r="AC18" s="6" t="s">
        <v>636</v>
      </c>
      <c r="AD18" s="6" t="s">
        <v>578</v>
      </c>
      <c r="AE18" s="6" t="s">
        <v>578</v>
      </c>
      <c r="AF18" s="6" t="s">
        <v>578</v>
      </c>
      <c r="AG18" s="6" t="s">
        <v>579</v>
      </c>
      <c r="AH18" s="6" t="s">
        <v>576</v>
      </c>
      <c r="AI18" s="6" t="s">
        <v>579</v>
      </c>
      <c r="AJ18" s="6" t="s">
        <v>578</v>
      </c>
      <c r="AK18" s="6" t="s">
        <v>582</v>
      </c>
      <c r="AL18" s="6" t="s">
        <v>578</v>
      </c>
      <c r="AM18" s="6" t="s">
        <v>578</v>
      </c>
      <c r="AN18" s="6" t="s">
        <v>578</v>
      </c>
      <c r="AO18" s="6" t="s">
        <v>578</v>
      </c>
      <c r="AP18" s="6" t="s">
        <v>578</v>
      </c>
      <c r="AQ18" s="6" t="s">
        <v>578</v>
      </c>
      <c r="AR18" s="6" t="s">
        <v>578</v>
      </c>
      <c r="AS18" s="6" t="s">
        <v>578</v>
      </c>
      <c r="AT18" s="6" t="s">
        <v>578</v>
      </c>
      <c r="AU18" s="6" t="s">
        <v>578</v>
      </c>
      <c r="AV18" s="6" t="s">
        <v>578</v>
      </c>
      <c r="AW18" s="6" t="s">
        <v>578</v>
      </c>
      <c r="AX18" s="6" t="s">
        <v>578</v>
      </c>
      <c r="AY18" s="6" t="s">
        <v>578</v>
      </c>
      <c r="AZ18" s="6" t="s">
        <v>578</v>
      </c>
      <c r="BA18" s="6" t="s">
        <v>578</v>
      </c>
      <c r="BB18" s="6" t="s">
        <v>578</v>
      </c>
      <c r="BC18" s="6" t="s">
        <v>578</v>
      </c>
      <c r="BD18" s="6" t="s">
        <v>578</v>
      </c>
      <c r="BE18" s="6" t="s">
        <v>578</v>
      </c>
      <c r="BF18" s="6" t="s">
        <v>578</v>
      </c>
      <c r="BG18" s="6" t="s">
        <v>582</v>
      </c>
      <c r="BH18" s="6" t="s">
        <v>582</v>
      </c>
      <c r="BI18" s="6" t="s">
        <v>578</v>
      </c>
      <c r="BJ18" t="s">
        <v>578</v>
      </c>
      <c r="BK18" s="6" t="s">
        <v>578</v>
      </c>
      <c r="BL18" s="6" t="s">
        <v>578</v>
      </c>
      <c r="BM18" s="6" t="s">
        <v>578</v>
      </c>
      <c r="BN18" s="6" t="s">
        <v>578</v>
      </c>
      <c r="BO18" s="6" t="s">
        <v>578</v>
      </c>
      <c r="BP18" s="6" t="s">
        <v>578</v>
      </c>
      <c r="BQ18" s="6" t="s">
        <v>578</v>
      </c>
      <c r="BR18" s="6" t="s">
        <v>578</v>
      </c>
      <c r="BS18" s="6" t="s">
        <v>578</v>
      </c>
      <c r="BT18" s="6" t="s">
        <v>578</v>
      </c>
      <c r="BU18" s="6" t="s">
        <v>578</v>
      </c>
      <c r="BV18" s="6" t="s">
        <v>578</v>
      </c>
    </row>
    <row r="19" spans="1:74" x14ac:dyDescent="0.3">
      <c r="A19" s="6" t="s">
        <v>123</v>
      </c>
      <c r="B19" s="6" t="s">
        <v>91</v>
      </c>
      <c r="C19" s="6" t="s">
        <v>386</v>
      </c>
      <c r="D19" s="6" t="s">
        <v>647</v>
      </c>
      <c r="E19" s="6" t="s">
        <v>1</v>
      </c>
      <c r="F19" s="6" t="s">
        <v>418</v>
      </c>
      <c r="G19" s="6" t="s">
        <v>65</v>
      </c>
      <c r="H19" s="6" t="s">
        <v>585</v>
      </c>
      <c r="I19" s="6" t="s">
        <v>419</v>
      </c>
      <c r="J19" s="6" t="s">
        <v>674</v>
      </c>
      <c r="K19" s="6" t="s">
        <v>675</v>
      </c>
      <c r="L19" s="6" t="s">
        <v>578</v>
      </c>
      <c r="M19" s="6" t="s">
        <v>623</v>
      </c>
      <c r="N19" s="6" t="s">
        <v>632</v>
      </c>
      <c r="O19" s="6" t="s">
        <v>583</v>
      </c>
      <c r="P19" s="6" t="s">
        <v>650</v>
      </c>
      <c r="Q19" s="6" t="s">
        <v>636</v>
      </c>
      <c r="R19" s="6" t="s">
        <v>676</v>
      </c>
      <c r="S19" s="6" t="s">
        <v>677</v>
      </c>
      <c r="T19" s="6" t="s">
        <v>582</v>
      </c>
      <c r="U19" s="6" t="s">
        <v>578</v>
      </c>
      <c r="V19" s="6" t="s">
        <v>579</v>
      </c>
      <c r="W19" s="6" t="s">
        <v>579</v>
      </c>
      <c r="X19" s="6" t="s">
        <v>578</v>
      </c>
      <c r="Y19" s="6" t="s">
        <v>582</v>
      </c>
      <c r="Z19" s="6" t="s">
        <v>582</v>
      </c>
      <c r="AA19" s="6" t="s">
        <v>582</v>
      </c>
      <c r="AB19" s="6" t="s">
        <v>583</v>
      </c>
      <c r="AC19" s="6" t="s">
        <v>589</v>
      </c>
      <c r="AD19" s="6" t="s">
        <v>578</v>
      </c>
      <c r="AE19" s="6" t="s">
        <v>578</v>
      </c>
      <c r="AF19" s="6" t="s">
        <v>578</v>
      </c>
      <c r="AG19" s="6" t="s">
        <v>582</v>
      </c>
      <c r="AH19" s="6" t="s">
        <v>576</v>
      </c>
      <c r="AI19" s="6" t="s">
        <v>582</v>
      </c>
      <c r="AJ19" s="6" t="s">
        <v>578</v>
      </c>
      <c r="AK19" s="6" t="s">
        <v>578</v>
      </c>
      <c r="AL19" s="6" t="s">
        <v>578</v>
      </c>
      <c r="AM19" s="6" t="s">
        <v>578</v>
      </c>
      <c r="AN19" s="6" t="s">
        <v>578</v>
      </c>
      <c r="AO19" s="6" t="s">
        <v>578</v>
      </c>
      <c r="AP19" s="6" t="s">
        <v>578</v>
      </c>
      <c r="AQ19" s="6" t="s">
        <v>578</v>
      </c>
      <c r="AR19" s="6" t="s">
        <v>578</v>
      </c>
      <c r="AS19" s="6" t="s">
        <v>578</v>
      </c>
      <c r="AT19" s="6" t="s">
        <v>578</v>
      </c>
      <c r="AU19" s="6" t="s">
        <v>578</v>
      </c>
      <c r="AV19" s="6" t="s">
        <v>578</v>
      </c>
      <c r="AW19" s="6" t="s">
        <v>578</v>
      </c>
      <c r="AX19" s="6" t="s">
        <v>578</v>
      </c>
      <c r="AY19" s="6" t="s">
        <v>578</v>
      </c>
      <c r="AZ19" s="6" t="s">
        <v>578</v>
      </c>
      <c r="BA19" s="6" t="s">
        <v>578</v>
      </c>
      <c r="BB19" s="6" t="s">
        <v>578</v>
      </c>
      <c r="BC19" s="6" t="s">
        <v>578</v>
      </c>
      <c r="BD19" s="6" t="s">
        <v>578</v>
      </c>
      <c r="BE19" s="6" t="s">
        <v>578</v>
      </c>
      <c r="BF19" s="6" t="s">
        <v>578</v>
      </c>
      <c r="BG19" s="6" t="s">
        <v>582</v>
      </c>
      <c r="BH19" s="6" t="s">
        <v>582</v>
      </c>
      <c r="BI19" s="6" t="s">
        <v>578</v>
      </c>
      <c r="BJ19" t="s">
        <v>578</v>
      </c>
      <c r="BK19" s="6" t="s">
        <v>578</v>
      </c>
      <c r="BL19" s="6" t="s">
        <v>578</v>
      </c>
      <c r="BM19" s="6" t="s">
        <v>578</v>
      </c>
      <c r="BN19" s="6" t="s">
        <v>578</v>
      </c>
      <c r="BO19" s="6" t="s">
        <v>578</v>
      </c>
      <c r="BP19" s="6" t="s">
        <v>578</v>
      </c>
      <c r="BQ19" s="6" t="s">
        <v>578</v>
      </c>
      <c r="BR19" s="6" t="s">
        <v>578</v>
      </c>
      <c r="BS19" s="6" t="s">
        <v>578</v>
      </c>
      <c r="BT19" s="6" t="s">
        <v>578</v>
      </c>
      <c r="BU19" s="6" t="s">
        <v>578</v>
      </c>
      <c r="BV19" s="6" t="s">
        <v>578</v>
      </c>
    </row>
    <row r="20" spans="1:74" x14ac:dyDescent="0.3">
      <c r="A20" s="6" t="s">
        <v>124</v>
      </c>
      <c r="B20" s="6" t="s">
        <v>92</v>
      </c>
      <c r="C20" s="6" t="s">
        <v>386</v>
      </c>
      <c r="D20" s="6" t="s">
        <v>618</v>
      </c>
      <c r="E20" s="6" t="s">
        <v>1</v>
      </c>
      <c r="F20" s="6" t="s">
        <v>420</v>
      </c>
      <c r="G20" s="6" t="s">
        <v>65</v>
      </c>
      <c r="H20" s="6" t="s">
        <v>585</v>
      </c>
      <c r="I20" s="6" t="s">
        <v>421</v>
      </c>
      <c r="J20" s="6" t="s">
        <v>678</v>
      </c>
      <c r="K20" s="6" t="s">
        <v>679</v>
      </c>
      <c r="L20" s="6" t="s">
        <v>655</v>
      </c>
      <c r="M20" s="6" t="s">
        <v>622</v>
      </c>
      <c r="N20" s="6" t="s">
        <v>632</v>
      </c>
      <c r="O20" s="6" t="s">
        <v>590</v>
      </c>
      <c r="P20" s="6" t="s">
        <v>623</v>
      </c>
      <c r="Q20" s="6" t="s">
        <v>604</v>
      </c>
      <c r="R20" s="6" t="s">
        <v>672</v>
      </c>
      <c r="S20" s="6" t="s">
        <v>680</v>
      </c>
      <c r="T20" s="6" t="s">
        <v>579</v>
      </c>
      <c r="U20" s="6" t="s">
        <v>582</v>
      </c>
      <c r="V20" s="6" t="s">
        <v>579</v>
      </c>
      <c r="W20" s="6" t="s">
        <v>576</v>
      </c>
      <c r="X20" s="6" t="s">
        <v>578</v>
      </c>
      <c r="Y20" s="6" t="s">
        <v>582</v>
      </c>
      <c r="Z20" s="6" t="s">
        <v>576</v>
      </c>
      <c r="AA20" s="6" t="s">
        <v>582</v>
      </c>
      <c r="AB20" s="6" t="s">
        <v>583</v>
      </c>
      <c r="AC20" s="6" t="s">
        <v>636</v>
      </c>
      <c r="AD20" s="6" t="s">
        <v>578</v>
      </c>
      <c r="AE20" s="6" t="s">
        <v>578</v>
      </c>
      <c r="AF20" s="6" t="s">
        <v>578</v>
      </c>
      <c r="AG20" s="6" t="s">
        <v>579</v>
      </c>
      <c r="AH20" s="6" t="s">
        <v>576</v>
      </c>
      <c r="AI20" s="6" t="s">
        <v>579</v>
      </c>
      <c r="AJ20" s="6" t="s">
        <v>578</v>
      </c>
      <c r="AK20" s="6" t="s">
        <v>582</v>
      </c>
      <c r="AL20" s="6" t="s">
        <v>578</v>
      </c>
      <c r="AM20" s="6" t="s">
        <v>578</v>
      </c>
      <c r="AN20" s="6" t="s">
        <v>578</v>
      </c>
      <c r="AO20" s="6" t="s">
        <v>578</v>
      </c>
      <c r="AP20" s="6" t="s">
        <v>578</v>
      </c>
      <c r="AQ20" s="6" t="s">
        <v>578</v>
      </c>
      <c r="AR20" s="6" t="s">
        <v>578</v>
      </c>
      <c r="AS20" s="6" t="s">
        <v>578</v>
      </c>
      <c r="AT20" s="6" t="s">
        <v>578</v>
      </c>
      <c r="AU20" s="6" t="s">
        <v>578</v>
      </c>
      <c r="AV20" s="6" t="s">
        <v>578</v>
      </c>
      <c r="AW20" s="6" t="s">
        <v>578</v>
      </c>
      <c r="AX20" s="6" t="s">
        <v>578</v>
      </c>
      <c r="AY20" s="6" t="s">
        <v>578</v>
      </c>
      <c r="AZ20" s="6" t="s">
        <v>578</v>
      </c>
      <c r="BA20" s="6" t="s">
        <v>578</v>
      </c>
      <c r="BB20" s="6" t="s">
        <v>578</v>
      </c>
      <c r="BC20" s="6" t="s">
        <v>578</v>
      </c>
      <c r="BD20" s="6" t="s">
        <v>578</v>
      </c>
      <c r="BE20" s="6" t="s">
        <v>578</v>
      </c>
      <c r="BF20" s="6" t="s">
        <v>578</v>
      </c>
      <c r="BG20" s="6" t="s">
        <v>582</v>
      </c>
      <c r="BH20" s="6" t="s">
        <v>578</v>
      </c>
      <c r="BI20" s="6" t="s">
        <v>578</v>
      </c>
      <c r="BJ20" t="s">
        <v>578</v>
      </c>
      <c r="BK20" s="6" t="s">
        <v>578</v>
      </c>
      <c r="BL20" s="6" t="s">
        <v>578</v>
      </c>
      <c r="BM20" s="6" t="s">
        <v>578</v>
      </c>
      <c r="BN20" s="6" t="s">
        <v>578</v>
      </c>
      <c r="BO20" s="6" t="s">
        <v>578</v>
      </c>
      <c r="BP20" s="6" t="s">
        <v>578</v>
      </c>
      <c r="BQ20" s="6" t="s">
        <v>578</v>
      </c>
      <c r="BR20" s="6" t="s">
        <v>578</v>
      </c>
      <c r="BS20" s="6" t="s">
        <v>578</v>
      </c>
      <c r="BT20" s="6" t="s">
        <v>578</v>
      </c>
      <c r="BU20" s="6" t="s">
        <v>578</v>
      </c>
      <c r="BV20" s="6" t="s">
        <v>578</v>
      </c>
    </row>
    <row r="21" spans="1:74" x14ac:dyDescent="0.3">
      <c r="A21" s="6" t="s">
        <v>125</v>
      </c>
      <c r="B21" s="6" t="s">
        <v>93</v>
      </c>
      <c r="C21" s="6" t="s">
        <v>386</v>
      </c>
      <c r="D21" s="6" t="s">
        <v>647</v>
      </c>
      <c r="E21" s="6" t="s">
        <v>1</v>
      </c>
      <c r="F21" s="6" t="s">
        <v>422</v>
      </c>
      <c r="G21" s="6" t="s">
        <v>65</v>
      </c>
      <c r="H21" s="6" t="s">
        <v>585</v>
      </c>
      <c r="I21" s="6" t="s">
        <v>423</v>
      </c>
      <c r="J21" s="6" t="s">
        <v>681</v>
      </c>
      <c r="K21" s="6" t="s">
        <v>682</v>
      </c>
      <c r="L21" s="6" t="s">
        <v>655</v>
      </c>
      <c r="M21" s="6" t="s">
        <v>650</v>
      </c>
      <c r="N21" s="6" t="s">
        <v>632</v>
      </c>
      <c r="O21" s="6" t="s">
        <v>583</v>
      </c>
      <c r="P21" s="6" t="s">
        <v>636</v>
      </c>
      <c r="Q21" s="6" t="s">
        <v>636</v>
      </c>
      <c r="R21" s="6" t="s">
        <v>676</v>
      </c>
      <c r="S21" s="6" t="s">
        <v>683</v>
      </c>
      <c r="T21" s="6" t="s">
        <v>582</v>
      </c>
      <c r="U21" s="6" t="s">
        <v>582</v>
      </c>
      <c r="V21" s="6" t="s">
        <v>579</v>
      </c>
      <c r="W21" s="6" t="s">
        <v>579</v>
      </c>
      <c r="X21" s="6" t="s">
        <v>578</v>
      </c>
      <c r="Y21" s="6" t="s">
        <v>582</v>
      </c>
      <c r="Z21" s="6" t="s">
        <v>582</v>
      </c>
      <c r="AA21" s="6" t="s">
        <v>582</v>
      </c>
      <c r="AB21" s="6" t="s">
        <v>583</v>
      </c>
      <c r="AC21" s="6" t="s">
        <v>589</v>
      </c>
      <c r="AD21" s="6" t="s">
        <v>578</v>
      </c>
      <c r="AE21" s="6" t="s">
        <v>578</v>
      </c>
      <c r="AF21" s="6" t="s">
        <v>578</v>
      </c>
      <c r="AG21" s="6" t="s">
        <v>582</v>
      </c>
      <c r="AH21" s="6" t="s">
        <v>576</v>
      </c>
      <c r="AI21" s="6" t="s">
        <v>582</v>
      </c>
      <c r="AJ21" s="6" t="s">
        <v>578</v>
      </c>
      <c r="AK21" s="6" t="s">
        <v>578</v>
      </c>
      <c r="AL21" s="6" t="s">
        <v>578</v>
      </c>
      <c r="AM21" s="6" t="s">
        <v>578</v>
      </c>
      <c r="AN21" s="6" t="s">
        <v>578</v>
      </c>
      <c r="AO21" s="6" t="s">
        <v>578</v>
      </c>
      <c r="AP21" s="6" t="s">
        <v>578</v>
      </c>
      <c r="AQ21" s="6" t="s">
        <v>578</v>
      </c>
      <c r="AR21" s="6" t="s">
        <v>578</v>
      </c>
      <c r="AS21" s="6" t="s">
        <v>578</v>
      </c>
      <c r="AT21" s="6" t="s">
        <v>578</v>
      </c>
      <c r="AU21" s="6" t="s">
        <v>578</v>
      </c>
      <c r="AV21" s="6" t="s">
        <v>578</v>
      </c>
      <c r="AW21" s="6" t="s">
        <v>578</v>
      </c>
      <c r="AX21" s="6" t="s">
        <v>578</v>
      </c>
      <c r="AY21" s="6" t="s">
        <v>578</v>
      </c>
      <c r="AZ21" s="6" t="s">
        <v>578</v>
      </c>
      <c r="BA21" s="6" t="s">
        <v>578</v>
      </c>
      <c r="BB21" s="6" t="s">
        <v>578</v>
      </c>
      <c r="BC21" s="6" t="s">
        <v>578</v>
      </c>
      <c r="BD21" s="6" t="s">
        <v>578</v>
      </c>
      <c r="BE21" s="6" t="s">
        <v>578</v>
      </c>
      <c r="BF21" s="6" t="s">
        <v>578</v>
      </c>
      <c r="BG21" s="6" t="s">
        <v>582</v>
      </c>
      <c r="BH21" s="6" t="s">
        <v>578</v>
      </c>
      <c r="BI21" s="6" t="s">
        <v>578</v>
      </c>
      <c r="BJ21" t="s">
        <v>578</v>
      </c>
      <c r="BK21" s="6" t="s">
        <v>578</v>
      </c>
      <c r="BL21" s="6" t="s">
        <v>578</v>
      </c>
      <c r="BM21" s="6" t="s">
        <v>578</v>
      </c>
      <c r="BN21" s="6" t="s">
        <v>578</v>
      </c>
      <c r="BO21" s="6" t="s">
        <v>578</v>
      </c>
      <c r="BP21" s="6" t="s">
        <v>578</v>
      </c>
      <c r="BQ21" s="6" t="s">
        <v>578</v>
      </c>
      <c r="BR21" s="6" t="s">
        <v>578</v>
      </c>
      <c r="BS21" s="6" t="s">
        <v>578</v>
      </c>
      <c r="BT21" s="6" t="s">
        <v>578</v>
      </c>
      <c r="BU21" s="6" t="s">
        <v>578</v>
      </c>
      <c r="BV21" s="6" t="s">
        <v>578</v>
      </c>
    </row>
    <row r="22" spans="1:74" x14ac:dyDescent="0.3">
      <c r="A22" s="6" t="s">
        <v>126</v>
      </c>
      <c r="B22" s="6" t="s">
        <v>94</v>
      </c>
      <c r="C22" s="6" t="s">
        <v>386</v>
      </c>
      <c r="D22" s="6" t="s">
        <v>660</v>
      </c>
      <c r="E22" s="6" t="s">
        <v>1</v>
      </c>
      <c r="F22" s="6" t="s">
        <v>424</v>
      </c>
      <c r="G22" s="6" t="s">
        <v>65</v>
      </c>
      <c r="H22" s="6" t="s">
        <v>585</v>
      </c>
      <c r="I22" s="6" t="s">
        <v>425</v>
      </c>
      <c r="J22" s="6" t="s">
        <v>684</v>
      </c>
      <c r="K22" s="6" t="s">
        <v>685</v>
      </c>
      <c r="L22" s="6" t="s">
        <v>578</v>
      </c>
      <c r="M22" s="6" t="s">
        <v>604</v>
      </c>
      <c r="N22" s="6" t="s">
        <v>632</v>
      </c>
      <c r="O22" s="6" t="s">
        <v>590</v>
      </c>
      <c r="P22" s="6" t="s">
        <v>622</v>
      </c>
      <c r="Q22" s="6" t="s">
        <v>604</v>
      </c>
      <c r="R22" s="6" t="s">
        <v>686</v>
      </c>
      <c r="S22" s="6" t="s">
        <v>687</v>
      </c>
      <c r="T22" s="6" t="s">
        <v>579</v>
      </c>
      <c r="U22" s="6" t="s">
        <v>578</v>
      </c>
      <c r="V22" s="6" t="s">
        <v>579</v>
      </c>
      <c r="W22" s="6" t="s">
        <v>576</v>
      </c>
      <c r="X22" s="6" t="s">
        <v>578</v>
      </c>
      <c r="Y22" s="6" t="s">
        <v>582</v>
      </c>
      <c r="Z22" s="6" t="s">
        <v>576</v>
      </c>
      <c r="AA22" s="6" t="s">
        <v>582</v>
      </c>
      <c r="AB22" s="6" t="s">
        <v>583</v>
      </c>
      <c r="AC22" s="6" t="s">
        <v>636</v>
      </c>
      <c r="AD22" s="6" t="s">
        <v>578</v>
      </c>
      <c r="AE22" s="6" t="s">
        <v>578</v>
      </c>
      <c r="AF22" s="6" t="s">
        <v>578</v>
      </c>
      <c r="AG22" s="6" t="s">
        <v>579</v>
      </c>
      <c r="AH22" s="6" t="s">
        <v>576</v>
      </c>
      <c r="AI22" s="6" t="s">
        <v>579</v>
      </c>
      <c r="AJ22" s="6" t="s">
        <v>582</v>
      </c>
      <c r="AK22" s="6" t="s">
        <v>582</v>
      </c>
      <c r="AL22" s="6" t="s">
        <v>578</v>
      </c>
      <c r="AM22" s="6" t="s">
        <v>578</v>
      </c>
      <c r="AN22" s="6" t="s">
        <v>578</v>
      </c>
      <c r="AO22" s="6" t="s">
        <v>578</v>
      </c>
      <c r="AP22" s="6" t="s">
        <v>578</v>
      </c>
      <c r="AQ22" s="6" t="s">
        <v>578</v>
      </c>
      <c r="AR22" s="6" t="s">
        <v>578</v>
      </c>
      <c r="AS22" s="6" t="s">
        <v>578</v>
      </c>
      <c r="AT22" s="6" t="s">
        <v>578</v>
      </c>
      <c r="AU22" s="6" t="s">
        <v>578</v>
      </c>
      <c r="AV22" s="6" t="s">
        <v>578</v>
      </c>
      <c r="AW22" s="6" t="s">
        <v>578</v>
      </c>
      <c r="AX22" s="6" t="s">
        <v>578</v>
      </c>
      <c r="AY22" s="6" t="s">
        <v>578</v>
      </c>
      <c r="AZ22" s="6" t="s">
        <v>578</v>
      </c>
      <c r="BA22" s="6" t="s">
        <v>578</v>
      </c>
      <c r="BB22" s="6" t="s">
        <v>578</v>
      </c>
      <c r="BC22" s="6" t="s">
        <v>578</v>
      </c>
      <c r="BD22" s="6" t="s">
        <v>578</v>
      </c>
      <c r="BE22" s="6" t="s">
        <v>578</v>
      </c>
      <c r="BF22" s="6" t="s">
        <v>578</v>
      </c>
      <c r="BG22" s="6" t="s">
        <v>582</v>
      </c>
      <c r="BH22" s="6" t="s">
        <v>582</v>
      </c>
      <c r="BI22" s="6" t="s">
        <v>578</v>
      </c>
      <c r="BJ22" t="s">
        <v>578</v>
      </c>
      <c r="BK22" s="6" t="s">
        <v>578</v>
      </c>
      <c r="BL22" s="6" t="s">
        <v>578</v>
      </c>
      <c r="BM22" s="6" t="s">
        <v>578</v>
      </c>
      <c r="BN22" s="6" t="s">
        <v>578</v>
      </c>
      <c r="BO22" s="6" t="s">
        <v>578</v>
      </c>
      <c r="BP22" s="6" t="s">
        <v>578</v>
      </c>
      <c r="BQ22" s="6" t="s">
        <v>578</v>
      </c>
      <c r="BR22" s="6" t="s">
        <v>578</v>
      </c>
      <c r="BS22" s="6" t="s">
        <v>578</v>
      </c>
      <c r="BT22" s="6" t="s">
        <v>578</v>
      </c>
      <c r="BU22" s="6" t="s">
        <v>578</v>
      </c>
      <c r="BV22" s="6" t="s">
        <v>578</v>
      </c>
    </row>
    <row r="23" spans="1:74" x14ac:dyDescent="0.3">
      <c r="A23" s="6" t="s">
        <v>127</v>
      </c>
      <c r="B23" s="6" t="s">
        <v>95</v>
      </c>
      <c r="C23" s="6" t="s">
        <v>386</v>
      </c>
      <c r="D23" s="6" t="s">
        <v>665</v>
      </c>
      <c r="E23" s="6" t="s">
        <v>1</v>
      </c>
      <c r="F23" s="6" t="s">
        <v>426</v>
      </c>
      <c r="G23" s="6" t="s">
        <v>65</v>
      </c>
      <c r="H23" s="6" t="s">
        <v>585</v>
      </c>
      <c r="I23" s="6" t="s">
        <v>427</v>
      </c>
      <c r="J23" s="6" t="s">
        <v>688</v>
      </c>
      <c r="K23" s="6" t="s">
        <v>689</v>
      </c>
      <c r="L23" s="6" t="s">
        <v>578</v>
      </c>
      <c r="M23" s="6" t="s">
        <v>623</v>
      </c>
      <c r="N23" s="6" t="s">
        <v>632</v>
      </c>
      <c r="O23" s="6" t="s">
        <v>583</v>
      </c>
      <c r="P23" s="6" t="s">
        <v>650</v>
      </c>
      <c r="Q23" s="6" t="s">
        <v>636</v>
      </c>
      <c r="R23" s="6" t="s">
        <v>690</v>
      </c>
      <c r="S23" s="6" t="s">
        <v>691</v>
      </c>
      <c r="T23" s="6" t="s">
        <v>582</v>
      </c>
      <c r="U23" s="6" t="s">
        <v>578</v>
      </c>
      <c r="V23" s="6" t="s">
        <v>579</v>
      </c>
      <c r="W23" s="6" t="s">
        <v>579</v>
      </c>
      <c r="X23" s="6" t="s">
        <v>578</v>
      </c>
      <c r="Y23" s="6" t="s">
        <v>582</v>
      </c>
      <c r="Z23" s="6" t="s">
        <v>582</v>
      </c>
      <c r="AA23" s="6" t="s">
        <v>582</v>
      </c>
      <c r="AB23" s="6" t="s">
        <v>583</v>
      </c>
      <c r="AC23" s="6" t="s">
        <v>589</v>
      </c>
      <c r="AD23" s="6" t="s">
        <v>578</v>
      </c>
      <c r="AE23" s="6" t="s">
        <v>578</v>
      </c>
      <c r="AF23" s="6" t="s">
        <v>578</v>
      </c>
      <c r="AG23" s="6" t="s">
        <v>582</v>
      </c>
      <c r="AH23" s="6" t="s">
        <v>576</v>
      </c>
      <c r="AI23" s="6" t="s">
        <v>582</v>
      </c>
      <c r="AJ23" s="6" t="s">
        <v>582</v>
      </c>
      <c r="AK23" s="6" t="s">
        <v>578</v>
      </c>
      <c r="AL23" s="6" t="s">
        <v>578</v>
      </c>
      <c r="AM23" s="6" t="s">
        <v>578</v>
      </c>
      <c r="AN23" s="6" t="s">
        <v>578</v>
      </c>
      <c r="AO23" s="6" t="s">
        <v>578</v>
      </c>
      <c r="AP23" s="6" t="s">
        <v>578</v>
      </c>
      <c r="AQ23" s="6" t="s">
        <v>578</v>
      </c>
      <c r="AR23" s="6" t="s">
        <v>578</v>
      </c>
      <c r="AS23" s="6" t="s">
        <v>578</v>
      </c>
      <c r="AT23" s="6" t="s">
        <v>578</v>
      </c>
      <c r="AU23" s="6" t="s">
        <v>578</v>
      </c>
      <c r="AV23" s="6" t="s">
        <v>578</v>
      </c>
      <c r="AW23" s="6" t="s">
        <v>578</v>
      </c>
      <c r="AX23" s="6" t="s">
        <v>578</v>
      </c>
      <c r="AY23" s="6" t="s">
        <v>578</v>
      </c>
      <c r="AZ23" s="6" t="s">
        <v>578</v>
      </c>
      <c r="BA23" s="6" t="s">
        <v>578</v>
      </c>
      <c r="BB23" s="6" t="s">
        <v>578</v>
      </c>
      <c r="BC23" s="6" t="s">
        <v>578</v>
      </c>
      <c r="BD23" s="6" t="s">
        <v>578</v>
      </c>
      <c r="BE23" s="6" t="s">
        <v>578</v>
      </c>
      <c r="BF23" s="6" t="s">
        <v>578</v>
      </c>
      <c r="BG23" s="6" t="s">
        <v>582</v>
      </c>
      <c r="BH23" s="6" t="s">
        <v>582</v>
      </c>
      <c r="BI23" s="6" t="s">
        <v>578</v>
      </c>
      <c r="BJ23" t="s">
        <v>578</v>
      </c>
      <c r="BK23" s="6" t="s">
        <v>578</v>
      </c>
      <c r="BL23" s="6" t="s">
        <v>578</v>
      </c>
      <c r="BM23" s="6" t="s">
        <v>578</v>
      </c>
      <c r="BN23" s="6" t="s">
        <v>578</v>
      </c>
      <c r="BO23" s="6" t="s">
        <v>578</v>
      </c>
      <c r="BP23" s="6" t="s">
        <v>578</v>
      </c>
      <c r="BQ23" s="6" t="s">
        <v>578</v>
      </c>
      <c r="BR23" s="6" t="s">
        <v>578</v>
      </c>
      <c r="BS23" s="6" t="s">
        <v>578</v>
      </c>
      <c r="BT23" s="6" t="s">
        <v>578</v>
      </c>
      <c r="BU23" s="6" t="s">
        <v>578</v>
      </c>
      <c r="BV23" s="6" t="s">
        <v>578</v>
      </c>
    </row>
    <row r="24" spans="1:74" x14ac:dyDescent="0.3">
      <c r="A24" s="6" t="s">
        <v>128</v>
      </c>
      <c r="B24" s="6" t="s">
        <v>96</v>
      </c>
      <c r="C24" s="6" t="s">
        <v>386</v>
      </c>
      <c r="D24" s="6" t="s">
        <v>618</v>
      </c>
      <c r="E24" s="6" t="s">
        <v>1</v>
      </c>
      <c r="F24" s="6" t="s">
        <v>428</v>
      </c>
      <c r="G24" s="6" t="s">
        <v>65</v>
      </c>
      <c r="H24" s="6" t="s">
        <v>585</v>
      </c>
      <c r="I24" s="6" t="s">
        <v>429</v>
      </c>
      <c r="J24" s="6" t="s">
        <v>692</v>
      </c>
      <c r="K24" s="6" t="s">
        <v>693</v>
      </c>
      <c r="L24" s="6" t="s">
        <v>614</v>
      </c>
      <c r="M24" s="6" t="s">
        <v>623</v>
      </c>
      <c r="N24" s="6" t="s">
        <v>694</v>
      </c>
      <c r="O24" s="6" t="s">
        <v>583</v>
      </c>
      <c r="P24" s="6" t="s">
        <v>650</v>
      </c>
      <c r="Q24" s="6" t="s">
        <v>633</v>
      </c>
      <c r="R24" s="6" t="s">
        <v>634</v>
      </c>
      <c r="S24" s="6" t="s">
        <v>695</v>
      </c>
      <c r="T24" s="6" t="s">
        <v>578</v>
      </c>
      <c r="U24" s="6" t="s">
        <v>578</v>
      </c>
      <c r="V24" s="6" t="s">
        <v>582</v>
      </c>
      <c r="W24" s="6" t="s">
        <v>576</v>
      </c>
      <c r="X24" s="6" t="s">
        <v>582</v>
      </c>
      <c r="Y24" s="6" t="s">
        <v>582</v>
      </c>
      <c r="Z24" s="6" t="s">
        <v>576</v>
      </c>
      <c r="AA24" s="6" t="s">
        <v>582</v>
      </c>
      <c r="AB24" s="6" t="s">
        <v>576</v>
      </c>
      <c r="AC24" s="6" t="s">
        <v>590</v>
      </c>
      <c r="AD24" s="6" t="s">
        <v>579</v>
      </c>
      <c r="AE24" s="6" t="s">
        <v>579</v>
      </c>
      <c r="AF24" s="6" t="s">
        <v>578</v>
      </c>
      <c r="AG24" s="6" t="s">
        <v>579</v>
      </c>
      <c r="AH24" s="6" t="s">
        <v>579</v>
      </c>
      <c r="AI24" s="6" t="s">
        <v>576</v>
      </c>
      <c r="AJ24" s="6" t="s">
        <v>578</v>
      </c>
      <c r="AK24" s="6" t="s">
        <v>576</v>
      </c>
      <c r="AL24" s="6" t="s">
        <v>582</v>
      </c>
      <c r="AM24" s="6" t="s">
        <v>578</v>
      </c>
      <c r="AN24" s="6" t="s">
        <v>578</v>
      </c>
      <c r="AO24" s="6" t="s">
        <v>578</v>
      </c>
      <c r="AP24" s="6" t="s">
        <v>578</v>
      </c>
      <c r="AQ24" s="6" t="s">
        <v>578</v>
      </c>
      <c r="AR24" s="6" t="s">
        <v>578</v>
      </c>
      <c r="AS24" s="6" t="s">
        <v>578</v>
      </c>
      <c r="AT24" s="6" t="s">
        <v>578</v>
      </c>
      <c r="AU24" s="6" t="s">
        <v>578</v>
      </c>
      <c r="AV24" s="6" t="s">
        <v>578</v>
      </c>
      <c r="AW24" s="6" t="s">
        <v>578</v>
      </c>
      <c r="AX24" s="6" t="s">
        <v>578</v>
      </c>
      <c r="AY24" s="6" t="s">
        <v>578</v>
      </c>
      <c r="AZ24" s="6" t="s">
        <v>578</v>
      </c>
      <c r="BA24" s="6" t="s">
        <v>578</v>
      </c>
      <c r="BB24" s="6" t="s">
        <v>578</v>
      </c>
      <c r="BC24" s="6" t="s">
        <v>578</v>
      </c>
      <c r="BD24" s="6" t="s">
        <v>578</v>
      </c>
      <c r="BE24" s="6" t="s">
        <v>578</v>
      </c>
      <c r="BF24" s="6" t="s">
        <v>578</v>
      </c>
      <c r="BG24" s="6" t="s">
        <v>578</v>
      </c>
      <c r="BH24" s="6" t="s">
        <v>582</v>
      </c>
      <c r="BI24" s="6" t="s">
        <v>578</v>
      </c>
      <c r="BJ24" t="s">
        <v>578</v>
      </c>
      <c r="BK24" s="6" t="s">
        <v>578</v>
      </c>
      <c r="BL24" s="6" t="s">
        <v>578</v>
      </c>
      <c r="BM24" s="6" t="s">
        <v>578</v>
      </c>
      <c r="BN24" s="6" t="s">
        <v>578</v>
      </c>
      <c r="BO24" s="6" t="s">
        <v>578</v>
      </c>
      <c r="BP24" s="6" t="s">
        <v>578</v>
      </c>
      <c r="BQ24" s="6" t="s">
        <v>578</v>
      </c>
      <c r="BR24" s="6" t="s">
        <v>578</v>
      </c>
      <c r="BS24" s="6" t="s">
        <v>578</v>
      </c>
      <c r="BT24" s="6" t="s">
        <v>578</v>
      </c>
      <c r="BU24" s="6" t="s">
        <v>578</v>
      </c>
      <c r="BV24" s="6" t="s">
        <v>578</v>
      </c>
    </row>
    <row r="25" spans="1:74" x14ac:dyDescent="0.3">
      <c r="A25" s="6" t="s">
        <v>129</v>
      </c>
      <c r="B25" s="6" t="s">
        <v>97</v>
      </c>
      <c r="C25" s="6" t="s">
        <v>386</v>
      </c>
      <c r="D25" s="6" t="s">
        <v>647</v>
      </c>
      <c r="E25" s="6" t="s">
        <v>1</v>
      </c>
      <c r="F25" s="6" t="s">
        <v>430</v>
      </c>
      <c r="G25" s="6" t="s">
        <v>65</v>
      </c>
      <c r="H25" s="6" t="s">
        <v>585</v>
      </c>
      <c r="I25" s="6" t="s">
        <v>431</v>
      </c>
      <c r="J25" s="6" t="s">
        <v>696</v>
      </c>
      <c r="K25" s="6" t="s">
        <v>697</v>
      </c>
      <c r="L25" s="6" t="s">
        <v>614</v>
      </c>
      <c r="M25" s="6" t="s">
        <v>650</v>
      </c>
      <c r="N25" s="6" t="s">
        <v>583</v>
      </c>
      <c r="O25" s="6" t="s">
        <v>576</v>
      </c>
      <c r="P25" s="6" t="s">
        <v>636</v>
      </c>
      <c r="Q25" s="6" t="s">
        <v>650</v>
      </c>
      <c r="R25" s="6" t="s">
        <v>651</v>
      </c>
      <c r="S25" s="6" t="s">
        <v>698</v>
      </c>
      <c r="T25" s="6" t="s">
        <v>578</v>
      </c>
      <c r="U25" s="6" t="s">
        <v>578</v>
      </c>
      <c r="V25" s="6" t="s">
        <v>582</v>
      </c>
      <c r="W25" s="6" t="s">
        <v>579</v>
      </c>
      <c r="X25" s="6" t="s">
        <v>582</v>
      </c>
      <c r="Y25" s="6" t="s">
        <v>582</v>
      </c>
      <c r="Z25" s="6" t="s">
        <v>579</v>
      </c>
      <c r="AA25" s="6" t="s">
        <v>578</v>
      </c>
      <c r="AB25" s="6" t="s">
        <v>576</v>
      </c>
      <c r="AC25" s="6" t="s">
        <v>583</v>
      </c>
      <c r="AD25" s="6" t="s">
        <v>582</v>
      </c>
      <c r="AE25" s="6" t="s">
        <v>579</v>
      </c>
      <c r="AF25" s="6" t="s">
        <v>578</v>
      </c>
      <c r="AG25" s="6" t="s">
        <v>582</v>
      </c>
      <c r="AH25" s="6" t="s">
        <v>579</v>
      </c>
      <c r="AI25" s="6" t="s">
        <v>582</v>
      </c>
      <c r="AJ25" s="6" t="s">
        <v>578</v>
      </c>
      <c r="AK25" s="6" t="s">
        <v>579</v>
      </c>
      <c r="AL25" s="6" t="s">
        <v>582</v>
      </c>
      <c r="AM25" s="6" t="s">
        <v>578</v>
      </c>
      <c r="AN25" s="6" t="s">
        <v>578</v>
      </c>
      <c r="AO25" s="6" t="s">
        <v>578</v>
      </c>
      <c r="AP25" s="6" t="s">
        <v>578</v>
      </c>
      <c r="AQ25" s="6" t="s">
        <v>578</v>
      </c>
      <c r="AR25" s="6" t="s">
        <v>578</v>
      </c>
      <c r="AS25" s="6" t="s">
        <v>578</v>
      </c>
      <c r="AT25" s="6" t="s">
        <v>578</v>
      </c>
      <c r="AU25" s="6" t="s">
        <v>578</v>
      </c>
      <c r="AV25" s="6" t="s">
        <v>578</v>
      </c>
      <c r="AW25" s="6" t="s">
        <v>578</v>
      </c>
      <c r="AX25" s="6" t="s">
        <v>578</v>
      </c>
      <c r="AY25" s="6" t="s">
        <v>578</v>
      </c>
      <c r="AZ25" s="6" t="s">
        <v>578</v>
      </c>
      <c r="BA25" s="6" t="s">
        <v>578</v>
      </c>
      <c r="BB25" s="6" t="s">
        <v>578</v>
      </c>
      <c r="BC25" s="6" t="s">
        <v>578</v>
      </c>
      <c r="BD25" s="6" t="s">
        <v>578</v>
      </c>
      <c r="BE25" s="6" t="s">
        <v>578</v>
      </c>
      <c r="BF25" s="6" t="s">
        <v>578</v>
      </c>
      <c r="BG25" s="6" t="s">
        <v>578</v>
      </c>
      <c r="BH25" s="6" t="s">
        <v>582</v>
      </c>
      <c r="BI25" s="6" t="s">
        <v>578</v>
      </c>
      <c r="BJ25" t="s">
        <v>578</v>
      </c>
      <c r="BK25" s="6" t="s">
        <v>578</v>
      </c>
      <c r="BL25" s="6" t="s">
        <v>578</v>
      </c>
      <c r="BM25" s="6" t="s">
        <v>578</v>
      </c>
      <c r="BN25" s="6" t="s">
        <v>578</v>
      </c>
      <c r="BO25" s="6" t="s">
        <v>578</v>
      </c>
      <c r="BP25" s="6" t="s">
        <v>578</v>
      </c>
      <c r="BQ25" s="6" t="s">
        <v>578</v>
      </c>
      <c r="BR25" s="6" t="s">
        <v>578</v>
      </c>
      <c r="BS25" s="6" t="s">
        <v>578</v>
      </c>
      <c r="BT25" s="6" t="s">
        <v>578</v>
      </c>
      <c r="BU25" s="6" t="s">
        <v>578</v>
      </c>
      <c r="BV25" s="6" t="s">
        <v>578</v>
      </c>
    </row>
    <row r="26" spans="1:74" x14ac:dyDescent="0.3">
      <c r="A26" s="6" t="s">
        <v>130</v>
      </c>
      <c r="B26" s="6" t="s">
        <v>98</v>
      </c>
      <c r="C26" s="6" t="s">
        <v>386</v>
      </c>
      <c r="D26" s="6" t="s">
        <v>618</v>
      </c>
      <c r="E26" s="6" t="s">
        <v>1</v>
      </c>
      <c r="F26" s="6" t="s">
        <v>149</v>
      </c>
      <c r="G26" s="6" t="s">
        <v>65</v>
      </c>
      <c r="H26" s="6" t="s">
        <v>585</v>
      </c>
      <c r="I26" s="6" t="s">
        <v>432</v>
      </c>
      <c r="J26" s="6" t="s">
        <v>699</v>
      </c>
      <c r="K26" s="6" t="s">
        <v>700</v>
      </c>
      <c r="L26" s="6" t="s">
        <v>701</v>
      </c>
      <c r="M26" s="6" t="s">
        <v>650</v>
      </c>
      <c r="N26" s="6" t="s">
        <v>694</v>
      </c>
      <c r="O26" s="6" t="s">
        <v>583</v>
      </c>
      <c r="P26" s="6" t="s">
        <v>636</v>
      </c>
      <c r="Q26" s="6" t="s">
        <v>633</v>
      </c>
      <c r="R26" s="6" t="s">
        <v>634</v>
      </c>
      <c r="S26" s="6" t="s">
        <v>702</v>
      </c>
      <c r="T26" s="6" t="s">
        <v>578</v>
      </c>
      <c r="U26" s="6" t="s">
        <v>582</v>
      </c>
      <c r="V26" s="6" t="s">
        <v>582</v>
      </c>
      <c r="W26" s="6" t="s">
        <v>576</v>
      </c>
      <c r="X26" s="6" t="s">
        <v>582</v>
      </c>
      <c r="Y26" s="6" t="s">
        <v>582</v>
      </c>
      <c r="Z26" s="6" t="s">
        <v>576</v>
      </c>
      <c r="AA26" s="6" t="s">
        <v>582</v>
      </c>
      <c r="AB26" s="6" t="s">
        <v>576</v>
      </c>
      <c r="AC26" s="6" t="s">
        <v>590</v>
      </c>
      <c r="AD26" s="6" t="s">
        <v>579</v>
      </c>
      <c r="AE26" s="6" t="s">
        <v>579</v>
      </c>
      <c r="AF26" s="6" t="s">
        <v>578</v>
      </c>
      <c r="AG26" s="6" t="s">
        <v>579</v>
      </c>
      <c r="AH26" s="6" t="s">
        <v>579</v>
      </c>
      <c r="AI26" s="6" t="s">
        <v>576</v>
      </c>
      <c r="AJ26" s="6" t="s">
        <v>578</v>
      </c>
      <c r="AK26" s="6" t="s">
        <v>576</v>
      </c>
      <c r="AL26" s="6" t="s">
        <v>582</v>
      </c>
      <c r="AM26" s="6" t="s">
        <v>578</v>
      </c>
      <c r="AN26" s="6" t="s">
        <v>578</v>
      </c>
      <c r="AO26" s="6" t="s">
        <v>578</v>
      </c>
      <c r="AP26" s="6" t="s">
        <v>578</v>
      </c>
      <c r="AQ26" s="6" t="s">
        <v>578</v>
      </c>
      <c r="AR26" s="6" t="s">
        <v>578</v>
      </c>
      <c r="AS26" s="6" t="s">
        <v>578</v>
      </c>
      <c r="AT26" s="6" t="s">
        <v>578</v>
      </c>
      <c r="AU26" s="6" t="s">
        <v>578</v>
      </c>
      <c r="AV26" s="6" t="s">
        <v>578</v>
      </c>
      <c r="AW26" s="6" t="s">
        <v>578</v>
      </c>
      <c r="AX26" s="6" t="s">
        <v>578</v>
      </c>
      <c r="AY26" s="6" t="s">
        <v>578</v>
      </c>
      <c r="AZ26" s="6" t="s">
        <v>578</v>
      </c>
      <c r="BA26" s="6" t="s">
        <v>578</v>
      </c>
      <c r="BB26" s="6" t="s">
        <v>578</v>
      </c>
      <c r="BC26" s="6" t="s">
        <v>578</v>
      </c>
      <c r="BD26" s="6" t="s">
        <v>578</v>
      </c>
      <c r="BE26" s="6" t="s">
        <v>578</v>
      </c>
      <c r="BF26" s="6" t="s">
        <v>578</v>
      </c>
      <c r="BG26" s="6" t="s">
        <v>578</v>
      </c>
      <c r="BH26" s="6" t="s">
        <v>578</v>
      </c>
      <c r="BI26" s="6" t="s">
        <v>578</v>
      </c>
      <c r="BJ26" t="s">
        <v>578</v>
      </c>
      <c r="BK26" s="6" t="s">
        <v>578</v>
      </c>
      <c r="BL26" s="6" t="s">
        <v>578</v>
      </c>
      <c r="BM26" s="6" t="s">
        <v>578</v>
      </c>
      <c r="BN26" s="6" t="s">
        <v>578</v>
      </c>
      <c r="BO26" s="6" t="s">
        <v>578</v>
      </c>
      <c r="BP26" s="6" t="s">
        <v>578</v>
      </c>
      <c r="BQ26" s="6" t="s">
        <v>578</v>
      </c>
      <c r="BR26" s="6" t="s">
        <v>578</v>
      </c>
      <c r="BS26" s="6" t="s">
        <v>578</v>
      </c>
      <c r="BT26" s="6" t="s">
        <v>578</v>
      </c>
      <c r="BU26" s="6" t="s">
        <v>578</v>
      </c>
      <c r="BV26" s="6" t="s">
        <v>578</v>
      </c>
    </row>
    <row r="27" spans="1:74" x14ac:dyDescent="0.3">
      <c r="A27" s="6" t="s">
        <v>131</v>
      </c>
      <c r="B27" s="6" t="s">
        <v>99</v>
      </c>
      <c r="C27" s="6" t="s">
        <v>386</v>
      </c>
      <c r="D27" s="6" t="s">
        <v>647</v>
      </c>
      <c r="E27" s="6" t="s">
        <v>1</v>
      </c>
      <c r="F27" s="6" t="s">
        <v>150</v>
      </c>
      <c r="G27" s="6" t="s">
        <v>65</v>
      </c>
      <c r="H27" s="6" t="s">
        <v>585</v>
      </c>
      <c r="I27" s="6" t="s">
        <v>433</v>
      </c>
      <c r="J27" s="6" t="s">
        <v>703</v>
      </c>
      <c r="K27" s="6" t="s">
        <v>704</v>
      </c>
      <c r="L27" s="6" t="s">
        <v>701</v>
      </c>
      <c r="M27" s="6" t="s">
        <v>636</v>
      </c>
      <c r="N27" s="6" t="s">
        <v>583</v>
      </c>
      <c r="O27" s="6" t="s">
        <v>576</v>
      </c>
      <c r="P27" s="6" t="s">
        <v>705</v>
      </c>
      <c r="Q27" s="6" t="s">
        <v>650</v>
      </c>
      <c r="R27" s="6" t="s">
        <v>651</v>
      </c>
      <c r="S27" s="6" t="s">
        <v>706</v>
      </c>
      <c r="T27" s="6" t="s">
        <v>578</v>
      </c>
      <c r="U27" s="6" t="s">
        <v>582</v>
      </c>
      <c r="V27" s="6" t="s">
        <v>582</v>
      </c>
      <c r="W27" s="6" t="s">
        <v>579</v>
      </c>
      <c r="X27" s="6" t="s">
        <v>582</v>
      </c>
      <c r="Y27" s="6" t="s">
        <v>582</v>
      </c>
      <c r="Z27" s="6" t="s">
        <v>579</v>
      </c>
      <c r="AA27" s="6" t="s">
        <v>578</v>
      </c>
      <c r="AB27" s="6" t="s">
        <v>576</v>
      </c>
      <c r="AC27" s="6" t="s">
        <v>583</v>
      </c>
      <c r="AD27" s="6" t="s">
        <v>582</v>
      </c>
      <c r="AE27" s="6" t="s">
        <v>579</v>
      </c>
      <c r="AF27" s="6" t="s">
        <v>578</v>
      </c>
      <c r="AG27" s="6" t="s">
        <v>582</v>
      </c>
      <c r="AH27" s="6" t="s">
        <v>579</v>
      </c>
      <c r="AI27" s="6" t="s">
        <v>582</v>
      </c>
      <c r="AJ27" s="6" t="s">
        <v>578</v>
      </c>
      <c r="AK27" s="6" t="s">
        <v>579</v>
      </c>
      <c r="AL27" s="6" t="s">
        <v>582</v>
      </c>
      <c r="AM27" s="6" t="s">
        <v>578</v>
      </c>
      <c r="AN27" s="6" t="s">
        <v>578</v>
      </c>
      <c r="AO27" s="6" t="s">
        <v>578</v>
      </c>
      <c r="AP27" s="6" t="s">
        <v>578</v>
      </c>
      <c r="AQ27" s="6" t="s">
        <v>578</v>
      </c>
      <c r="AR27" s="6" t="s">
        <v>578</v>
      </c>
      <c r="AS27" s="6" t="s">
        <v>578</v>
      </c>
      <c r="AT27" s="6" t="s">
        <v>578</v>
      </c>
      <c r="AU27" s="6" t="s">
        <v>578</v>
      </c>
      <c r="AV27" s="6" t="s">
        <v>578</v>
      </c>
      <c r="AW27" s="6" t="s">
        <v>578</v>
      </c>
      <c r="AX27" s="6" t="s">
        <v>578</v>
      </c>
      <c r="AY27" s="6" t="s">
        <v>578</v>
      </c>
      <c r="AZ27" s="6" t="s">
        <v>578</v>
      </c>
      <c r="BA27" s="6" t="s">
        <v>578</v>
      </c>
      <c r="BB27" s="6" t="s">
        <v>578</v>
      </c>
      <c r="BC27" s="6" t="s">
        <v>578</v>
      </c>
      <c r="BD27" s="6" t="s">
        <v>578</v>
      </c>
      <c r="BE27" s="6" t="s">
        <v>578</v>
      </c>
      <c r="BF27" s="6" t="s">
        <v>578</v>
      </c>
      <c r="BG27" s="6" t="s">
        <v>578</v>
      </c>
      <c r="BH27" s="6" t="s">
        <v>578</v>
      </c>
      <c r="BI27" s="6" t="s">
        <v>578</v>
      </c>
      <c r="BJ27" t="s">
        <v>578</v>
      </c>
      <c r="BK27" s="6" t="s">
        <v>578</v>
      </c>
      <c r="BL27" s="6" t="s">
        <v>578</v>
      </c>
      <c r="BM27" s="6" t="s">
        <v>578</v>
      </c>
      <c r="BN27" s="6" t="s">
        <v>578</v>
      </c>
      <c r="BO27" s="6" t="s">
        <v>578</v>
      </c>
      <c r="BP27" s="6" t="s">
        <v>578</v>
      </c>
      <c r="BQ27" s="6" t="s">
        <v>578</v>
      </c>
      <c r="BR27" s="6" t="s">
        <v>578</v>
      </c>
      <c r="BS27" s="6" t="s">
        <v>578</v>
      </c>
      <c r="BT27" s="6" t="s">
        <v>578</v>
      </c>
      <c r="BU27" s="6" t="s">
        <v>578</v>
      </c>
      <c r="BV27" s="6" t="s">
        <v>578</v>
      </c>
    </row>
    <row r="28" spans="1:74" x14ac:dyDescent="0.3">
      <c r="A28" s="6" t="s">
        <v>132</v>
      </c>
      <c r="B28" s="6" t="s">
        <v>100</v>
      </c>
      <c r="C28" s="6" t="s">
        <v>386</v>
      </c>
      <c r="D28" s="6" t="s">
        <v>660</v>
      </c>
      <c r="E28" s="6" t="s">
        <v>1</v>
      </c>
      <c r="F28" s="6" t="s">
        <v>434</v>
      </c>
      <c r="G28" s="6" t="s">
        <v>65</v>
      </c>
      <c r="H28" s="6" t="s">
        <v>585</v>
      </c>
      <c r="I28" s="6" t="s">
        <v>435</v>
      </c>
      <c r="J28" s="6" t="s">
        <v>707</v>
      </c>
      <c r="K28" s="6" t="s">
        <v>708</v>
      </c>
      <c r="L28" s="6" t="s">
        <v>614</v>
      </c>
      <c r="M28" s="6" t="s">
        <v>623</v>
      </c>
      <c r="N28" s="6" t="s">
        <v>694</v>
      </c>
      <c r="O28" s="6" t="s">
        <v>583</v>
      </c>
      <c r="P28" s="6" t="s">
        <v>650</v>
      </c>
      <c r="Q28" s="6" t="s">
        <v>633</v>
      </c>
      <c r="R28" s="6" t="s">
        <v>663</v>
      </c>
      <c r="S28" s="6" t="s">
        <v>709</v>
      </c>
      <c r="T28" s="6" t="s">
        <v>578</v>
      </c>
      <c r="U28" s="6" t="s">
        <v>578</v>
      </c>
      <c r="V28" s="6" t="s">
        <v>582</v>
      </c>
      <c r="W28" s="6" t="s">
        <v>576</v>
      </c>
      <c r="X28" s="6" t="s">
        <v>582</v>
      </c>
      <c r="Y28" s="6" t="s">
        <v>582</v>
      </c>
      <c r="Z28" s="6" t="s">
        <v>576</v>
      </c>
      <c r="AA28" s="6" t="s">
        <v>582</v>
      </c>
      <c r="AB28" s="6" t="s">
        <v>576</v>
      </c>
      <c r="AC28" s="6" t="s">
        <v>590</v>
      </c>
      <c r="AD28" s="6" t="s">
        <v>579</v>
      </c>
      <c r="AE28" s="6" t="s">
        <v>576</v>
      </c>
      <c r="AF28" s="6" t="s">
        <v>578</v>
      </c>
      <c r="AG28" s="6" t="s">
        <v>579</v>
      </c>
      <c r="AH28" s="6" t="s">
        <v>579</v>
      </c>
      <c r="AI28" s="6" t="s">
        <v>576</v>
      </c>
      <c r="AJ28" s="6" t="s">
        <v>578</v>
      </c>
      <c r="AK28" s="6" t="s">
        <v>576</v>
      </c>
      <c r="AL28" s="6" t="s">
        <v>582</v>
      </c>
      <c r="AM28" s="6" t="s">
        <v>578</v>
      </c>
      <c r="AN28" s="6" t="s">
        <v>578</v>
      </c>
      <c r="AO28" s="6" t="s">
        <v>578</v>
      </c>
      <c r="AP28" s="6" t="s">
        <v>578</v>
      </c>
      <c r="AQ28" s="6" t="s">
        <v>578</v>
      </c>
      <c r="AR28" s="6" t="s">
        <v>578</v>
      </c>
      <c r="AS28" s="6" t="s">
        <v>578</v>
      </c>
      <c r="AT28" s="6" t="s">
        <v>578</v>
      </c>
      <c r="AU28" s="6" t="s">
        <v>578</v>
      </c>
      <c r="AV28" s="6" t="s">
        <v>578</v>
      </c>
      <c r="AW28" s="6" t="s">
        <v>578</v>
      </c>
      <c r="AX28" s="6" t="s">
        <v>578</v>
      </c>
      <c r="AY28" s="6" t="s">
        <v>578</v>
      </c>
      <c r="AZ28" s="6" t="s">
        <v>578</v>
      </c>
      <c r="BA28" s="6" t="s">
        <v>578</v>
      </c>
      <c r="BB28" s="6" t="s">
        <v>578</v>
      </c>
      <c r="BC28" s="6" t="s">
        <v>578</v>
      </c>
      <c r="BD28" s="6" t="s">
        <v>578</v>
      </c>
      <c r="BE28" s="6" t="s">
        <v>578</v>
      </c>
      <c r="BF28" s="6" t="s">
        <v>578</v>
      </c>
      <c r="BG28" s="6" t="s">
        <v>578</v>
      </c>
      <c r="BH28" s="6" t="s">
        <v>582</v>
      </c>
      <c r="BI28" s="6" t="s">
        <v>578</v>
      </c>
      <c r="BJ28" t="s">
        <v>578</v>
      </c>
      <c r="BK28" s="6" t="s">
        <v>578</v>
      </c>
      <c r="BL28" s="6" t="s">
        <v>578</v>
      </c>
      <c r="BM28" s="6" t="s">
        <v>578</v>
      </c>
      <c r="BN28" s="6" t="s">
        <v>578</v>
      </c>
      <c r="BO28" s="6" t="s">
        <v>578</v>
      </c>
      <c r="BP28" s="6" t="s">
        <v>578</v>
      </c>
      <c r="BQ28" s="6" t="s">
        <v>578</v>
      </c>
      <c r="BR28" s="6" t="s">
        <v>578</v>
      </c>
      <c r="BS28" s="6" t="s">
        <v>578</v>
      </c>
      <c r="BT28" s="6" t="s">
        <v>578</v>
      </c>
      <c r="BU28" s="6" t="s">
        <v>578</v>
      </c>
      <c r="BV28" s="6" t="s">
        <v>578</v>
      </c>
    </row>
    <row r="29" spans="1:74" x14ac:dyDescent="0.3">
      <c r="A29" s="6" t="s">
        <v>133</v>
      </c>
      <c r="B29" s="6" t="s">
        <v>101</v>
      </c>
      <c r="C29" s="6" t="s">
        <v>386</v>
      </c>
      <c r="D29" s="6" t="s">
        <v>665</v>
      </c>
      <c r="E29" s="6" t="s">
        <v>1</v>
      </c>
      <c r="F29" s="6" t="s">
        <v>436</v>
      </c>
      <c r="G29" s="6" t="s">
        <v>65</v>
      </c>
      <c r="H29" s="6" t="s">
        <v>585</v>
      </c>
      <c r="I29" s="6" t="s">
        <v>437</v>
      </c>
      <c r="J29" s="6" t="s">
        <v>710</v>
      </c>
      <c r="K29" s="6" t="s">
        <v>711</v>
      </c>
      <c r="L29" s="6" t="s">
        <v>614</v>
      </c>
      <c r="M29" s="6" t="s">
        <v>650</v>
      </c>
      <c r="N29" s="6" t="s">
        <v>583</v>
      </c>
      <c r="O29" s="6" t="s">
        <v>576</v>
      </c>
      <c r="P29" s="6" t="s">
        <v>636</v>
      </c>
      <c r="Q29" s="6" t="s">
        <v>650</v>
      </c>
      <c r="R29" s="6" t="s">
        <v>668</v>
      </c>
      <c r="S29" s="6" t="s">
        <v>712</v>
      </c>
      <c r="T29" s="6" t="s">
        <v>578</v>
      </c>
      <c r="U29" s="6" t="s">
        <v>578</v>
      </c>
      <c r="V29" s="6" t="s">
        <v>582</v>
      </c>
      <c r="W29" s="6" t="s">
        <v>579</v>
      </c>
      <c r="X29" s="6" t="s">
        <v>582</v>
      </c>
      <c r="Y29" s="6" t="s">
        <v>582</v>
      </c>
      <c r="Z29" s="6" t="s">
        <v>579</v>
      </c>
      <c r="AA29" s="6" t="s">
        <v>578</v>
      </c>
      <c r="AB29" s="6" t="s">
        <v>576</v>
      </c>
      <c r="AC29" s="6" t="s">
        <v>583</v>
      </c>
      <c r="AD29" s="6" t="s">
        <v>582</v>
      </c>
      <c r="AE29" s="6" t="s">
        <v>576</v>
      </c>
      <c r="AF29" s="6" t="s">
        <v>578</v>
      </c>
      <c r="AG29" s="6" t="s">
        <v>582</v>
      </c>
      <c r="AH29" s="6" t="s">
        <v>579</v>
      </c>
      <c r="AI29" s="6" t="s">
        <v>582</v>
      </c>
      <c r="AJ29" s="6" t="s">
        <v>578</v>
      </c>
      <c r="AK29" s="6" t="s">
        <v>579</v>
      </c>
      <c r="AL29" s="6" t="s">
        <v>582</v>
      </c>
      <c r="AM29" s="6" t="s">
        <v>578</v>
      </c>
      <c r="AN29" s="6" t="s">
        <v>578</v>
      </c>
      <c r="AO29" s="6" t="s">
        <v>578</v>
      </c>
      <c r="AP29" s="6" t="s">
        <v>578</v>
      </c>
      <c r="AQ29" s="6" t="s">
        <v>578</v>
      </c>
      <c r="AR29" s="6" t="s">
        <v>578</v>
      </c>
      <c r="AS29" s="6" t="s">
        <v>578</v>
      </c>
      <c r="AT29" s="6" t="s">
        <v>578</v>
      </c>
      <c r="AU29" s="6" t="s">
        <v>578</v>
      </c>
      <c r="AV29" s="6" t="s">
        <v>578</v>
      </c>
      <c r="AW29" s="6" t="s">
        <v>578</v>
      </c>
      <c r="AX29" s="6" t="s">
        <v>578</v>
      </c>
      <c r="AY29" s="6" t="s">
        <v>578</v>
      </c>
      <c r="AZ29" s="6" t="s">
        <v>578</v>
      </c>
      <c r="BA29" s="6" t="s">
        <v>578</v>
      </c>
      <c r="BB29" s="6" t="s">
        <v>578</v>
      </c>
      <c r="BC29" s="6" t="s">
        <v>578</v>
      </c>
      <c r="BD29" s="6" t="s">
        <v>578</v>
      </c>
      <c r="BE29" s="6" t="s">
        <v>578</v>
      </c>
      <c r="BF29" s="6" t="s">
        <v>578</v>
      </c>
      <c r="BG29" s="6" t="s">
        <v>578</v>
      </c>
      <c r="BH29" s="6" t="s">
        <v>582</v>
      </c>
      <c r="BI29" s="6" t="s">
        <v>578</v>
      </c>
      <c r="BJ29" t="s">
        <v>578</v>
      </c>
      <c r="BK29" s="6" t="s">
        <v>578</v>
      </c>
      <c r="BL29" s="6" t="s">
        <v>578</v>
      </c>
      <c r="BM29" s="6" t="s">
        <v>578</v>
      </c>
      <c r="BN29" s="6" t="s">
        <v>578</v>
      </c>
      <c r="BO29" s="6" t="s">
        <v>578</v>
      </c>
      <c r="BP29" s="6" t="s">
        <v>578</v>
      </c>
      <c r="BQ29" s="6" t="s">
        <v>578</v>
      </c>
      <c r="BR29" s="6" t="s">
        <v>578</v>
      </c>
      <c r="BS29" s="6" t="s">
        <v>578</v>
      </c>
      <c r="BT29" s="6" t="s">
        <v>578</v>
      </c>
      <c r="BU29" s="6" t="s">
        <v>578</v>
      </c>
      <c r="BV29" s="6" t="s">
        <v>578</v>
      </c>
    </row>
    <row r="30" spans="1:74" x14ac:dyDescent="0.3">
      <c r="A30" s="6" t="s">
        <v>134</v>
      </c>
      <c r="B30" s="6" t="s">
        <v>102</v>
      </c>
      <c r="C30" s="6" t="s">
        <v>386</v>
      </c>
      <c r="D30" s="6" t="s">
        <v>600</v>
      </c>
      <c r="E30" s="6" t="s">
        <v>1</v>
      </c>
      <c r="F30" s="6" t="s">
        <v>438</v>
      </c>
      <c r="G30" s="6" t="s">
        <v>65</v>
      </c>
      <c r="H30" s="6" t="s">
        <v>585</v>
      </c>
      <c r="I30" s="6" t="s">
        <v>439</v>
      </c>
      <c r="J30" s="6" t="s">
        <v>713</v>
      </c>
      <c r="K30" s="6" t="s">
        <v>714</v>
      </c>
      <c r="L30" s="6" t="s">
        <v>715</v>
      </c>
      <c r="M30" s="6" t="s">
        <v>623</v>
      </c>
      <c r="N30" s="6" t="s">
        <v>576</v>
      </c>
      <c r="O30" s="6" t="s">
        <v>590</v>
      </c>
      <c r="P30" s="6" t="s">
        <v>650</v>
      </c>
      <c r="Q30" s="6" t="s">
        <v>716</v>
      </c>
      <c r="R30" s="6" t="s">
        <v>717</v>
      </c>
      <c r="S30" s="6" t="s">
        <v>718</v>
      </c>
      <c r="T30" s="6" t="s">
        <v>636</v>
      </c>
      <c r="U30" s="6" t="s">
        <v>578</v>
      </c>
      <c r="V30" s="6" t="s">
        <v>576</v>
      </c>
      <c r="W30" s="6" t="s">
        <v>579</v>
      </c>
      <c r="X30" s="6" t="s">
        <v>582</v>
      </c>
      <c r="Y30" s="6" t="s">
        <v>578</v>
      </c>
      <c r="Z30" s="6" t="s">
        <v>579</v>
      </c>
      <c r="AA30" s="6" t="s">
        <v>578</v>
      </c>
      <c r="AB30" s="6" t="s">
        <v>582</v>
      </c>
      <c r="AC30" s="6" t="s">
        <v>650</v>
      </c>
      <c r="AD30" s="6" t="s">
        <v>582</v>
      </c>
      <c r="AE30" s="6" t="s">
        <v>582</v>
      </c>
      <c r="AF30" s="6" t="s">
        <v>582</v>
      </c>
      <c r="AG30" s="6" t="s">
        <v>578</v>
      </c>
      <c r="AH30" s="6" t="s">
        <v>590</v>
      </c>
      <c r="AI30" s="6" t="s">
        <v>579</v>
      </c>
      <c r="AJ30" s="6" t="s">
        <v>578</v>
      </c>
      <c r="AK30" s="6" t="s">
        <v>582</v>
      </c>
      <c r="AL30" s="6" t="s">
        <v>582</v>
      </c>
      <c r="AM30" s="6" t="s">
        <v>582</v>
      </c>
      <c r="AN30" s="6" t="s">
        <v>578</v>
      </c>
      <c r="AO30" s="6" t="s">
        <v>578</v>
      </c>
      <c r="AP30" s="6" t="s">
        <v>578</v>
      </c>
      <c r="AQ30" s="6" t="s">
        <v>578</v>
      </c>
      <c r="AR30" s="6" t="s">
        <v>578</v>
      </c>
      <c r="AS30" s="6" t="s">
        <v>578</v>
      </c>
      <c r="AT30" s="6" t="s">
        <v>578</v>
      </c>
      <c r="AU30" s="6" t="s">
        <v>578</v>
      </c>
      <c r="AV30" s="6" t="s">
        <v>578</v>
      </c>
      <c r="AW30" s="6" t="s">
        <v>578</v>
      </c>
      <c r="AX30" s="6" t="s">
        <v>578</v>
      </c>
      <c r="AY30" s="6" t="s">
        <v>578</v>
      </c>
      <c r="AZ30" s="6" t="s">
        <v>578</v>
      </c>
      <c r="BA30" s="6" t="s">
        <v>578</v>
      </c>
      <c r="BB30" s="6" t="s">
        <v>578</v>
      </c>
      <c r="BC30" s="6" t="s">
        <v>578</v>
      </c>
      <c r="BD30" s="6" t="s">
        <v>578</v>
      </c>
      <c r="BE30" s="6" t="s">
        <v>578</v>
      </c>
      <c r="BF30" s="6" t="s">
        <v>578</v>
      </c>
      <c r="BG30" s="6" t="s">
        <v>578</v>
      </c>
      <c r="BH30" s="6" t="s">
        <v>582</v>
      </c>
      <c r="BI30" s="6" t="s">
        <v>578</v>
      </c>
      <c r="BJ30" t="s">
        <v>578</v>
      </c>
      <c r="BK30" s="6" t="s">
        <v>578</v>
      </c>
      <c r="BL30" s="6" t="s">
        <v>578</v>
      </c>
      <c r="BM30" s="6" t="s">
        <v>578</v>
      </c>
      <c r="BN30" s="6" t="s">
        <v>578</v>
      </c>
      <c r="BO30" s="6" t="s">
        <v>578</v>
      </c>
      <c r="BP30" s="6" t="s">
        <v>578</v>
      </c>
      <c r="BQ30" s="6" t="s">
        <v>578</v>
      </c>
      <c r="BR30" s="6" t="s">
        <v>578</v>
      </c>
      <c r="BS30" s="6" t="s">
        <v>578</v>
      </c>
      <c r="BT30" s="6" t="s">
        <v>578</v>
      </c>
      <c r="BU30" s="6" t="s">
        <v>578</v>
      </c>
      <c r="BV30" s="6" t="s">
        <v>578</v>
      </c>
    </row>
    <row r="31" spans="1:74" x14ac:dyDescent="0.3">
      <c r="A31" s="6" t="s">
        <v>135</v>
      </c>
      <c r="B31" s="6" t="s">
        <v>103</v>
      </c>
      <c r="C31" s="6" t="s">
        <v>386</v>
      </c>
      <c r="D31" s="6" t="s">
        <v>719</v>
      </c>
      <c r="E31" s="6" t="s">
        <v>1</v>
      </c>
      <c r="F31" s="6" t="s">
        <v>440</v>
      </c>
      <c r="G31" s="6" t="s">
        <v>65</v>
      </c>
      <c r="H31" s="6" t="s">
        <v>585</v>
      </c>
      <c r="I31" s="6" t="s">
        <v>441</v>
      </c>
      <c r="J31" s="6" t="s">
        <v>720</v>
      </c>
      <c r="K31" s="6" t="s">
        <v>721</v>
      </c>
      <c r="L31" s="6" t="s">
        <v>715</v>
      </c>
      <c r="M31" s="6" t="s">
        <v>623</v>
      </c>
      <c r="N31" s="6" t="s">
        <v>590</v>
      </c>
      <c r="O31" s="6" t="s">
        <v>576</v>
      </c>
      <c r="P31" s="6" t="s">
        <v>650</v>
      </c>
      <c r="Q31" s="6" t="s">
        <v>624</v>
      </c>
      <c r="R31" s="6" t="s">
        <v>722</v>
      </c>
      <c r="S31" s="6" t="s">
        <v>723</v>
      </c>
      <c r="T31" s="6" t="s">
        <v>583</v>
      </c>
      <c r="U31" s="6" t="s">
        <v>578</v>
      </c>
      <c r="V31" s="6" t="s">
        <v>582</v>
      </c>
      <c r="W31" s="6" t="s">
        <v>579</v>
      </c>
      <c r="X31" s="6" t="s">
        <v>582</v>
      </c>
      <c r="Y31" s="6" t="s">
        <v>578</v>
      </c>
      <c r="Z31" s="6" t="s">
        <v>579</v>
      </c>
      <c r="AA31" s="6" t="s">
        <v>578</v>
      </c>
      <c r="AB31" s="6" t="s">
        <v>582</v>
      </c>
      <c r="AC31" s="6" t="s">
        <v>705</v>
      </c>
      <c r="AD31" s="6" t="s">
        <v>582</v>
      </c>
      <c r="AE31" s="6" t="s">
        <v>582</v>
      </c>
      <c r="AF31" s="6" t="s">
        <v>582</v>
      </c>
      <c r="AG31" s="6" t="s">
        <v>578</v>
      </c>
      <c r="AH31" s="6" t="s">
        <v>590</v>
      </c>
      <c r="AI31" s="6" t="s">
        <v>582</v>
      </c>
      <c r="AJ31" s="6" t="s">
        <v>578</v>
      </c>
      <c r="AK31" s="6" t="s">
        <v>582</v>
      </c>
      <c r="AL31" s="6" t="s">
        <v>582</v>
      </c>
      <c r="AM31" s="6" t="s">
        <v>582</v>
      </c>
      <c r="AN31" s="6" t="s">
        <v>578</v>
      </c>
      <c r="AO31" s="6" t="s">
        <v>578</v>
      </c>
      <c r="AP31" s="6" t="s">
        <v>578</v>
      </c>
      <c r="AQ31" s="6" t="s">
        <v>578</v>
      </c>
      <c r="AR31" s="6" t="s">
        <v>578</v>
      </c>
      <c r="AS31" s="6" t="s">
        <v>578</v>
      </c>
      <c r="AT31" s="6" t="s">
        <v>578</v>
      </c>
      <c r="AU31" s="6" t="s">
        <v>578</v>
      </c>
      <c r="AV31" s="6" t="s">
        <v>578</v>
      </c>
      <c r="AW31" s="6" t="s">
        <v>578</v>
      </c>
      <c r="AX31" s="6" t="s">
        <v>578</v>
      </c>
      <c r="AY31" s="6" t="s">
        <v>578</v>
      </c>
      <c r="AZ31" s="6" t="s">
        <v>578</v>
      </c>
      <c r="BA31" s="6" t="s">
        <v>578</v>
      </c>
      <c r="BB31" s="6" t="s">
        <v>578</v>
      </c>
      <c r="BC31" s="6" t="s">
        <v>578</v>
      </c>
      <c r="BD31" s="6" t="s">
        <v>578</v>
      </c>
      <c r="BE31" s="6" t="s">
        <v>578</v>
      </c>
      <c r="BF31" s="6" t="s">
        <v>578</v>
      </c>
      <c r="BG31" s="6" t="s">
        <v>578</v>
      </c>
      <c r="BH31" s="6" t="s">
        <v>582</v>
      </c>
      <c r="BI31" s="6" t="s">
        <v>578</v>
      </c>
      <c r="BJ31" t="s">
        <v>578</v>
      </c>
      <c r="BK31" s="6" t="s">
        <v>578</v>
      </c>
      <c r="BL31" s="6" t="s">
        <v>578</v>
      </c>
      <c r="BM31" s="6" t="s">
        <v>578</v>
      </c>
      <c r="BN31" s="6" t="s">
        <v>578</v>
      </c>
      <c r="BO31" s="6" t="s">
        <v>578</v>
      </c>
      <c r="BP31" s="6" t="s">
        <v>578</v>
      </c>
      <c r="BQ31" s="6" t="s">
        <v>578</v>
      </c>
      <c r="BR31" s="6" t="s">
        <v>578</v>
      </c>
      <c r="BS31" s="6" t="s">
        <v>578</v>
      </c>
      <c r="BT31" s="6" t="s">
        <v>578</v>
      </c>
      <c r="BU31" s="6" t="s">
        <v>578</v>
      </c>
      <c r="BV31" s="6" t="s">
        <v>578</v>
      </c>
    </row>
    <row r="32" spans="1:74" x14ac:dyDescent="0.3">
      <c r="A32" s="6" t="s">
        <v>136</v>
      </c>
      <c r="B32" s="6" t="s">
        <v>104</v>
      </c>
      <c r="C32" s="6" t="s">
        <v>386</v>
      </c>
      <c r="D32" s="6" t="s">
        <v>724</v>
      </c>
      <c r="E32" s="6" t="s">
        <v>69</v>
      </c>
      <c r="F32" s="6" t="s">
        <v>442</v>
      </c>
      <c r="G32" s="6" t="s">
        <v>65</v>
      </c>
      <c r="H32" s="6" t="s">
        <v>585</v>
      </c>
      <c r="I32" s="6" t="s">
        <v>443</v>
      </c>
      <c r="J32" s="6" t="s">
        <v>725</v>
      </c>
      <c r="K32" s="6" t="s">
        <v>726</v>
      </c>
      <c r="L32" s="6" t="s">
        <v>596</v>
      </c>
      <c r="M32" s="6" t="s">
        <v>650</v>
      </c>
      <c r="N32" s="6" t="s">
        <v>636</v>
      </c>
      <c r="O32" s="6" t="s">
        <v>578</v>
      </c>
      <c r="P32" s="6" t="s">
        <v>650</v>
      </c>
      <c r="Q32" s="6" t="s">
        <v>589</v>
      </c>
      <c r="R32" s="6" t="s">
        <v>727</v>
      </c>
      <c r="S32" s="6" t="s">
        <v>728</v>
      </c>
      <c r="T32" s="6" t="s">
        <v>578</v>
      </c>
      <c r="U32" s="6" t="s">
        <v>578</v>
      </c>
      <c r="V32" s="6" t="s">
        <v>578</v>
      </c>
      <c r="W32" s="6" t="s">
        <v>578</v>
      </c>
      <c r="X32" s="6" t="s">
        <v>582</v>
      </c>
      <c r="Y32" s="6" t="s">
        <v>578</v>
      </c>
      <c r="Z32" s="6" t="s">
        <v>578</v>
      </c>
      <c r="AA32" s="6" t="s">
        <v>582</v>
      </c>
      <c r="AB32" s="6" t="s">
        <v>578</v>
      </c>
      <c r="AC32" s="6" t="s">
        <v>582</v>
      </c>
      <c r="AD32" s="6" t="s">
        <v>578</v>
      </c>
      <c r="AE32" s="6" t="s">
        <v>578</v>
      </c>
      <c r="AF32" s="6" t="s">
        <v>578</v>
      </c>
      <c r="AG32" s="6" t="s">
        <v>582</v>
      </c>
      <c r="AH32" s="6" t="s">
        <v>636</v>
      </c>
      <c r="AI32" s="6" t="s">
        <v>578</v>
      </c>
      <c r="AJ32" s="6" t="s">
        <v>578</v>
      </c>
      <c r="AK32" s="6" t="s">
        <v>578</v>
      </c>
      <c r="AL32" s="6" t="s">
        <v>578</v>
      </c>
      <c r="AM32" s="6" t="s">
        <v>582</v>
      </c>
      <c r="AN32" s="6" t="s">
        <v>578</v>
      </c>
      <c r="AO32" s="6" t="s">
        <v>578</v>
      </c>
      <c r="AP32" s="6" t="s">
        <v>578</v>
      </c>
      <c r="AQ32" s="6" t="s">
        <v>578</v>
      </c>
      <c r="AR32" s="6" t="s">
        <v>578</v>
      </c>
      <c r="AS32" s="6" t="s">
        <v>578</v>
      </c>
      <c r="AT32" s="6" t="s">
        <v>578</v>
      </c>
      <c r="AU32" s="6" t="s">
        <v>578</v>
      </c>
      <c r="AV32" s="6" t="s">
        <v>578</v>
      </c>
      <c r="AW32" s="6" t="s">
        <v>578</v>
      </c>
      <c r="AX32" s="6" t="s">
        <v>578</v>
      </c>
      <c r="AY32" s="6" t="s">
        <v>578</v>
      </c>
      <c r="AZ32" s="6" t="s">
        <v>578</v>
      </c>
      <c r="BA32" s="6" t="s">
        <v>578</v>
      </c>
      <c r="BB32" s="6" t="s">
        <v>578</v>
      </c>
      <c r="BC32" s="6" t="s">
        <v>578</v>
      </c>
      <c r="BD32" s="6" t="s">
        <v>578</v>
      </c>
      <c r="BE32" s="6" t="s">
        <v>578</v>
      </c>
      <c r="BF32" s="6" t="s">
        <v>578</v>
      </c>
      <c r="BG32" s="6" t="s">
        <v>578</v>
      </c>
      <c r="BH32" s="6" t="s">
        <v>582</v>
      </c>
      <c r="BI32" s="6" t="s">
        <v>578</v>
      </c>
      <c r="BJ32" t="s">
        <v>578</v>
      </c>
      <c r="BK32" s="6" t="s">
        <v>578</v>
      </c>
      <c r="BL32" s="6" t="s">
        <v>578</v>
      </c>
      <c r="BM32" s="6" t="s">
        <v>578</v>
      </c>
      <c r="BN32" s="6" t="s">
        <v>578</v>
      </c>
      <c r="BO32" s="6" t="s">
        <v>578</v>
      </c>
      <c r="BP32" s="6" t="s">
        <v>579</v>
      </c>
      <c r="BQ32" s="6" t="s">
        <v>576</v>
      </c>
      <c r="BR32" s="6" t="s">
        <v>578</v>
      </c>
      <c r="BS32" s="6" t="s">
        <v>578</v>
      </c>
      <c r="BT32" s="6" t="s">
        <v>578</v>
      </c>
      <c r="BU32" s="6" t="s">
        <v>578</v>
      </c>
      <c r="BV32" s="6" t="s">
        <v>578</v>
      </c>
    </row>
    <row r="33" spans="1:74" x14ac:dyDescent="0.3">
      <c r="A33" s="6" t="s">
        <v>137</v>
      </c>
      <c r="B33" s="6" t="s">
        <v>105</v>
      </c>
      <c r="C33" s="6" t="s">
        <v>386</v>
      </c>
      <c r="D33" s="6" t="s">
        <v>724</v>
      </c>
      <c r="E33" s="6" t="s">
        <v>69</v>
      </c>
      <c r="F33" s="6" t="s">
        <v>444</v>
      </c>
      <c r="G33" s="6" t="s">
        <v>65</v>
      </c>
      <c r="H33" s="6" t="s">
        <v>585</v>
      </c>
      <c r="I33" s="6" t="s">
        <v>443</v>
      </c>
      <c r="J33" s="6" t="s">
        <v>725</v>
      </c>
      <c r="K33" s="6" t="s">
        <v>726</v>
      </c>
      <c r="L33" s="6" t="s">
        <v>596</v>
      </c>
      <c r="M33" s="6" t="s">
        <v>650</v>
      </c>
      <c r="N33" s="6" t="s">
        <v>636</v>
      </c>
      <c r="O33" s="6" t="s">
        <v>578</v>
      </c>
      <c r="P33" s="6" t="s">
        <v>650</v>
      </c>
      <c r="Q33" s="6" t="s">
        <v>589</v>
      </c>
      <c r="R33" s="6" t="s">
        <v>727</v>
      </c>
      <c r="S33" s="6" t="s">
        <v>728</v>
      </c>
      <c r="T33" s="6" t="s">
        <v>578</v>
      </c>
      <c r="U33" s="6" t="s">
        <v>578</v>
      </c>
      <c r="V33" s="6" t="s">
        <v>578</v>
      </c>
      <c r="W33" s="6" t="s">
        <v>578</v>
      </c>
      <c r="X33" s="6" t="s">
        <v>582</v>
      </c>
      <c r="Y33" s="6" t="s">
        <v>578</v>
      </c>
      <c r="Z33" s="6" t="s">
        <v>578</v>
      </c>
      <c r="AA33" s="6" t="s">
        <v>582</v>
      </c>
      <c r="AB33" s="6" t="s">
        <v>578</v>
      </c>
      <c r="AC33" s="6" t="s">
        <v>582</v>
      </c>
      <c r="AD33" s="6" t="s">
        <v>578</v>
      </c>
      <c r="AE33" s="6" t="s">
        <v>578</v>
      </c>
      <c r="AF33" s="6" t="s">
        <v>578</v>
      </c>
      <c r="AG33" s="6" t="s">
        <v>582</v>
      </c>
      <c r="AH33" s="6" t="s">
        <v>636</v>
      </c>
      <c r="AI33" s="6" t="s">
        <v>578</v>
      </c>
      <c r="AJ33" s="6" t="s">
        <v>578</v>
      </c>
      <c r="AK33" s="6" t="s">
        <v>578</v>
      </c>
      <c r="AL33" s="6" t="s">
        <v>578</v>
      </c>
      <c r="AM33" s="6" t="s">
        <v>582</v>
      </c>
      <c r="AN33" s="6" t="s">
        <v>578</v>
      </c>
      <c r="AO33" s="6" t="s">
        <v>578</v>
      </c>
      <c r="AP33" s="6" t="s">
        <v>578</v>
      </c>
      <c r="AQ33" s="6" t="s">
        <v>578</v>
      </c>
      <c r="AR33" s="6" t="s">
        <v>578</v>
      </c>
      <c r="AS33" s="6" t="s">
        <v>578</v>
      </c>
      <c r="AT33" s="6" t="s">
        <v>578</v>
      </c>
      <c r="AU33" s="6" t="s">
        <v>578</v>
      </c>
      <c r="AV33" s="6" t="s">
        <v>578</v>
      </c>
      <c r="AW33" s="6" t="s">
        <v>578</v>
      </c>
      <c r="AX33" s="6" t="s">
        <v>578</v>
      </c>
      <c r="AY33" s="6" t="s">
        <v>578</v>
      </c>
      <c r="AZ33" s="6" t="s">
        <v>578</v>
      </c>
      <c r="BA33" s="6" t="s">
        <v>578</v>
      </c>
      <c r="BB33" s="6" t="s">
        <v>578</v>
      </c>
      <c r="BC33" s="6" t="s">
        <v>578</v>
      </c>
      <c r="BD33" s="6" t="s">
        <v>578</v>
      </c>
      <c r="BE33" s="6" t="s">
        <v>578</v>
      </c>
      <c r="BF33" s="6" t="s">
        <v>578</v>
      </c>
      <c r="BG33" s="6" t="s">
        <v>578</v>
      </c>
      <c r="BH33" s="6" t="s">
        <v>582</v>
      </c>
      <c r="BI33" s="6" t="s">
        <v>578</v>
      </c>
      <c r="BJ33" t="s">
        <v>578</v>
      </c>
      <c r="BK33" s="6" t="s">
        <v>578</v>
      </c>
      <c r="BL33" s="6" t="s">
        <v>578</v>
      </c>
      <c r="BM33" s="6" t="s">
        <v>578</v>
      </c>
      <c r="BN33" s="6" t="s">
        <v>578</v>
      </c>
      <c r="BO33" s="6" t="s">
        <v>578</v>
      </c>
      <c r="BP33" s="6" t="s">
        <v>579</v>
      </c>
      <c r="BQ33" s="6" t="s">
        <v>576</v>
      </c>
      <c r="BR33" s="6" t="s">
        <v>578</v>
      </c>
      <c r="BS33" s="6" t="s">
        <v>578</v>
      </c>
      <c r="BT33" s="6" t="s">
        <v>578</v>
      </c>
      <c r="BU33" s="6" t="s">
        <v>578</v>
      </c>
      <c r="BV33" s="6" t="s">
        <v>578</v>
      </c>
    </row>
    <row r="34" spans="1:74" x14ac:dyDescent="0.3">
      <c r="A34" s="6" t="s">
        <v>140</v>
      </c>
      <c r="B34" s="6" t="s">
        <v>144</v>
      </c>
      <c r="C34" s="6" t="s">
        <v>386</v>
      </c>
      <c r="D34" s="6" t="s">
        <v>729</v>
      </c>
      <c r="E34" s="6" t="s">
        <v>1</v>
      </c>
      <c r="F34" s="6" t="s">
        <v>445</v>
      </c>
      <c r="G34" s="6" t="s">
        <v>68</v>
      </c>
      <c r="H34" s="6" t="s">
        <v>585</v>
      </c>
      <c r="I34" s="6" t="s">
        <v>446</v>
      </c>
      <c r="J34" s="6" t="s">
        <v>730</v>
      </c>
      <c r="K34" s="6" t="s">
        <v>731</v>
      </c>
      <c r="L34" s="6" t="s">
        <v>578</v>
      </c>
      <c r="M34" s="6" t="s">
        <v>579</v>
      </c>
      <c r="N34" s="6" t="s">
        <v>578</v>
      </c>
      <c r="O34" s="6" t="s">
        <v>578</v>
      </c>
      <c r="P34" s="6" t="s">
        <v>582</v>
      </c>
      <c r="Q34" s="6" t="s">
        <v>583</v>
      </c>
      <c r="R34" s="6" t="s">
        <v>577</v>
      </c>
      <c r="S34" s="6" t="s">
        <v>732</v>
      </c>
      <c r="T34" s="6" t="s">
        <v>579</v>
      </c>
      <c r="U34" s="6" t="s">
        <v>578</v>
      </c>
      <c r="V34" s="6" t="s">
        <v>578</v>
      </c>
      <c r="W34" s="6" t="s">
        <v>578</v>
      </c>
      <c r="X34" s="6" t="s">
        <v>578</v>
      </c>
      <c r="Y34" s="6" t="s">
        <v>578</v>
      </c>
      <c r="Z34" s="6" t="s">
        <v>578</v>
      </c>
      <c r="AA34" s="6" t="s">
        <v>582</v>
      </c>
      <c r="AB34" s="6" t="s">
        <v>578</v>
      </c>
      <c r="AC34" s="6" t="s">
        <v>582</v>
      </c>
      <c r="AD34" s="6" t="s">
        <v>578</v>
      </c>
      <c r="AE34" s="6" t="s">
        <v>582</v>
      </c>
      <c r="AF34" s="6" t="s">
        <v>578</v>
      </c>
      <c r="AG34" s="6" t="s">
        <v>578</v>
      </c>
      <c r="AH34" s="6" t="s">
        <v>578</v>
      </c>
      <c r="AI34" s="6" t="s">
        <v>579</v>
      </c>
      <c r="AJ34" s="6" t="s">
        <v>578</v>
      </c>
      <c r="AK34" s="6" t="s">
        <v>578</v>
      </c>
      <c r="AL34" s="6" t="s">
        <v>578</v>
      </c>
      <c r="AM34" s="6" t="s">
        <v>578</v>
      </c>
      <c r="AN34" s="6" t="s">
        <v>578</v>
      </c>
      <c r="AO34" s="6" t="s">
        <v>578</v>
      </c>
      <c r="AP34" s="6" t="s">
        <v>578</v>
      </c>
      <c r="AQ34" s="6" t="s">
        <v>578</v>
      </c>
      <c r="AR34" s="6" t="s">
        <v>578</v>
      </c>
      <c r="AS34" s="6" t="s">
        <v>578</v>
      </c>
      <c r="AT34" s="6" t="s">
        <v>578</v>
      </c>
      <c r="AU34" s="6" t="s">
        <v>578</v>
      </c>
      <c r="AV34" s="6" t="s">
        <v>578</v>
      </c>
      <c r="AW34" s="6" t="s">
        <v>578</v>
      </c>
      <c r="AX34" s="6" t="s">
        <v>578</v>
      </c>
      <c r="AY34" s="6" t="s">
        <v>578</v>
      </c>
      <c r="AZ34" s="6" t="s">
        <v>578</v>
      </c>
      <c r="BA34" s="6" t="s">
        <v>578</v>
      </c>
      <c r="BB34" s="6" t="s">
        <v>578</v>
      </c>
      <c r="BC34" s="6" t="s">
        <v>578</v>
      </c>
      <c r="BD34" s="6" t="s">
        <v>578</v>
      </c>
      <c r="BE34" s="6" t="s">
        <v>578</v>
      </c>
      <c r="BF34" s="6" t="s">
        <v>578</v>
      </c>
      <c r="BG34" s="6" t="s">
        <v>578</v>
      </c>
      <c r="BH34" s="6" t="s">
        <v>578</v>
      </c>
      <c r="BI34" s="6" t="s">
        <v>578</v>
      </c>
      <c r="BJ34" t="s">
        <v>578</v>
      </c>
      <c r="BK34" s="6" t="s">
        <v>582</v>
      </c>
      <c r="BL34" s="6" t="s">
        <v>578</v>
      </c>
      <c r="BM34" s="6" t="s">
        <v>578</v>
      </c>
      <c r="BN34" s="6" t="s">
        <v>578</v>
      </c>
      <c r="BO34" s="6" t="s">
        <v>578</v>
      </c>
      <c r="BP34" s="6" t="s">
        <v>578</v>
      </c>
      <c r="BQ34" s="6" t="s">
        <v>578</v>
      </c>
      <c r="BR34" s="6" t="s">
        <v>578</v>
      </c>
      <c r="BS34" s="6" t="s">
        <v>578</v>
      </c>
      <c r="BT34" s="6" t="s">
        <v>578</v>
      </c>
      <c r="BU34" s="6" t="s">
        <v>578</v>
      </c>
      <c r="BV34" s="6" t="s">
        <v>578</v>
      </c>
    </row>
    <row r="35" spans="1:74" x14ac:dyDescent="0.3">
      <c r="A35" s="6" t="s">
        <v>141</v>
      </c>
      <c r="B35" s="6" t="s">
        <v>447</v>
      </c>
      <c r="C35" s="6" t="s">
        <v>386</v>
      </c>
      <c r="D35" s="6" t="s">
        <v>733</v>
      </c>
      <c r="E35" s="6" t="s">
        <v>1</v>
      </c>
      <c r="F35" s="6" t="s">
        <v>180</v>
      </c>
      <c r="G35" s="6" t="s">
        <v>68</v>
      </c>
      <c r="H35" s="6" t="s">
        <v>585</v>
      </c>
      <c r="I35" s="6" t="s">
        <v>448</v>
      </c>
      <c r="J35" s="6" t="s">
        <v>734</v>
      </c>
      <c r="K35" s="6" t="s">
        <v>735</v>
      </c>
      <c r="L35" s="6" t="s">
        <v>578</v>
      </c>
      <c r="M35" s="6" t="s">
        <v>623</v>
      </c>
      <c r="N35" s="6" t="s">
        <v>636</v>
      </c>
      <c r="O35" s="6" t="s">
        <v>578</v>
      </c>
      <c r="P35" s="6" t="s">
        <v>650</v>
      </c>
      <c r="Q35" s="6" t="s">
        <v>583</v>
      </c>
      <c r="R35" s="6" t="s">
        <v>736</v>
      </c>
      <c r="S35" s="6" t="s">
        <v>737</v>
      </c>
      <c r="T35" s="6" t="s">
        <v>579</v>
      </c>
      <c r="U35" s="6" t="s">
        <v>578</v>
      </c>
      <c r="V35" s="6" t="s">
        <v>578</v>
      </c>
      <c r="W35" s="6" t="s">
        <v>578</v>
      </c>
      <c r="X35" s="6" t="s">
        <v>578</v>
      </c>
      <c r="Y35" s="6" t="s">
        <v>582</v>
      </c>
      <c r="Z35" s="6" t="s">
        <v>578</v>
      </c>
      <c r="AA35" s="6" t="s">
        <v>582</v>
      </c>
      <c r="AB35" s="6" t="s">
        <v>579</v>
      </c>
      <c r="AC35" s="6" t="s">
        <v>582</v>
      </c>
      <c r="AD35" s="6" t="s">
        <v>578</v>
      </c>
      <c r="AE35" s="6" t="s">
        <v>582</v>
      </c>
      <c r="AF35" s="6" t="s">
        <v>579</v>
      </c>
      <c r="AG35" s="6" t="s">
        <v>579</v>
      </c>
      <c r="AH35" s="6" t="s">
        <v>589</v>
      </c>
      <c r="AI35" s="6" t="s">
        <v>579</v>
      </c>
      <c r="AJ35" s="6" t="s">
        <v>578</v>
      </c>
      <c r="AK35" s="6" t="s">
        <v>578</v>
      </c>
      <c r="AL35" s="6" t="s">
        <v>578</v>
      </c>
      <c r="AM35" s="6" t="s">
        <v>578</v>
      </c>
      <c r="AN35" s="6" t="s">
        <v>578</v>
      </c>
      <c r="AO35" s="6" t="s">
        <v>578</v>
      </c>
      <c r="AP35" s="6" t="s">
        <v>578</v>
      </c>
      <c r="AQ35" s="6" t="s">
        <v>578</v>
      </c>
      <c r="AR35" s="6" t="s">
        <v>578</v>
      </c>
      <c r="AS35" s="6" t="s">
        <v>578</v>
      </c>
      <c r="AT35" s="6" t="s">
        <v>578</v>
      </c>
      <c r="AU35" s="6" t="s">
        <v>578</v>
      </c>
      <c r="AV35" s="6" t="s">
        <v>578</v>
      </c>
      <c r="AW35" s="6" t="s">
        <v>578</v>
      </c>
      <c r="AX35" s="6" t="s">
        <v>578</v>
      </c>
      <c r="AY35" s="6" t="s">
        <v>578</v>
      </c>
      <c r="AZ35" s="6" t="s">
        <v>578</v>
      </c>
      <c r="BA35" s="6" t="s">
        <v>578</v>
      </c>
      <c r="BB35" s="6" t="s">
        <v>578</v>
      </c>
      <c r="BC35" s="6" t="s">
        <v>578</v>
      </c>
      <c r="BD35" s="6" t="s">
        <v>578</v>
      </c>
      <c r="BE35" s="6" t="s">
        <v>578</v>
      </c>
      <c r="BF35" s="6" t="s">
        <v>578</v>
      </c>
      <c r="BG35" s="6" t="s">
        <v>578</v>
      </c>
      <c r="BH35" s="6" t="s">
        <v>578</v>
      </c>
      <c r="BI35" s="6" t="s">
        <v>578</v>
      </c>
      <c r="BJ35" t="s">
        <v>578</v>
      </c>
      <c r="BK35" s="6" t="s">
        <v>582</v>
      </c>
      <c r="BL35" s="6" t="s">
        <v>578</v>
      </c>
      <c r="BM35" s="6" t="s">
        <v>578</v>
      </c>
      <c r="BN35" s="6" t="s">
        <v>578</v>
      </c>
      <c r="BO35" s="6" t="s">
        <v>578</v>
      </c>
      <c r="BP35" s="6" t="s">
        <v>578</v>
      </c>
      <c r="BQ35" s="6" t="s">
        <v>578</v>
      </c>
      <c r="BR35" s="6" t="s">
        <v>578</v>
      </c>
      <c r="BS35" s="6" t="s">
        <v>578</v>
      </c>
      <c r="BT35" s="6" t="s">
        <v>578</v>
      </c>
      <c r="BU35" s="6" t="s">
        <v>578</v>
      </c>
      <c r="BV35" s="6" t="s">
        <v>578</v>
      </c>
    </row>
    <row r="36" spans="1:74" x14ac:dyDescent="0.3">
      <c r="A36" s="6" t="s">
        <v>142</v>
      </c>
      <c r="B36" s="6" t="s">
        <v>449</v>
      </c>
      <c r="C36" s="6" t="s">
        <v>386</v>
      </c>
      <c r="D36" s="6" t="s">
        <v>733</v>
      </c>
      <c r="E36" s="6" t="s">
        <v>1</v>
      </c>
      <c r="F36" s="6" t="s">
        <v>450</v>
      </c>
      <c r="G36" s="6" t="s">
        <v>68</v>
      </c>
      <c r="H36" s="6" t="s">
        <v>585</v>
      </c>
      <c r="I36" s="6" t="s">
        <v>448</v>
      </c>
      <c r="J36" s="6" t="s">
        <v>734</v>
      </c>
      <c r="K36" s="6" t="s">
        <v>735</v>
      </c>
      <c r="L36" s="6" t="s">
        <v>578</v>
      </c>
      <c r="M36" s="6" t="s">
        <v>623</v>
      </c>
      <c r="N36" s="6" t="s">
        <v>636</v>
      </c>
      <c r="O36" s="6" t="s">
        <v>578</v>
      </c>
      <c r="P36" s="6" t="s">
        <v>650</v>
      </c>
      <c r="Q36" s="6" t="s">
        <v>583</v>
      </c>
      <c r="R36" s="6" t="s">
        <v>736</v>
      </c>
      <c r="S36" s="6" t="s">
        <v>737</v>
      </c>
      <c r="T36" s="6" t="s">
        <v>579</v>
      </c>
      <c r="U36" s="6" t="s">
        <v>578</v>
      </c>
      <c r="V36" s="6" t="s">
        <v>578</v>
      </c>
      <c r="W36" s="6" t="s">
        <v>578</v>
      </c>
      <c r="X36" s="6" t="s">
        <v>578</v>
      </c>
      <c r="Y36" s="6" t="s">
        <v>582</v>
      </c>
      <c r="Z36" s="6" t="s">
        <v>578</v>
      </c>
      <c r="AA36" s="6" t="s">
        <v>582</v>
      </c>
      <c r="AB36" s="6" t="s">
        <v>579</v>
      </c>
      <c r="AC36" s="6" t="s">
        <v>582</v>
      </c>
      <c r="AD36" s="6" t="s">
        <v>578</v>
      </c>
      <c r="AE36" s="6" t="s">
        <v>582</v>
      </c>
      <c r="AF36" s="6" t="s">
        <v>579</v>
      </c>
      <c r="AG36" s="6" t="s">
        <v>579</v>
      </c>
      <c r="AH36" s="6" t="s">
        <v>589</v>
      </c>
      <c r="AI36" s="6" t="s">
        <v>579</v>
      </c>
      <c r="AJ36" s="6" t="s">
        <v>578</v>
      </c>
      <c r="AK36" s="6" t="s">
        <v>578</v>
      </c>
      <c r="AL36" s="6" t="s">
        <v>578</v>
      </c>
      <c r="AM36" s="6" t="s">
        <v>578</v>
      </c>
      <c r="AN36" s="6" t="s">
        <v>578</v>
      </c>
      <c r="AO36" s="6" t="s">
        <v>578</v>
      </c>
      <c r="AP36" s="6" t="s">
        <v>578</v>
      </c>
      <c r="AQ36" s="6" t="s">
        <v>578</v>
      </c>
      <c r="AR36" s="6" t="s">
        <v>578</v>
      </c>
      <c r="AS36" s="6" t="s">
        <v>578</v>
      </c>
      <c r="AT36" s="6" t="s">
        <v>578</v>
      </c>
      <c r="AU36" s="6" t="s">
        <v>578</v>
      </c>
      <c r="AV36" s="6" t="s">
        <v>578</v>
      </c>
      <c r="AW36" s="6" t="s">
        <v>578</v>
      </c>
      <c r="AX36" s="6" t="s">
        <v>578</v>
      </c>
      <c r="AY36" s="6" t="s">
        <v>578</v>
      </c>
      <c r="AZ36" s="6" t="s">
        <v>578</v>
      </c>
      <c r="BA36" s="6" t="s">
        <v>578</v>
      </c>
      <c r="BB36" s="6" t="s">
        <v>578</v>
      </c>
      <c r="BC36" s="6" t="s">
        <v>578</v>
      </c>
      <c r="BD36" s="6" t="s">
        <v>578</v>
      </c>
      <c r="BE36" s="6" t="s">
        <v>578</v>
      </c>
      <c r="BF36" s="6" t="s">
        <v>578</v>
      </c>
      <c r="BG36" s="6" t="s">
        <v>578</v>
      </c>
      <c r="BH36" s="6" t="s">
        <v>578</v>
      </c>
      <c r="BI36" s="6" t="s">
        <v>578</v>
      </c>
      <c r="BJ36" t="s">
        <v>578</v>
      </c>
      <c r="BK36" s="6" t="s">
        <v>582</v>
      </c>
      <c r="BL36" s="6" t="s">
        <v>578</v>
      </c>
      <c r="BM36" s="6" t="s">
        <v>578</v>
      </c>
      <c r="BN36" s="6" t="s">
        <v>578</v>
      </c>
      <c r="BO36" s="6" t="s">
        <v>578</v>
      </c>
      <c r="BP36" s="6" t="s">
        <v>578</v>
      </c>
      <c r="BQ36" s="6" t="s">
        <v>578</v>
      </c>
      <c r="BR36" s="6" t="s">
        <v>578</v>
      </c>
      <c r="BS36" s="6" t="s">
        <v>578</v>
      </c>
      <c r="BT36" s="6" t="s">
        <v>578</v>
      </c>
      <c r="BU36" s="6" t="s">
        <v>578</v>
      </c>
      <c r="BV36" s="6" t="s">
        <v>578</v>
      </c>
    </row>
    <row r="37" spans="1:74" x14ac:dyDescent="0.3">
      <c r="A37" s="6" t="s">
        <v>143</v>
      </c>
      <c r="B37" s="6" t="s">
        <v>147</v>
      </c>
      <c r="C37" s="6" t="s">
        <v>386</v>
      </c>
      <c r="D37" s="6" t="s">
        <v>738</v>
      </c>
      <c r="E37" s="6" t="s">
        <v>69</v>
      </c>
      <c r="F37" s="6" t="s">
        <v>451</v>
      </c>
      <c r="G37" s="6" t="s">
        <v>65</v>
      </c>
      <c r="H37" s="6" t="s">
        <v>585</v>
      </c>
      <c r="I37" s="6" t="s">
        <v>452</v>
      </c>
      <c r="J37" s="6" t="s">
        <v>739</v>
      </c>
      <c r="K37" s="6" t="s">
        <v>740</v>
      </c>
      <c r="L37" s="6" t="s">
        <v>578</v>
      </c>
      <c r="M37" s="6" t="s">
        <v>636</v>
      </c>
      <c r="N37" s="6" t="s">
        <v>578</v>
      </c>
      <c r="O37" s="6" t="s">
        <v>578</v>
      </c>
      <c r="P37" s="6" t="s">
        <v>636</v>
      </c>
      <c r="Q37" s="6" t="s">
        <v>582</v>
      </c>
      <c r="R37" s="6" t="s">
        <v>741</v>
      </c>
      <c r="S37" s="6" t="s">
        <v>742</v>
      </c>
      <c r="T37" s="6" t="s">
        <v>578</v>
      </c>
      <c r="U37" s="6" t="s">
        <v>578</v>
      </c>
      <c r="V37" s="6" t="s">
        <v>578</v>
      </c>
      <c r="W37" s="6" t="s">
        <v>578</v>
      </c>
      <c r="X37" s="6" t="s">
        <v>582</v>
      </c>
      <c r="Y37" s="6" t="s">
        <v>579</v>
      </c>
      <c r="Z37" s="6" t="s">
        <v>578</v>
      </c>
      <c r="AA37" s="6" t="s">
        <v>578</v>
      </c>
      <c r="AB37" s="6" t="s">
        <v>578</v>
      </c>
      <c r="AC37" s="6" t="s">
        <v>578</v>
      </c>
      <c r="AD37" s="6" t="s">
        <v>578</v>
      </c>
      <c r="AE37" s="6" t="s">
        <v>578</v>
      </c>
      <c r="AF37" s="6" t="s">
        <v>578</v>
      </c>
      <c r="AG37" s="6" t="s">
        <v>578</v>
      </c>
      <c r="AH37" s="6" t="s">
        <v>578</v>
      </c>
      <c r="AI37" s="6" t="s">
        <v>578</v>
      </c>
      <c r="AJ37" s="6" t="s">
        <v>578</v>
      </c>
      <c r="AK37" s="6" t="s">
        <v>578</v>
      </c>
      <c r="AL37" s="6" t="s">
        <v>578</v>
      </c>
      <c r="AM37" s="6" t="s">
        <v>578</v>
      </c>
      <c r="AN37" s="6" t="s">
        <v>578</v>
      </c>
      <c r="AO37" s="6" t="s">
        <v>578</v>
      </c>
      <c r="AP37" s="6" t="s">
        <v>578</v>
      </c>
      <c r="AQ37" s="6" t="s">
        <v>578</v>
      </c>
      <c r="AR37" s="6" t="s">
        <v>578</v>
      </c>
      <c r="AS37" s="6" t="s">
        <v>578</v>
      </c>
      <c r="AT37" s="6" t="s">
        <v>578</v>
      </c>
      <c r="AU37" s="6" t="s">
        <v>578</v>
      </c>
      <c r="AV37" s="6" t="s">
        <v>578</v>
      </c>
      <c r="AW37" s="6" t="s">
        <v>578</v>
      </c>
      <c r="AX37" s="6" t="s">
        <v>578</v>
      </c>
      <c r="AY37" s="6" t="s">
        <v>578</v>
      </c>
      <c r="AZ37" s="6" t="s">
        <v>578</v>
      </c>
      <c r="BA37" s="6" t="s">
        <v>578</v>
      </c>
      <c r="BB37" s="6" t="s">
        <v>578</v>
      </c>
      <c r="BC37" s="6" t="s">
        <v>578</v>
      </c>
      <c r="BD37" s="6" t="s">
        <v>578</v>
      </c>
      <c r="BE37" s="6" t="s">
        <v>578</v>
      </c>
      <c r="BF37" s="6" t="s">
        <v>578</v>
      </c>
      <c r="BG37" s="6" t="s">
        <v>578</v>
      </c>
      <c r="BH37" s="6" t="s">
        <v>578</v>
      </c>
      <c r="BI37" s="6" t="s">
        <v>578</v>
      </c>
      <c r="BJ37" t="s">
        <v>578</v>
      </c>
      <c r="BK37" s="6" t="s">
        <v>578</v>
      </c>
      <c r="BL37" s="6" t="s">
        <v>578</v>
      </c>
      <c r="BM37" s="6" t="s">
        <v>578</v>
      </c>
      <c r="BN37" s="6" t="s">
        <v>578</v>
      </c>
      <c r="BO37" s="6" t="s">
        <v>578</v>
      </c>
      <c r="BP37" s="6" t="s">
        <v>578</v>
      </c>
      <c r="BQ37" s="6" t="s">
        <v>578</v>
      </c>
      <c r="BR37" s="6" t="s">
        <v>578</v>
      </c>
      <c r="BS37" s="6" t="s">
        <v>636</v>
      </c>
      <c r="BT37" s="6" t="s">
        <v>578</v>
      </c>
      <c r="BU37" s="6" t="s">
        <v>578</v>
      </c>
      <c r="BV37" s="6" t="s">
        <v>578</v>
      </c>
    </row>
    <row r="38" spans="1:74" x14ac:dyDescent="0.3">
      <c r="A38" s="6" t="s">
        <v>157</v>
      </c>
      <c r="B38" s="6" t="s">
        <v>453</v>
      </c>
      <c r="C38" s="6" t="s">
        <v>386</v>
      </c>
      <c r="D38" s="6" t="s">
        <v>743</v>
      </c>
      <c r="E38" s="6" t="s">
        <v>1</v>
      </c>
      <c r="F38" s="6" t="s">
        <v>454</v>
      </c>
      <c r="G38" s="6" t="s">
        <v>68</v>
      </c>
      <c r="H38" s="6" t="s">
        <v>744</v>
      </c>
      <c r="I38" s="6" t="s">
        <v>455</v>
      </c>
      <c r="J38" s="6" t="s">
        <v>745</v>
      </c>
      <c r="K38" s="6" t="s">
        <v>746</v>
      </c>
      <c r="L38" s="6" t="s">
        <v>747</v>
      </c>
      <c r="M38" s="6" t="s">
        <v>622</v>
      </c>
      <c r="N38" s="6" t="s">
        <v>577</v>
      </c>
      <c r="O38" s="6" t="s">
        <v>636</v>
      </c>
      <c r="P38" s="6" t="s">
        <v>623</v>
      </c>
      <c r="Q38" s="6" t="s">
        <v>748</v>
      </c>
      <c r="R38" s="6" t="s">
        <v>749</v>
      </c>
      <c r="S38" s="6" t="s">
        <v>750</v>
      </c>
      <c r="T38" s="6" t="s">
        <v>583</v>
      </c>
      <c r="U38" s="6" t="s">
        <v>623</v>
      </c>
      <c r="V38" s="6" t="s">
        <v>590</v>
      </c>
      <c r="W38" s="6" t="s">
        <v>576</v>
      </c>
      <c r="X38" s="6" t="s">
        <v>583</v>
      </c>
      <c r="Y38" s="6" t="s">
        <v>582</v>
      </c>
      <c r="Z38" s="6" t="s">
        <v>582</v>
      </c>
      <c r="AA38" s="6" t="s">
        <v>582</v>
      </c>
      <c r="AB38" s="6" t="s">
        <v>589</v>
      </c>
      <c r="AC38" s="6" t="s">
        <v>589</v>
      </c>
      <c r="AD38" s="6" t="s">
        <v>578</v>
      </c>
      <c r="AE38" s="6" t="s">
        <v>636</v>
      </c>
      <c r="AF38" s="6" t="s">
        <v>579</v>
      </c>
      <c r="AG38" s="6" t="s">
        <v>579</v>
      </c>
      <c r="AH38" s="6" t="s">
        <v>579</v>
      </c>
      <c r="AI38" s="6" t="s">
        <v>579</v>
      </c>
      <c r="AJ38" s="6" t="s">
        <v>589</v>
      </c>
      <c r="AK38" s="6" t="s">
        <v>576</v>
      </c>
      <c r="AL38" s="6" t="s">
        <v>582</v>
      </c>
      <c r="AM38" s="6" t="s">
        <v>583</v>
      </c>
      <c r="AN38" s="6" t="s">
        <v>578</v>
      </c>
      <c r="AO38" s="6" t="s">
        <v>578</v>
      </c>
      <c r="AP38" s="6" t="s">
        <v>578</v>
      </c>
      <c r="AQ38" s="6" t="s">
        <v>578</v>
      </c>
      <c r="AR38" s="6" t="s">
        <v>578</v>
      </c>
      <c r="AS38" s="6" t="s">
        <v>578</v>
      </c>
      <c r="AT38" s="6" t="s">
        <v>578</v>
      </c>
      <c r="AU38" s="6" t="s">
        <v>578</v>
      </c>
      <c r="AV38" s="6" t="s">
        <v>578</v>
      </c>
      <c r="AW38" s="6" t="s">
        <v>578</v>
      </c>
      <c r="AX38" s="6" t="s">
        <v>578</v>
      </c>
      <c r="AY38" s="6" t="s">
        <v>578</v>
      </c>
      <c r="AZ38" s="6" t="s">
        <v>578</v>
      </c>
      <c r="BA38" s="6" t="s">
        <v>578</v>
      </c>
      <c r="BB38" s="6" t="s">
        <v>578</v>
      </c>
      <c r="BC38" s="6" t="s">
        <v>578</v>
      </c>
      <c r="BD38" s="6" t="s">
        <v>578</v>
      </c>
      <c r="BE38" s="6" t="s">
        <v>578</v>
      </c>
      <c r="BF38" s="6" t="s">
        <v>578</v>
      </c>
      <c r="BG38" s="6" t="s">
        <v>578</v>
      </c>
      <c r="BH38" s="6" t="s">
        <v>578</v>
      </c>
      <c r="BI38" s="6" t="s">
        <v>578</v>
      </c>
      <c r="BJ38" t="s">
        <v>578</v>
      </c>
      <c r="BK38" s="6" t="s">
        <v>582</v>
      </c>
      <c r="BL38" s="6" t="s">
        <v>578</v>
      </c>
      <c r="BM38" s="6" t="s">
        <v>578</v>
      </c>
      <c r="BN38" s="6" t="s">
        <v>578</v>
      </c>
      <c r="BO38" s="6" t="s">
        <v>578</v>
      </c>
      <c r="BP38" s="6" t="s">
        <v>578</v>
      </c>
      <c r="BQ38" s="6" t="s">
        <v>578</v>
      </c>
      <c r="BR38" s="6" t="s">
        <v>578</v>
      </c>
      <c r="BS38" s="6" t="s">
        <v>578</v>
      </c>
      <c r="BT38" s="6" t="s">
        <v>578</v>
      </c>
      <c r="BU38" s="6" t="s">
        <v>578</v>
      </c>
      <c r="BV38" s="6" t="s">
        <v>578</v>
      </c>
    </row>
    <row r="39" spans="1:74" x14ac:dyDescent="0.3">
      <c r="A39" s="6" t="s">
        <v>159</v>
      </c>
      <c r="B39" s="6" t="s">
        <v>456</v>
      </c>
      <c r="C39" s="6" t="s">
        <v>386</v>
      </c>
      <c r="D39" s="6" t="s">
        <v>751</v>
      </c>
      <c r="E39" s="6" t="s">
        <v>1</v>
      </c>
      <c r="F39" s="6" t="s">
        <v>457</v>
      </c>
      <c r="G39" s="6" t="s">
        <v>68</v>
      </c>
      <c r="H39" s="6" t="s">
        <v>752</v>
      </c>
      <c r="I39" s="6" t="s">
        <v>458</v>
      </c>
      <c r="J39" s="6" t="s">
        <v>753</v>
      </c>
      <c r="K39" s="6" t="s">
        <v>754</v>
      </c>
      <c r="L39" s="6" t="s">
        <v>755</v>
      </c>
      <c r="M39" s="6" t="s">
        <v>636</v>
      </c>
      <c r="N39" s="6" t="s">
        <v>576</v>
      </c>
      <c r="O39" s="6" t="s">
        <v>576</v>
      </c>
      <c r="P39" s="6" t="s">
        <v>705</v>
      </c>
      <c r="Q39" s="6" t="s">
        <v>633</v>
      </c>
      <c r="R39" s="6" t="s">
        <v>756</v>
      </c>
      <c r="S39" s="6" t="s">
        <v>757</v>
      </c>
      <c r="T39" s="6" t="s">
        <v>579</v>
      </c>
      <c r="U39" s="6" t="s">
        <v>636</v>
      </c>
      <c r="V39" s="6" t="s">
        <v>579</v>
      </c>
      <c r="W39" s="6" t="s">
        <v>582</v>
      </c>
      <c r="X39" s="6" t="s">
        <v>582</v>
      </c>
      <c r="Y39" s="6" t="s">
        <v>583</v>
      </c>
      <c r="Z39" s="6" t="s">
        <v>578</v>
      </c>
      <c r="AA39" s="6" t="s">
        <v>583</v>
      </c>
      <c r="AB39" s="6" t="s">
        <v>583</v>
      </c>
      <c r="AC39" s="6" t="s">
        <v>576</v>
      </c>
      <c r="AD39" s="6" t="s">
        <v>579</v>
      </c>
      <c r="AE39" s="6" t="s">
        <v>579</v>
      </c>
      <c r="AF39" s="6" t="s">
        <v>589</v>
      </c>
      <c r="AG39" s="6" t="s">
        <v>578</v>
      </c>
      <c r="AH39" s="6" t="s">
        <v>579</v>
      </c>
      <c r="AI39" s="6" t="s">
        <v>579</v>
      </c>
      <c r="AJ39" s="6" t="s">
        <v>582</v>
      </c>
      <c r="AK39" s="6" t="s">
        <v>582</v>
      </c>
      <c r="AL39" s="6" t="s">
        <v>578</v>
      </c>
      <c r="AM39" s="6" t="s">
        <v>578</v>
      </c>
      <c r="AN39" s="6" t="s">
        <v>578</v>
      </c>
      <c r="AO39" s="6" t="s">
        <v>578</v>
      </c>
      <c r="AP39" s="6" t="s">
        <v>578</v>
      </c>
      <c r="AQ39" s="6" t="s">
        <v>578</v>
      </c>
      <c r="AR39" s="6" t="s">
        <v>578</v>
      </c>
      <c r="AS39" s="6" t="s">
        <v>578</v>
      </c>
      <c r="AT39" s="6" t="s">
        <v>578</v>
      </c>
      <c r="AU39" s="6" t="s">
        <v>578</v>
      </c>
      <c r="AV39" s="6" t="s">
        <v>578</v>
      </c>
      <c r="AW39" s="6" t="s">
        <v>578</v>
      </c>
      <c r="AX39" s="6" t="s">
        <v>578</v>
      </c>
      <c r="AY39" s="6" t="s">
        <v>578</v>
      </c>
      <c r="AZ39" s="6" t="s">
        <v>578</v>
      </c>
      <c r="BA39" s="6" t="s">
        <v>578</v>
      </c>
      <c r="BB39" s="6" t="s">
        <v>578</v>
      </c>
      <c r="BC39" s="6" t="s">
        <v>578</v>
      </c>
      <c r="BD39" s="6" t="s">
        <v>578</v>
      </c>
      <c r="BE39" s="6" t="s">
        <v>578</v>
      </c>
      <c r="BF39" s="6" t="s">
        <v>578</v>
      </c>
      <c r="BG39" s="6" t="s">
        <v>578</v>
      </c>
      <c r="BH39" s="6" t="s">
        <v>578</v>
      </c>
      <c r="BI39" s="6" t="s">
        <v>578</v>
      </c>
      <c r="BJ39" t="s">
        <v>578</v>
      </c>
      <c r="BK39" s="6" t="s">
        <v>582</v>
      </c>
      <c r="BL39" s="6" t="s">
        <v>578</v>
      </c>
      <c r="BM39" s="6" t="s">
        <v>578</v>
      </c>
      <c r="BN39" s="6" t="s">
        <v>578</v>
      </c>
      <c r="BO39" s="6" t="s">
        <v>578</v>
      </c>
      <c r="BP39" s="6" t="s">
        <v>578</v>
      </c>
      <c r="BQ39" s="6" t="s">
        <v>578</v>
      </c>
      <c r="BR39" s="6" t="s">
        <v>578</v>
      </c>
      <c r="BS39" s="6" t="s">
        <v>578</v>
      </c>
      <c r="BT39" s="6" t="s">
        <v>578</v>
      </c>
      <c r="BU39" s="6" t="s">
        <v>578</v>
      </c>
      <c r="BV39" s="6" t="s">
        <v>578</v>
      </c>
    </row>
    <row r="40" spans="1:74" x14ac:dyDescent="0.3">
      <c r="A40" s="6" t="s">
        <v>205</v>
      </c>
      <c r="B40" s="6" t="s">
        <v>459</v>
      </c>
      <c r="C40" s="6" t="s">
        <v>386</v>
      </c>
      <c r="D40" s="6" t="s">
        <v>758</v>
      </c>
      <c r="E40" s="6" t="s">
        <v>1</v>
      </c>
      <c r="F40" s="6" t="s">
        <v>460</v>
      </c>
      <c r="G40" s="6" t="s">
        <v>68</v>
      </c>
      <c r="H40" s="6" t="s">
        <v>585</v>
      </c>
      <c r="I40" s="6" t="s">
        <v>461</v>
      </c>
      <c r="J40" s="6" t="s">
        <v>759</v>
      </c>
      <c r="K40" s="6" t="s">
        <v>760</v>
      </c>
      <c r="L40" s="6" t="s">
        <v>596</v>
      </c>
      <c r="M40" s="6" t="s">
        <v>636</v>
      </c>
      <c r="N40" s="6" t="s">
        <v>597</v>
      </c>
      <c r="O40" s="6" t="s">
        <v>589</v>
      </c>
      <c r="P40" s="6" t="s">
        <v>705</v>
      </c>
      <c r="Q40" s="6" t="s">
        <v>748</v>
      </c>
      <c r="R40" s="6" t="s">
        <v>761</v>
      </c>
      <c r="S40" s="6" t="s">
        <v>762</v>
      </c>
      <c r="T40" s="6" t="s">
        <v>583</v>
      </c>
      <c r="U40" s="6" t="s">
        <v>578</v>
      </c>
      <c r="V40" s="6" t="s">
        <v>576</v>
      </c>
      <c r="W40" s="6" t="s">
        <v>576</v>
      </c>
      <c r="X40" s="6" t="s">
        <v>576</v>
      </c>
      <c r="Y40" s="6" t="s">
        <v>589</v>
      </c>
      <c r="Z40" s="6" t="s">
        <v>576</v>
      </c>
      <c r="AA40" s="6" t="s">
        <v>576</v>
      </c>
      <c r="AB40" s="6" t="s">
        <v>579</v>
      </c>
      <c r="AC40" s="6" t="s">
        <v>579</v>
      </c>
      <c r="AD40" s="6" t="s">
        <v>582</v>
      </c>
      <c r="AE40" s="6" t="s">
        <v>582</v>
      </c>
      <c r="AF40" s="6" t="s">
        <v>578</v>
      </c>
      <c r="AG40" s="6" t="s">
        <v>582</v>
      </c>
      <c r="AH40" s="6" t="s">
        <v>582</v>
      </c>
      <c r="AI40" s="6" t="s">
        <v>579</v>
      </c>
      <c r="AJ40" s="6" t="s">
        <v>578</v>
      </c>
      <c r="AK40" s="6" t="s">
        <v>589</v>
      </c>
      <c r="AL40" s="6" t="s">
        <v>578</v>
      </c>
      <c r="AM40" s="6" t="s">
        <v>582</v>
      </c>
      <c r="AN40" s="6" t="s">
        <v>578</v>
      </c>
      <c r="AO40" s="6" t="s">
        <v>578</v>
      </c>
      <c r="AP40" s="6" t="s">
        <v>578</v>
      </c>
      <c r="AQ40" s="6" t="s">
        <v>578</v>
      </c>
      <c r="AR40" s="6" t="s">
        <v>578</v>
      </c>
      <c r="AS40" s="6" t="s">
        <v>578</v>
      </c>
      <c r="AT40" s="6" t="s">
        <v>578</v>
      </c>
      <c r="AU40" s="6" t="s">
        <v>578</v>
      </c>
      <c r="AV40" s="6" t="s">
        <v>578</v>
      </c>
      <c r="AW40" s="6" t="s">
        <v>578</v>
      </c>
      <c r="AX40" s="6" t="s">
        <v>578</v>
      </c>
      <c r="AY40" s="6" t="s">
        <v>578</v>
      </c>
      <c r="AZ40" s="6" t="s">
        <v>578</v>
      </c>
      <c r="BA40" s="6" t="s">
        <v>578</v>
      </c>
      <c r="BB40" s="6" t="s">
        <v>578</v>
      </c>
      <c r="BC40" s="6" t="s">
        <v>578</v>
      </c>
      <c r="BD40" s="6" t="s">
        <v>578</v>
      </c>
      <c r="BE40" s="6" t="s">
        <v>578</v>
      </c>
      <c r="BF40" s="6" t="s">
        <v>578</v>
      </c>
      <c r="BG40" s="6" t="s">
        <v>578</v>
      </c>
      <c r="BH40" s="6" t="s">
        <v>578</v>
      </c>
      <c r="BI40" s="6" t="s">
        <v>578</v>
      </c>
      <c r="BJ40" t="s">
        <v>578</v>
      </c>
      <c r="BK40" s="6" t="s">
        <v>582</v>
      </c>
      <c r="BL40" s="6" t="s">
        <v>578</v>
      </c>
      <c r="BM40" s="6" t="s">
        <v>578</v>
      </c>
      <c r="BN40" s="6" t="s">
        <v>578</v>
      </c>
      <c r="BO40" s="6" t="s">
        <v>578</v>
      </c>
      <c r="BP40" s="6" t="s">
        <v>578</v>
      </c>
      <c r="BQ40" s="6" t="s">
        <v>578</v>
      </c>
      <c r="BR40" s="6" t="s">
        <v>578</v>
      </c>
      <c r="BS40" s="6" t="s">
        <v>578</v>
      </c>
      <c r="BT40" s="6" t="s">
        <v>578</v>
      </c>
      <c r="BU40" s="6" t="s">
        <v>578</v>
      </c>
      <c r="BV40" s="6" t="s">
        <v>578</v>
      </c>
    </row>
    <row r="41" spans="1:74" x14ac:dyDescent="0.3">
      <c r="A41" s="6" t="s">
        <v>207</v>
      </c>
      <c r="B41" s="6" t="s">
        <v>462</v>
      </c>
      <c r="C41" s="6" t="s">
        <v>386</v>
      </c>
      <c r="D41" s="6" t="s">
        <v>763</v>
      </c>
      <c r="E41" s="6" t="s">
        <v>1</v>
      </c>
      <c r="F41" s="6" t="s">
        <v>463</v>
      </c>
      <c r="G41" s="6" t="s">
        <v>68</v>
      </c>
      <c r="H41" s="6" t="s">
        <v>585</v>
      </c>
      <c r="I41" s="6" t="s">
        <v>464</v>
      </c>
      <c r="J41" s="6" t="s">
        <v>764</v>
      </c>
      <c r="K41" s="6" t="s">
        <v>765</v>
      </c>
      <c r="L41" s="6" t="s">
        <v>596</v>
      </c>
      <c r="M41" s="6" t="s">
        <v>705</v>
      </c>
      <c r="N41" s="6" t="s">
        <v>597</v>
      </c>
      <c r="O41" s="6" t="s">
        <v>589</v>
      </c>
      <c r="P41" s="6" t="s">
        <v>589</v>
      </c>
      <c r="Q41" s="6" t="s">
        <v>748</v>
      </c>
      <c r="R41" s="6" t="s">
        <v>766</v>
      </c>
      <c r="S41" s="6" t="s">
        <v>767</v>
      </c>
      <c r="T41" s="6" t="s">
        <v>583</v>
      </c>
      <c r="U41" s="6" t="s">
        <v>578</v>
      </c>
      <c r="V41" s="6" t="s">
        <v>576</v>
      </c>
      <c r="W41" s="6" t="s">
        <v>576</v>
      </c>
      <c r="X41" s="6" t="s">
        <v>576</v>
      </c>
      <c r="Y41" s="6" t="s">
        <v>589</v>
      </c>
      <c r="Z41" s="6" t="s">
        <v>576</v>
      </c>
      <c r="AA41" s="6" t="s">
        <v>576</v>
      </c>
      <c r="AB41" s="6" t="s">
        <v>579</v>
      </c>
      <c r="AC41" s="6" t="s">
        <v>579</v>
      </c>
      <c r="AD41" s="6" t="s">
        <v>582</v>
      </c>
      <c r="AE41" s="6" t="s">
        <v>582</v>
      </c>
      <c r="AF41" s="6" t="s">
        <v>578</v>
      </c>
      <c r="AG41" s="6" t="s">
        <v>582</v>
      </c>
      <c r="AH41" s="6" t="s">
        <v>582</v>
      </c>
      <c r="AI41" s="6" t="s">
        <v>579</v>
      </c>
      <c r="AJ41" s="6" t="s">
        <v>578</v>
      </c>
      <c r="AK41" s="6" t="s">
        <v>589</v>
      </c>
      <c r="AL41" s="6" t="s">
        <v>578</v>
      </c>
      <c r="AM41" s="6" t="s">
        <v>582</v>
      </c>
      <c r="AN41" s="6" t="s">
        <v>578</v>
      </c>
      <c r="AO41" s="6" t="s">
        <v>578</v>
      </c>
      <c r="AP41" s="6" t="s">
        <v>578</v>
      </c>
      <c r="AQ41" s="6" t="s">
        <v>578</v>
      </c>
      <c r="AR41" s="6" t="s">
        <v>578</v>
      </c>
      <c r="AS41" s="6" t="s">
        <v>578</v>
      </c>
      <c r="AT41" s="6" t="s">
        <v>578</v>
      </c>
      <c r="AU41" s="6" t="s">
        <v>578</v>
      </c>
      <c r="AV41" s="6" t="s">
        <v>578</v>
      </c>
      <c r="AW41" s="6" t="s">
        <v>578</v>
      </c>
      <c r="AX41" s="6" t="s">
        <v>578</v>
      </c>
      <c r="AY41" s="6" t="s">
        <v>578</v>
      </c>
      <c r="AZ41" s="6" t="s">
        <v>578</v>
      </c>
      <c r="BA41" s="6" t="s">
        <v>578</v>
      </c>
      <c r="BB41" s="6" t="s">
        <v>578</v>
      </c>
      <c r="BC41" s="6" t="s">
        <v>578</v>
      </c>
      <c r="BD41" s="6" t="s">
        <v>578</v>
      </c>
      <c r="BE41" s="6" t="s">
        <v>578</v>
      </c>
      <c r="BF41" s="6" t="s">
        <v>578</v>
      </c>
      <c r="BG41" s="6" t="s">
        <v>578</v>
      </c>
      <c r="BH41" s="6" t="s">
        <v>578</v>
      </c>
      <c r="BI41" s="6" t="s">
        <v>578</v>
      </c>
      <c r="BJ41" t="s">
        <v>578</v>
      </c>
      <c r="BK41" s="6" t="s">
        <v>578</v>
      </c>
      <c r="BL41" s="6" t="s">
        <v>578</v>
      </c>
      <c r="BM41" s="6" t="s">
        <v>578</v>
      </c>
      <c r="BN41" s="6" t="s">
        <v>578</v>
      </c>
      <c r="BO41" s="6" t="s">
        <v>578</v>
      </c>
      <c r="BP41" s="6" t="s">
        <v>578</v>
      </c>
      <c r="BQ41" s="6" t="s">
        <v>578</v>
      </c>
      <c r="BR41" s="6" t="s">
        <v>578</v>
      </c>
      <c r="BS41" s="6" t="s">
        <v>578</v>
      </c>
      <c r="BT41" s="6" t="s">
        <v>578</v>
      </c>
      <c r="BU41" s="6" t="s">
        <v>578</v>
      </c>
      <c r="BV41" s="6" t="s">
        <v>578</v>
      </c>
    </row>
    <row r="42" spans="1:74" x14ac:dyDescent="0.3">
      <c r="A42" s="6" t="s">
        <v>288</v>
      </c>
      <c r="B42" s="6" t="s">
        <v>465</v>
      </c>
      <c r="C42" s="6" t="s">
        <v>386</v>
      </c>
      <c r="D42" s="6" t="s">
        <v>744</v>
      </c>
      <c r="E42" s="6" t="s">
        <v>285</v>
      </c>
      <c r="F42" s="6" t="s">
        <v>466</v>
      </c>
      <c r="G42" s="6" t="s">
        <v>286</v>
      </c>
      <c r="H42" s="6" t="s">
        <v>572</v>
      </c>
      <c r="I42" s="6" t="s">
        <v>467</v>
      </c>
      <c r="J42" s="6" t="s">
        <v>768</v>
      </c>
      <c r="K42" s="6" t="s">
        <v>769</v>
      </c>
      <c r="L42" s="6" t="s">
        <v>578</v>
      </c>
      <c r="M42" s="6" t="s">
        <v>579</v>
      </c>
      <c r="N42" s="6" t="s">
        <v>582</v>
      </c>
      <c r="O42" s="6" t="s">
        <v>582</v>
      </c>
      <c r="P42" s="6" t="s">
        <v>579</v>
      </c>
      <c r="Q42" s="6" t="s">
        <v>582</v>
      </c>
      <c r="R42" s="6" t="s">
        <v>770</v>
      </c>
      <c r="S42" s="6" t="s">
        <v>771</v>
      </c>
      <c r="T42" s="6" t="s">
        <v>578</v>
      </c>
      <c r="U42" s="6" t="s">
        <v>578</v>
      </c>
      <c r="V42" s="6" t="s">
        <v>582</v>
      </c>
      <c r="W42" s="6" t="s">
        <v>578</v>
      </c>
      <c r="X42" s="6" t="s">
        <v>578</v>
      </c>
      <c r="Y42" s="6" t="s">
        <v>582</v>
      </c>
      <c r="Z42" s="6" t="s">
        <v>578</v>
      </c>
      <c r="AA42" s="6" t="s">
        <v>578</v>
      </c>
      <c r="AB42" s="6" t="s">
        <v>582</v>
      </c>
      <c r="AC42" s="6" t="s">
        <v>578</v>
      </c>
      <c r="AD42" s="6" t="s">
        <v>578</v>
      </c>
      <c r="AE42" s="6" t="s">
        <v>578</v>
      </c>
      <c r="AF42" s="6" t="s">
        <v>578</v>
      </c>
      <c r="AG42" s="6" t="s">
        <v>578</v>
      </c>
      <c r="AH42" s="6" t="s">
        <v>582</v>
      </c>
      <c r="AI42" s="6" t="s">
        <v>578</v>
      </c>
      <c r="AJ42" s="6" t="s">
        <v>578</v>
      </c>
      <c r="AK42" s="6" t="s">
        <v>578</v>
      </c>
      <c r="AL42" s="6" t="s">
        <v>578</v>
      </c>
      <c r="AM42" s="6" t="s">
        <v>578</v>
      </c>
      <c r="AN42" s="6" t="s">
        <v>578</v>
      </c>
      <c r="AO42" s="6" t="s">
        <v>578</v>
      </c>
      <c r="AP42" s="6" t="s">
        <v>578</v>
      </c>
      <c r="AQ42" s="6" t="s">
        <v>578</v>
      </c>
      <c r="AR42" s="6" t="s">
        <v>582</v>
      </c>
      <c r="AS42" s="6" t="s">
        <v>578</v>
      </c>
      <c r="AT42" s="6" t="s">
        <v>578</v>
      </c>
      <c r="AU42" s="6" t="s">
        <v>578</v>
      </c>
      <c r="AV42" s="6" t="s">
        <v>578</v>
      </c>
      <c r="AW42" s="6" t="s">
        <v>578</v>
      </c>
      <c r="AX42" s="6" t="s">
        <v>578</v>
      </c>
      <c r="AY42" s="6" t="s">
        <v>578</v>
      </c>
      <c r="AZ42" s="6" t="s">
        <v>578</v>
      </c>
      <c r="BA42" s="6" t="s">
        <v>578</v>
      </c>
      <c r="BB42" s="6" t="s">
        <v>578</v>
      </c>
      <c r="BC42" s="6" t="s">
        <v>578</v>
      </c>
      <c r="BD42" s="6" t="s">
        <v>578</v>
      </c>
      <c r="BE42" s="6" t="s">
        <v>578</v>
      </c>
      <c r="BF42" s="6" t="s">
        <v>578</v>
      </c>
      <c r="BG42" s="6" t="s">
        <v>578</v>
      </c>
      <c r="BH42" s="6" t="s">
        <v>578</v>
      </c>
      <c r="BI42" s="6" t="s">
        <v>578</v>
      </c>
      <c r="BJ42" t="s">
        <v>578</v>
      </c>
      <c r="BK42" s="6" t="s">
        <v>578</v>
      </c>
      <c r="BL42" s="6" t="s">
        <v>578</v>
      </c>
      <c r="BM42" s="6" t="s">
        <v>578</v>
      </c>
      <c r="BN42" s="6" t="s">
        <v>578</v>
      </c>
      <c r="BO42" s="6" t="s">
        <v>578</v>
      </c>
      <c r="BP42" s="6" t="s">
        <v>578</v>
      </c>
      <c r="BQ42" s="6" t="s">
        <v>578</v>
      </c>
      <c r="BR42" s="6" t="s">
        <v>578</v>
      </c>
      <c r="BS42" s="6" t="s">
        <v>578</v>
      </c>
      <c r="BT42" s="6" t="s">
        <v>578</v>
      </c>
      <c r="BU42" s="6" t="s">
        <v>578</v>
      </c>
      <c r="BV42" s="6" t="s">
        <v>578</v>
      </c>
    </row>
    <row r="43" spans="1:74" x14ac:dyDescent="0.3">
      <c r="A43" s="6" t="s">
        <v>294</v>
      </c>
      <c r="B43" s="6" t="s">
        <v>468</v>
      </c>
      <c r="C43" s="6" t="s">
        <v>386</v>
      </c>
      <c r="D43" s="6" t="s">
        <v>733</v>
      </c>
      <c r="E43" s="6" t="s">
        <v>1</v>
      </c>
      <c r="F43" s="6" t="s">
        <v>469</v>
      </c>
      <c r="G43" s="6" t="s">
        <v>68</v>
      </c>
      <c r="H43" s="6" t="s">
        <v>585</v>
      </c>
      <c r="I43" s="6" t="s">
        <v>470</v>
      </c>
      <c r="J43" s="6" t="s">
        <v>772</v>
      </c>
      <c r="K43" s="6" t="s">
        <v>773</v>
      </c>
      <c r="L43" s="6" t="s">
        <v>578</v>
      </c>
      <c r="M43" s="6" t="s">
        <v>623</v>
      </c>
      <c r="N43" s="6" t="s">
        <v>636</v>
      </c>
      <c r="O43" s="6" t="s">
        <v>578</v>
      </c>
      <c r="P43" s="6" t="s">
        <v>650</v>
      </c>
      <c r="Q43" s="6" t="s">
        <v>583</v>
      </c>
      <c r="R43" s="6" t="s">
        <v>736</v>
      </c>
      <c r="S43" s="6" t="s">
        <v>737</v>
      </c>
      <c r="T43" s="6" t="s">
        <v>579</v>
      </c>
      <c r="U43" s="6" t="s">
        <v>578</v>
      </c>
      <c r="V43" s="6" t="s">
        <v>578</v>
      </c>
      <c r="W43" s="6" t="s">
        <v>578</v>
      </c>
      <c r="X43" s="6" t="s">
        <v>578</v>
      </c>
      <c r="Y43" s="6" t="s">
        <v>582</v>
      </c>
      <c r="Z43" s="6" t="s">
        <v>578</v>
      </c>
      <c r="AA43" s="6" t="s">
        <v>582</v>
      </c>
      <c r="AB43" s="6" t="s">
        <v>579</v>
      </c>
      <c r="AC43" s="6" t="s">
        <v>582</v>
      </c>
      <c r="AD43" s="6" t="s">
        <v>578</v>
      </c>
      <c r="AE43" s="6" t="s">
        <v>582</v>
      </c>
      <c r="AF43" s="6" t="s">
        <v>579</v>
      </c>
      <c r="AG43" s="6" t="s">
        <v>579</v>
      </c>
      <c r="AH43" s="6" t="s">
        <v>589</v>
      </c>
      <c r="AI43" s="6" t="s">
        <v>579</v>
      </c>
      <c r="AJ43" s="6" t="s">
        <v>578</v>
      </c>
      <c r="AK43" s="6" t="s">
        <v>578</v>
      </c>
      <c r="AL43" s="6" t="s">
        <v>578</v>
      </c>
      <c r="AM43" s="6" t="s">
        <v>578</v>
      </c>
      <c r="AN43" s="6" t="s">
        <v>578</v>
      </c>
      <c r="AO43" s="6" t="s">
        <v>578</v>
      </c>
      <c r="AP43" s="6" t="s">
        <v>578</v>
      </c>
      <c r="AQ43" s="6" t="s">
        <v>578</v>
      </c>
      <c r="AR43" s="6" t="s">
        <v>578</v>
      </c>
      <c r="AS43" s="6" t="s">
        <v>578</v>
      </c>
      <c r="AT43" s="6" t="s">
        <v>578</v>
      </c>
      <c r="AU43" s="6" t="s">
        <v>578</v>
      </c>
      <c r="AV43" s="6" t="s">
        <v>578</v>
      </c>
      <c r="AW43" s="6" t="s">
        <v>578</v>
      </c>
      <c r="AX43" s="6" t="s">
        <v>578</v>
      </c>
      <c r="AY43" s="6" t="s">
        <v>578</v>
      </c>
      <c r="AZ43" s="6" t="s">
        <v>578</v>
      </c>
      <c r="BA43" s="6" t="s">
        <v>578</v>
      </c>
      <c r="BB43" s="6" t="s">
        <v>578</v>
      </c>
      <c r="BC43" s="6" t="s">
        <v>578</v>
      </c>
      <c r="BD43" s="6" t="s">
        <v>578</v>
      </c>
      <c r="BE43" s="6" t="s">
        <v>578</v>
      </c>
      <c r="BF43" s="6" t="s">
        <v>578</v>
      </c>
      <c r="BG43" s="6" t="s">
        <v>578</v>
      </c>
      <c r="BH43" s="6" t="s">
        <v>578</v>
      </c>
      <c r="BI43" s="6" t="s">
        <v>578</v>
      </c>
      <c r="BJ43" t="s">
        <v>578</v>
      </c>
      <c r="BK43" s="6" t="s">
        <v>578</v>
      </c>
      <c r="BL43" s="6" t="s">
        <v>578</v>
      </c>
      <c r="BM43" s="6" t="s">
        <v>578</v>
      </c>
      <c r="BN43" s="6" t="s">
        <v>578</v>
      </c>
      <c r="BO43" s="6" t="s">
        <v>578</v>
      </c>
      <c r="BP43" s="6" t="s">
        <v>578</v>
      </c>
      <c r="BQ43" s="6" t="s">
        <v>578</v>
      </c>
      <c r="BR43" s="6" t="s">
        <v>578</v>
      </c>
      <c r="BS43" s="6" t="s">
        <v>578</v>
      </c>
      <c r="BT43" s="6" t="s">
        <v>582</v>
      </c>
      <c r="BU43" s="6" t="s">
        <v>578</v>
      </c>
      <c r="BV43" s="6" t="s">
        <v>578</v>
      </c>
    </row>
    <row r="44" spans="1:74" x14ac:dyDescent="0.3">
      <c r="A44" s="6" t="s">
        <v>471</v>
      </c>
      <c r="B44" s="6" t="s">
        <v>472</v>
      </c>
      <c r="C44" s="6" t="s">
        <v>386</v>
      </c>
      <c r="D44" s="6" t="s">
        <v>724</v>
      </c>
      <c r="E44" s="6" t="s">
        <v>1</v>
      </c>
      <c r="F44" s="6" t="s">
        <v>473</v>
      </c>
      <c r="G44" s="6" t="s">
        <v>68</v>
      </c>
      <c r="H44" s="6" t="s">
        <v>585</v>
      </c>
      <c r="I44" s="6" t="s">
        <v>474</v>
      </c>
      <c r="J44" s="6" t="s">
        <v>774</v>
      </c>
      <c r="K44" s="6" t="s">
        <v>775</v>
      </c>
      <c r="L44" s="6" t="s">
        <v>578</v>
      </c>
      <c r="M44" s="6" t="s">
        <v>579</v>
      </c>
      <c r="N44" s="6" t="s">
        <v>776</v>
      </c>
      <c r="O44" s="6" t="s">
        <v>589</v>
      </c>
      <c r="P44" s="6" t="s">
        <v>582</v>
      </c>
      <c r="Q44" s="6" t="s">
        <v>578</v>
      </c>
      <c r="R44" s="6" t="s">
        <v>578</v>
      </c>
      <c r="S44" s="6" t="s">
        <v>777</v>
      </c>
      <c r="T44" s="6" t="s">
        <v>578</v>
      </c>
      <c r="U44" s="6" t="s">
        <v>578</v>
      </c>
      <c r="V44" s="6" t="s">
        <v>589</v>
      </c>
      <c r="W44" s="6" t="s">
        <v>578</v>
      </c>
      <c r="X44" s="6" t="s">
        <v>578</v>
      </c>
      <c r="Y44" s="6" t="s">
        <v>578</v>
      </c>
      <c r="Z44" s="6" t="s">
        <v>578</v>
      </c>
      <c r="AA44" s="6" t="s">
        <v>578</v>
      </c>
      <c r="AB44" s="6" t="s">
        <v>578</v>
      </c>
      <c r="AC44" s="6" t="s">
        <v>578</v>
      </c>
      <c r="AD44" s="6" t="s">
        <v>578</v>
      </c>
      <c r="AE44" s="6" t="s">
        <v>578</v>
      </c>
      <c r="AF44" s="6" t="s">
        <v>578</v>
      </c>
      <c r="AG44" s="6" t="s">
        <v>578</v>
      </c>
      <c r="AH44" s="6" t="s">
        <v>578</v>
      </c>
      <c r="AI44" s="6" t="s">
        <v>604</v>
      </c>
      <c r="AJ44" s="6" t="s">
        <v>578</v>
      </c>
      <c r="AK44" s="6" t="s">
        <v>578</v>
      </c>
      <c r="AL44" s="6" t="s">
        <v>578</v>
      </c>
      <c r="AM44" s="6" t="s">
        <v>578</v>
      </c>
      <c r="AN44" s="6" t="s">
        <v>578</v>
      </c>
      <c r="AO44" s="6" t="s">
        <v>578</v>
      </c>
      <c r="AP44" s="6" t="s">
        <v>578</v>
      </c>
      <c r="AQ44" s="6" t="s">
        <v>578</v>
      </c>
      <c r="AR44" s="6" t="s">
        <v>578</v>
      </c>
      <c r="AS44" s="6" t="s">
        <v>578</v>
      </c>
      <c r="AT44" s="6" t="s">
        <v>578</v>
      </c>
      <c r="AU44" s="6" t="s">
        <v>578</v>
      </c>
      <c r="AV44" s="6" t="s">
        <v>578</v>
      </c>
      <c r="AW44" s="6" t="s">
        <v>578</v>
      </c>
      <c r="AX44" s="6" t="s">
        <v>578</v>
      </c>
      <c r="AY44" s="6" t="s">
        <v>578</v>
      </c>
      <c r="AZ44" s="6" t="s">
        <v>578</v>
      </c>
      <c r="BA44" s="6" t="s">
        <v>578</v>
      </c>
      <c r="BB44" s="6" t="s">
        <v>578</v>
      </c>
      <c r="BC44" s="6" t="s">
        <v>578</v>
      </c>
      <c r="BD44" s="6" t="s">
        <v>578</v>
      </c>
      <c r="BE44" s="6" t="s">
        <v>578</v>
      </c>
      <c r="BF44" s="6" t="s">
        <v>578</v>
      </c>
      <c r="BG44" s="6" t="s">
        <v>578</v>
      </c>
      <c r="BH44" s="6" t="s">
        <v>578</v>
      </c>
      <c r="BI44" s="6" t="s">
        <v>578</v>
      </c>
      <c r="BJ44" t="s">
        <v>578</v>
      </c>
      <c r="BK44" s="6" t="s">
        <v>582</v>
      </c>
      <c r="BL44" s="6" t="s">
        <v>578</v>
      </c>
      <c r="BM44" s="6" t="s">
        <v>578</v>
      </c>
      <c r="BN44" s="6" t="s">
        <v>578</v>
      </c>
      <c r="BO44" s="6" t="s">
        <v>578</v>
      </c>
      <c r="BP44" s="6" t="s">
        <v>578</v>
      </c>
      <c r="BQ44" s="6" t="s">
        <v>578</v>
      </c>
      <c r="BR44" s="6" t="s">
        <v>578</v>
      </c>
      <c r="BS44" s="6" t="s">
        <v>578</v>
      </c>
      <c r="BT44" s="6" t="s">
        <v>578</v>
      </c>
      <c r="BU44" s="6" t="s">
        <v>578</v>
      </c>
      <c r="BV44" s="6" t="s">
        <v>578</v>
      </c>
    </row>
    <row r="45" spans="1:74" x14ac:dyDescent="0.3">
      <c r="A45" s="6" t="s">
        <v>309</v>
      </c>
      <c r="B45" s="6" t="s">
        <v>475</v>
      </c>
      <c r="C45" s="6" t="s">
        <v>386</v>
      </c>
      <c r="D45" s="6" t="s">
        <v>778</v>
      </c>
      <c r="E45" s="6" t="s">
        <v>285</v>
      </c>
      <c r="F45" s="6" t="s">
        <v>480</v>
      </c>
      <c r="G45" s="6" t="s">
        <v>286</v>
      </c>
      <c r="H45" s="6" t="s">
        <v>572</v>
      </c>
      <c r="I45" s="6" t="s">
        <v>481</v>
      </c>
      <c r="J45" s="6" t="s">
        <v>779</v>
      </c>
      <c r="K45" s="6" t="s">
        <v>780</v>
      </c>
      <c r="L45" s="6" t="s">
        <v>715</v>
      </c>
      <c r="M45" s="6" t="s">
        <v>576</v>
      </c>
      <c r="N45" s="6" t="s">
        <v>781</v>
      </c>
      <c r="O45" s="6" t="s">
        <v>578</v>
      </c>
      <c r="P45" s="6" t="s">
        <v>576</v>
      </c>
      <c r="Q45" s="6" t="s">
        <v>576</v>
      </c>
      <c r="R45" s="6" t="s">
        <v>782</v>
      </c>
      <c r="S45" s="6" t="s">
        <v>783</v>
      </c>
      <c r="T45" s="6" t="s">
        <v>582</v>
      </c>
      <c r="U45" s="6" t="s">
        <v>578</v>
      </c>
      <c r="V45" s="6" t="s">
        <v>578</v>
      </c>
      <c r="W45" s="6" t="s">
        <v>578</v>
      </c>
      <c r="X45" s="6" t="s">
        <v>578</v>
      </c>
      <c r="Y45" s="6" t="s">
        <v>578</v>
      </c>
      <c r="Z45" s="6" t="s">
        <v>582</v>
      </c>
      <c r="AA45" s="6" t="s">
        <v>578</v>
      </c>
      <c r="AB45" s="6" t="s">
        <v>578</v>
      </c>
      <c r="AC45" s="6" t="s">
        <v>582</v>
      </c>
      <c r="AD45" s="6" t="s">
        <v>578</v>
      </c>
      <c r="AE45" s="6" t="s">
        <v>578</v>
      </c>
      <c r="AF45" s="6" t="s">
        <v>582</v>
      </c>
      <c r="AG45" s="6" t="s">
        <v>582</v>
      </c>
      <c r="AH45" s="6" t="s">
        <v>582</v>
      </c>
      <c r="AI45" s="6" t="s">
        <v>576</v>
      </c>
      <c r="AJ45" s="6" t="s">
        <v>582</v>
      </c>
      <c r="AK45" s="6" t="s">
        <v>578</v>
      </c>
      <c r="AL45" s="6" t="s">
        <v>582</v>
      </c>
      <c r="AM45" s="6" t="s">
        <v>582</v>
      </c>
      <c r="AN45" s="6" t="s">
        <v>578</v>
      </c>
      <c r="AO45" s="6" t="s">
        <v>578</v>
      </c>
      <c r="AP45" s="6" t="s">
        <v>578</v>
      </c>
      <c r="AQ45" s="6" t="s">
        <v>578</v>
      </c>
      <c r="AR45" s="6" t="s">
        <v>578</v>
      </c>
      <c r="AS45" s="6" t="s">
        <v>578</v>
      </c>
      <c r="AT45" s="6" t="s">
        <v>578</v>
      </c>
      <c r="AU45" s="6" t="s">
        <v>578</v>
      </c>
      <c r="AV45" s="6" t="s">
        <v>578</v>
      </c>
      <c r="AW45" s="6" t="s">
        <v>578</v>
      </c>
      <c r="AX45" s="6" t="s">
        <v>578</v>
      </c>
      <c r="AY45" s="6" t="s">
        <v>578</v>
      </c>
      <c r="AZ45" s="6" t="s">
        <v>578</v>
      </c>
      <c r="BA45" s="6" t="s">
        <v>578</v>
      </c>
      <c r="BB45" s="6" t="s">
        <v>578</v>
      </c>
      <c r="BC45" s="6" t="s">
        <v>578</v>
      </c>
      <c r="BD45" s="6" t="s">
        <v>578</v>
      </c>
      <c r="BE45" s="6" t="s">
        <v>578</v>
      </c>
      <c r="BF45" s="6" t="s">
        <v>578</v>
      </c>
      <c r="BG45" s="6" t="s">
        <v>578</v>
      </c>
      <c r="BH45" s="6" t="s">
        <v>582</v>
      </c>
      <c r="BI45" s="6" t="s">
        <v>578</v>
      </c>
      <c r="BJ45" t="s">
        <v>578</v>
      </c>
      <c r="BK45" s="6" t="s">
        <v>578</v>
      </c>
      <c r="BL45" s="6" t="s">
        <v>578</v>
      </c>
      <c r="BM45" s="6" t="s">
        <v>578</v>
      </c>
      <c r="BN45" s="6" t="s">
        <v>578</v>
      </c>
      <c r="BO45" s="6" t="s">
        <v>578</v>
      </c>
      <c r="BP45" s="6" t="s">
        <v>578</v>
      </c>
      <c r="BQ45" s="6" t="s">
        <v>578</v>
      </c>
      <c r="BR45" s="6" t="s">
        <v>578</v>
      </c>
      <c r="BS45" s="6" t="s">
        <v>578</v>
      </c>
      <c r="BT45" s="6" t="s">
        <v>578</v>
      </c>
      <c r="BU45" s="6" t="s">
        <v>578</v>
      </c>
      <c r="BV45" s="6" t="s">
        <v>578</v>
      </c>
    </row>
    <row r="46" spans="1:74" x14ac:dyDescent="0.3">
      <c r="A46" s="6" t="s">
        <v>310</v>
      </c>
      <c r="B46" s="6" t="s">
        <v>476</v>
      </c>
      <c r="C46" s="6" t="s">
        <v>386</v>
      </c>
      <c r="D46" s="6" t="s">
        <v>778</v>
      </c>
      <c r="E46" s="6" t="s">
        <v>285</v>
      </c>
      <c r="F46" s="6" t="s">
        <v>484</v>
      </c>
      <c r="G46" s="6" t="s">
        <v>286</v>
      </c>
      <c r="H46" s="6" t="s">
        <v>572</v>
      </c>
      <c r="I46" s="6" t="s">
        <v>485</v>
      </c>
      <c r="J46" s="6" t="s">
        <v>784</v>
      </c>
      <c r="K46" s="6" t="s">
        <v>785</v>
      </c>
      <c r="L46" s="6" t="s">
        <v>715</v>
      </c>
      <c r="M46" s="6" t="s">
        <v>576</v>
      </c>
      <c r="N46" s="6" t="s">
        <v>781</v>
      </c>
      <c r="O46" s="6" t="s">
        <v>578</v>
      </c>
      <c r="P46" s="6" t="s">
        <v>576</v>
      </c>
      <c r="Q46" s="6" t="s">
        <v>583</v>
      </c>
      <c r="R46" s="6" t="s">
        <v>690</v>
      </c>
      <c r="S46" s="6" t="s">
        <v>786</v>
      </c>
      <c r="T46" s="6" t="s">
        <v>579</v>
      </c>
      <c r="U46" s="6" t="s">
        <v>578</v>
      </c>
      <c r="V46" s="6" t="s">
        <v>578</v>
      </c>
      <c r="W46" s="6" t="s">
        <v>578</v>
      </c>
      <c r="X46" s="6" t="s">
        <v>578</v>
      </c>
      <c r="Y46" s="6" t="s">
        <v>578</v>
      </c>
      <c r="Z46" s="6" t="s">
        <v>582</v>
      </c>
      <c r="AA46" s="6" t="s">
        <v>578</v>
      </c>
      <c r="AB46" s="6" t="s">
        <v>578</v>
      </c>
      <c r="AC46" s="6" t="s">
        <v>582</v>
      </c>
      <c r="AD46" s="6" t="s">
        <v>578</v>
      </c>
      <c r="AE46" s="6" t="s">
        <v>578</v>
      </c>
      <c r="AF46" s="6" t="s">
        <v>582</v>
      </c>
      <c r="AG46" s="6" t="s">
        <v>582</v>
      </c>
      <c r="AH46" s="6" t="s">
        <v>582</v>
      </c>
      <c r="AI46" s="6" t="s">
        <v>579</v>
      </c>
      <c r="AJ46" s="6" t="s">
        <v>582</v>
      </c>
      <c r="AK46" s="6" t="s">
        <v>578</v>
      </c>
      <c r="AL46" s="6" t="s">
        <v>582</v>
      </c>
      <c r="AM46" s="6" t="s">
        <v>582</v>
      </c>
      <c r="AN46" s="6" t="s">
        <v>578</v>
      </c>
      <c r="AO46" s="6" t="s">
        <v>578</v>
      </c>
      <c r="AP46" s="6" t="s">
        <v>578</v>
      </c>
      <c r="AQ46" s="6" t="s">
        <v>578</v>
      </c>
      <c r="AR46" s="6" t="s">
        <v>578</v>
      </c>
      <c r="AS46" s="6" t="s">
        <v>578</v>
      </c>
      <c r="AT46" s="6" t="s">
        <v>578</v>
      </c>
      <c r="AU46" s="6" t="s">
        <v>578</v>
      </c>
      <c r="AV46" s="6" t="s">
        <v>578</v>
      </c>
      <c r="AW46" s="6" t="s">
        <v>578</v>
      </c>
      <c r="AX46" s="6" t="s">
        <v>578</v>
      </c>
      <c r="AY46" s="6" t="s">
        <v>578</v>
      </c>
      <c r="AZ46" s="6" t="s">
        <v>578</v>
      </c>
      <c r="BA46" s="6" t="s">
        <v>578</v>
      </c>
      <c r="BB46" s="6" t="s">
        <v>578</v>
      </c>
      <c r="BC46" s="6" t="s">
        <v>578</v>
      </c>
      <c r="BD46" s="6" t="s">
        <v>578</v>
      </c>
      <c r="BE46" s="6" t="s">
        <v>578</v>
      </c>
      <c r="BF46" s="6" t="s">
        <v>578</v>
      </c>
      <c r="BG46" s="6" t="s">
        <v>578</v>
      </c>
      <c r="BH46" s="6" t="s">
        <v>582</v>
      </c>
      <c r="BI46" s="6" t="s">
        <v>578</v>
      </c>
      <c r="BJ46" t="s">
        <v>578</v>
      </c>
      <c r="BK46" s="6" t="s">
        <v>578</v>
      </c>
      <c r="BL46" s="6" t="s">
        <v>578</v>
      </c>
      <c r="BM46" s="6" t="s">
        <v>578</v>
      </c>
      <c r="BN46" s="6" t="s">
        <v>578</v>
      </c>
      <c r="BO46" s="6" t="s">
        <v>578</v>
      </c>
      <c r="BP46" s="6" t="s">
        <v>578</v>
      </c>
      <c r="BQ46" s="6" t="s">
        <v>578</v>
      </c>
      <c r="BR46" s="6" t="s">
        <v>578</v>
      </c>
      <c r="BS46" s="6" t="s">
        <v>578</v>
      </c>
      <c r="BT46" s="6" t="s">
        <v>578</v>
      </c>
      <c r="BU46" s="6" t="s">
        <v>578</v>
      </c>
      <c r="BV46" s="6" t="s">
        <v>578</v>
      </c>
    </row>
    <row r="47" spans="1:74" x14ac:dyDescent="0.3">
      <c r="A47" s="6" t="s">
        <v>477</v>
      </c>
      <c r="B47" s="6" t="s">
        <v>478</v>
      </c>
      <c r="C47" s="6" t="s">
        <v>386</v>
      </c>
      <c r="D47" s="6" t="s">
        <v>778</v>
      </c>
      <c r="E47" s="6" t="s">
        <v>285</v>
      </c>
      <c r="F47" s="6" t="s">
        <v>516</v>
      </c>
      <c r="G47" s="6" t="s">
        <v>286</v>
      </c>
      <c r="H47" s="6" t="s">
        <v>572</v>
      </c>
      <c r="I47" s="6" t="s">
        <v>486</v>
      </c>
      <c r="J47" s="6" t="s">
        <v>787</v>
      </c>
      <c r="K47" s="6" t="s">
        <v>788</v>
      </c>
      <c r="L47" s="6" t="s">
        <v>715</v>
      </c>
      <c r="M47" s="6" t="s">
        <v>579</v>
      </c>
      <c r="N47" s="6" t="s">
        <v>577</v>
      </c>
      <c r="O47" s="6" t="s">
        <v>578</v>
      </c>
      <c r="P47" s="6" t="s">
        <v>579</v>
      </c>
      <c r="Q47" s="6" t="s">
        <v>583</v>
      </c>
      <c r="R47" s="6" t="s">
        <v>690</v>
      </c>
      <c r="S47" s="6" t="s">
        <v>789</v>
      </c>
      <c r="T47" s="6" t="s">
        <v>579</v>
      </c>
      <c r="U47" s="6" t="s">
        <v>578</v>
      </c>
      <c r="V47" s="6" t="s">
        <v>578</v>
      </c>
      <c r="W47" s="6" t="s">
        <v>578</v>
      </c>
      <c r="X47" s="6" t="s">
        <v>578</v>
      </c>
      <c r="Y47" s="6" t="s">
        <v>578</v>
      </c>
      <c r="Z47" s="6" t="s">
        <v>582</v>
      </c>
      <c r="AA47" s="6" t="s">
        <v>578</v>
      </c>
      <c r="AB47" s="6" t="s">
        <v>578</v>
      </c>
      <c r="AC47" s="6" t="s">
        <v>582</v>
      </c>
      <c r="AD47" s="6" t="s">
        <v>578</v>
      </c>
      <c r="AE47" s="6" t="s">
        <v>578</v>
      </c>
      <c r="AF47" s="6" t="s">
        <v>582</v>
      </c>
      <c r="AG47" s="6" t="s">
        <v>582</v>
      </c>
      <c r="AH47" s="6" t="s">
        <v>578</v>
      </c>
      <c r="AI47" s="6" t="s">
        <v>576</v>
      </c>
      <c r="AJ47" s="6" t="s">
        <v>582</v>
      </c>
      <c r="AK47" s="6" t="s">
        <v>578</v>
      </c>
      <c r="AL47" s="6" t="s">
        <v>582</v>
      </c>
      <c r="AM47" s="6" t="s">
        <v>582</v>
      </c>
      <c r="AN47" s="6" t="s">
        <v>578</v>
      </c>
      <c r="AO47" s="6" t="s">
        <v>578</v>
      </c>
      <c r="AP47" s="6" t="s">
        <v>578</v>
      </c>
      <c r="AQ47" s="6" t="s">
        <v>578</v>
      </c>
      <c r="AR47" s="6" t="s">
        <v>578</v>
      </c>
      <c r="AS47" s="6" t="s">
        <v>578</v>
      </c>
      <c r="AT47" s="6" t="s">
        <v>578</v>
      </c>
      <c r="AU47" s="6" t="s">
        <v>578</v>
      </c>
      <c r="AV47" s="6" t="s">
        <v>578</v>
      </c>
      <c r="AW47" s="6" t="s">
        <v>578</v>
      </c>
      <c r="AX47" s="6" t="s">
        <v>578</v>
      </c>
      <c r="AY47" s="6" t="s">
        <v>578</v>
      </c>
      <c r="AZ47" s="6" t="s">
        <v>578</v>
      </c>
      <c r="BA47" s="6" t="s">
        <v>578</v>
      </c>
      <c r="BB47" s="6" t="s">
        <v>578</v>
      </c>
      <c r="BC47" s="6" t="s">
        <v>578</v>
      </c>
      <c r="BD47" s="6" t="s">
        <v>578</v>
      </c>
      <c r="BE47" s="6" t="s">
        <v>578</v>
      </c>
      <c r="BF47" s="6" t="s">
        <v>578</v>
      </c>
      <c r="BG47" s="6" t="s">
        <v>578</v>
      </c>
      <c r="BH47" s="6" t="s">
        <v>582</v>
      </c>
      <c r="BI47" s="6" t="s">
        <v>578</v>
      </c>
      <c r="BJ47" t="s">
        <v>578</v>
      </c>
      <c r="BK47" s="6" t="s">
        <v>578</v>
      </c>
      <c r="BL47" s="6" t="s">
        <v>578</v>
      </c>
      <c r="BM47" s="6" t="s">
        <v>578</v>
      </c>
      <c r="BN47" s="6" t="s">
        <v>578</v>
      </c>
      <c r="BO47" s="6" t="s">
        <v>578</v>
      </c>
      <c r="BP47" s="6" t="s">
        <v>578</v>
      </c>
      <c r="BQ47" s="6" t="s">
        <v>578</v>
      </c>
      <c r="BR47" s="6" t="s">
        <v>578</v>
      </c>
      <c r="BS47" s="6" t="s">
        <v>578</v>
      </c>
      <c r="BT47" s="6" t="s">
        <v>578</v>
      </c>
      <c r="BU47" s="6" t="s">
        <v>578</v>
      </c>
      <c r="BV47" s="6" t="s">
        <v>578</v>
      </c>
    </row>
    <row r="48" spans="1:74" x14ac:dyDescent="0.3">
      <c r="A48" s="6" t="s">
        <v>497</v>
      </c>
      <c r="B48" s="6" t="s">
        <v>498</v>
      </c>
      <c r="C48" s="6" t="s">
        <v>386</v>
      </c>
      <c r="D48" s="6" t="s">
        <v>571</v>
      </c>
      <c r="E48" s="6" t="s">
        <v>1</v>
      </c>
      <c r="F48" s="6" t="s">
        <v>503</v>
      </c>
      <c r="G48" s="6" t="s">
        <v>68</v>
      </c>
      <c r="H48" s="6" t="s">
        <v>572</v>
      </c>
      <c r="I48" s="6" t="s">
        <v>504</v>
      </c>
      <c r="J48" s="6" t="s">
        <v>790</v>
      </c>
      <c r="K48" s="6" t="s">
        <v>791</v>
      </c>
      <c r="L48" s="6" t="s">
        <v>792</v>
      </c>
      <c r="M48" s="6" t="s">
        <v>579</v>
      </c>
      <c r="N48" s="6" t="s">
        <v>578</v>
      </c>
      <c r="O48" s="6" t="s">
        <v>582</v>
      </c>
      <c r="P48" s="6" t="s">
        <v>582</v>
      </c>
      <c r="Q48" s="6" t="s">
        <v>583</v>
      </c>
      <c r="R48" s="6" t="s">
        <v>793</v>
      </c>
      <c r="S48" s="6" t="s">
        <v>794</v>
      </c>
      <c r="T48" s="6" t="s">
        <v>582</v>
      </c>
      <c r="U48" s="6" t="s">
        <v>579</v>
      </c>
      <c r="V48" s="6" t="s">
        <v>578</v>
      </c>
      <c r="W48" s="6" t="s">
        <v>582</v>
      </c>
      <c r="X48" s="6" t="s">
        <v>578</v>
      </c>
      <c r="Y48" s="6" t="s">
        <v>590</v>
      </c>
      <c r="Z48" s="6" t="s">
        <v>578</v>
      </c>
      <c r="AA48" s="6" t="s">
        <v>578</v>
      </c>
      <c r="AB48" s="6" t="s">
        <v>578</v>
      </c>
      <c r="AC48" s="6" t="s">
        <v>578</v>
      </c>
      <c r="AD48" s="6" t="s">
        <v>582</v>
      </c>
      <c r="AE48" s="6" t="s">
        <v>578</v>
      </c>
      <c r="AF48" s="6" t="s">
        <v>578</v>
      </c>
      <c r="AG48" s="6" t="s">
        <v>578</v>
      </c>
      <c r="AH48" s="6" t="s">
        <v>582</v>
      </c>
      <c r="AI48" s="6" t="s">
        <v>582</v>
      </c>
      <c r="AJ48" s="6" t="s">
        <v>578</v>
      </c>
      <c r="AK48" s="6" t="s">
        <v>582</v>
      </c>
      <c r="AL48" s="6" t="s">
        <v>582</v>
      </c>
      <c r="AM48" s="6" t="s">
        <v>578</v>
      </c>
      <c r="AN48" s="6" t="s">
        <v>578</v>
      </c>
      <c r="AO48" s="6" t="s">
        <v>578</v>
      </c>
      <c r="AP48" s="6" t="s">
        <v>578</v>
      </c>
      <c r="AQ48" s="6" t="s">
        <v>578</v>
      </c>
      <c r="AR48" s="6" t="s">
        <v>578</v>
      </c>
      <c r="AS48" s="6" t="s">
        <v>578</v>
      </c>
      <c r="AT48" s="6" t="s">
        <v>578</v>
      </c>
      <c r="AU48" s="6" t="s">
        <v>578</v>
      </c>
      <c r="AV48" s="6" t="s">
        <v>578</v>
      </c>
      <c r="AW48" s="6" t="s">
        <v>578</v>
      </c>
      <c r="AX48" s="6" t="s">
        <v>578</v>
      </c>
      <c r="AY48" s="6" t="s">
        <v>578</v>
      </c>
      <c r="AZ48" s="6" t="s">
        <v>578</v>
      </c>
      <c r="BA48" s="6" t="s">
        <v>578</v>
      </c>
      <c r="BB48" s="6" t="s">
        <v>578</v>
      </c>
      <c r="BC48" s="6" t="s">
        <v>578</v>
      </c>
      <c r="BD48" s="6" t="s">
        <v>578</v>
      </c>
      <c r="BE48" s="6" t="s">
        <v>578</v>
      </c>
      <c r="BF48" s="6" t="s">
        <v>578</v>
      </c>
      <c r="BG48" s="6" t="s">
        <v>578</v>
      </c>
      <c r="BH48" s="6" t="s">
        <v>578</v>
      </c>
      <c r="BI48" s="6" t="s">
        <v>578</v>
      </c>
      <c r="BJ48" t="s">
        <v>578</v>
      </c>
      <c r="BK48" s="6" t="s">
        <v>578</v>
      </c>
      <c r="BL48" s="6" t="s">
        <v>578</v>
      </c>
      <c r="BM48" s="6" t="s">
        <v>578</v>
      </c>
      <c r="BN48" s="6" t="s">
        <v>578</v>
      </c>
      <c r="BO48" s="6" t="s">
        <v>578</v>
      </c>
      <c r="BP48" s="6" t="s">
        <v>578</v>
      </c>
      <c r="BQ48" s="6" t="s">
        <v>578</v>
      </c>
      <c r="BR48" s="6" t="s">
        <v>578</v>
      </c>
      <c r="BS48" s="6" t="s">
        <v>578</v>
      </c>
      <c r="BT48" s="6" t="s">
        <v>578</v>
      </c>
      <c r="BU48" s="6" t="s">
        <v>578</v>
      </c>
      <c r="BV48" s="6" t="s">
        <v>578</v>
      </c>
    </row>
    <row r="49" spans="1:74" x14ac:dyDescent="0.3">
      <c r="A49" s="6" t="s">
        <v>501</v>
      </c>
      <c r="B49" s="6" t="s">
        <v>502</v>
      </c>
      <c r="C49" s="6" t="s">
        <v>386</v>
      </c>
      <c r="D49" s="6" t="s">
        <v>571</v>
      </c>
      <c r="E49" s="6" t="s">
        <v>1</v>
      </c>
      <c r="F49" s="6" t="s">
        <v>499</v>
      </c>
      <c r="G49" s="6" t="s">
        <v>68</v>
      </c>
      <c r="H49" s="6" t="s">
        <v>572</v>
      </c>
      <c r="I49" s="6" t="s">
        <v>500</v>
      </c>
      <c r="J49" s="6" t="s">
        <v>795</v>
      </c>
      <c r="K49" s="6" t="s">
        <v>796</v>
      </c>
      <c r="L49" s="6" t="s">
        <v>792</v>
      </c>
      <c r="M49" s="6" t="s">
        <v>576</v>
      </c>
      <c r="N49" s="6" t="s">
        <v>578</v>
      </c>
      <c r="O49" s="6" t="s">
        <v>582</v>
      </c>
      <c r="P49" s="6" t="s">
        <v>579</v>
      </c>
      <c r="Q49" s="6" t="s">
        <v>583</v>
      </c>
      <c r="R49" s="6" t="s">
        <v>793</v>
      </c>
      <c r="S49" s="6" t="s">
        <v>794</v>
      </c>
      <c r="T49" s="6" t="s">
        <v>582</v>
      </c>
      <c r="U49" s="6" t="s">
        <v>579</v>
      </c>
      <c r="V49" s="6" t="s">
        <v>578</v>
      </c>
      <c r="W49" s="6" t="s">
        <v>582</v>
      </c>
      <c r="X49" s="6" t="s">
        <v>578</v>
      </c>
      <c r="Y49" s="6" t="s">
        <v>590</v>
      </c>
      <c r="Z49" s="6" t="s">
        <v>578</v>
      </c>
      <c r="AA49" s="6" t="s">
        <v>578</v>
      </c>
      <c r="AB49" s="6" t="s">
        <v>578</v>
      </c>
      <c r="AC49" s="6" t="s">
        <v>578</v>
      </c>
      <c r="AD49" s="6" t="s">
        <v>582</v>
      </c>
      <c r="AE49" s="6" t="s">
        <v>578</v>
      </c>
      <c r="AF49" s="6" t="s">
        <v>578</v>
      </c>
      <c r="AG49" s="6" t="s">
        <v>578</v>
      </c>
      <c r="AH49" s="6" t="s">
        <v>582</v>
      </c>
      <c r="AI49" s="6" t="s">
        <v>582</v>
      </c>
      <c r="AJ49" s="6" t="s">
        <v>578</v>
      </c>
      <c r="AK49" s="6" t="s">
        <v>582</v>
      </c>
      <c r="AL49" s="6" t="s">
        <v>582</v>
      </c>
      <c r="AM49" s="6" t="s">
        <v>578</v>
      </c>
      <c r="AN49" s="6" t="s">
        <v>578</v>
      </c>
      <c r="AO49" s="6" t="s">
        <v>578</v>
      </c>
      <c r="AP49" s="6" t="s">
        <v>578</v>
      </c>
      <c r="AQ49" s="6" t="s">
        <v>578</v>
      </c>
      <c r="AR49" s="6" t="s">
        <v>578</v>
      </c>
      <c r="AS49" s="6" t="s">
        <v>578</v>
      </c>
      <c r="AT49" s="6" t="s">
        <v>578</v>
      </c>
      <c r="AU49" s="6" t="s">
        <v>578</v>
      </c>
      <c r="AV49" s="6" t="s">
        <v>578</v>
      </c>
      <c r="AW49" s="6" t="s">
        <v>578</v>
      </c>
      <c r="AX49" s="6" t="s">
        <v>578</v>
      </c>
      <c r="AY49" s="6" t="s">
        <v>578</v>
      </c>
      <c r="AZ49" s="6" t="s">
        <v>578</v>
      </c>
      <c r="BA49" s="6" t="s">
        <v>578</v>
      </c>
      <c r="BB49" s="6" t="s">
        <v>578</v>
      </c>
      <c r="BC49" s="6" t="s">
        <v>578</v>
      </c>
      <c r="BD49" s="6" t="s">
        <v>578</v>
      </c>
      <c r="BE49" s="6" t="s">
        <v>578</v>
      </c>
      <c r="BF49" s="6" t="s">
        <v>578</v>
      </c>
      <c r="BG49" s="6" t="s">
        <v>578</v>
      </c>
      <c r="BH49" s="6" t="s">
        <v>578</v>
      </c>
      <c r="BI49" s="6" t="s">
        <v>578</v>
      </c>
      <c r="BJ49" t="s">
        <v>578</v>
      </c>
      <c r="BK49" s="6" t="s">
        <v>582</v>
      </c>
      <c r="BL49" s="6" t="s">
        <v>578</v>
      </c>
      <c r="BM49" s="6" t="s">
        <v>578</v>
      </c>
      <c r="BN49" s="6" t="s">
        <v>578</v>
      </c>
      <c r="BO49" s="6" t="s">
        <v>578</v>
      </c>
      <c r="BP49" s="6" t="s">
        <v>578</v>
      </c>
      <c r="BQ49" s="6" t="s">
        <v>578</v>
      </c>
      <c r="BR49" s="6" t="s">
        <v>578</v>
      </c>
      <c r="BS49" s="6" t="s">
        <v>578</v>
      </c>
      <c r="BT49" s="6" t="s">
        <v>578</v>
      </c>
      <c r="BU49" s="6" t="s">
        <v>578</v>
      </c>
      <c r="BV49" s="6" t="s">
        <v>578</v>
      </c>
    </row>
    <row r="50" spans="1:74" x14ac:dyDescent="0.3">
      <c r="A50" s="6" t="s">
        <v>505</v>
      </c>
      <c r="B50" s="6" t="s">
        <v>506</v>
      </c>
      <c r="C50" s="6" t="s">
        <v>386</v>
      </c>
      <c r="D50" s="6" t="s">
        <v>797</v>
      </c>
      <c r="E50" s="6" t="s">
        <v>1</v>
      </c>
      <c r="F50" s="6" t="s">
        <v>511</v>
      </c>
      <c r="G50" s="6" t="s">
        <v>68</v>
      </c>
      <c r="H50" s="6" t="s">
        <v>585</v>
      </c>
      <c r="I50" s="6" t="s">
        <v>512</v>
      </c>
      <c r="J50" s="6" t="s">
        <v>798</v>
      </c>
      <c r="K50" s="6" t="s">
        <v>799</v>
      </c>
      <c r="L50" s="6" t="s">
        <v>614</v>
      </c>
      <c r="M50" s="6" t="s">
        <v>576</v>
      </c>
      <c r="N50" s="6" t="s">
        <v>579</v>
      </c>
      <c r="O50" s="6" t="s">
        <v>578</v>
      </c>
      <c r="P50" s="6" t="s">
        <v>579</v>
      </c>
      <c r="Q50" s="6" t="s">
        <v>590</v>
      </c>
      <c r="R50" s="6" t="s">
        <v>800</v>
      </c>
      <c r="S50" s="6" t="s">
        <v>801</v>
      </c>
      <c r="T50" s="6" t="s">
        <v>579</v>
      </c>
      <c r="U50" s="6" t="s">
        <v>578</v>
      </c>
      <c r="V50" s="6" t="s">
        <v>578</v>
      </c>
      <c r="W50" s="6" t="s">
        <v>578</v>
      </c>
      <c r="X50" s="6" t="s">
        <v>578</v>
      </c>
      <c r="Y50" s="6" t="s">
        <v>583</v>
      </c>
      <c r="Z50" s="6" t="s">
        <v>578</v>
      </c>
      <c r="AA50" s="6" t="s">
        <v>578</v>
      </c>
      <c r="AB50" s="6" t="s">
        <v>582</v>
      </c>
      <c r="AC50" s="6" t="s">
        <v>582</v>
      </c>
      <c r="AD50" s="6" t="s">
        <v>578</v>
      </c>
      <c r="AE50" s="6" t="s">
        <v>578</v>
      </c>
      <c r="AF50" s="6" t="s">
        <v>578</v>
      </c>
      <c r="AG50" s="6" t="s">
        <v>578</v>
      </c>
      <c r="AH50" s="6" t="s">
        <v>582</v>
      </c>
      <c r="AI50" s="6" t="s">
        <v>578</v>
      </c>
      <c r="AJ50" s="6" t="s">
        <v>578</v>
      </c>
      <c r="AK50" s="6" t="s">
        <v>582</v>
      </c>
      <c r="AL50" s="6" t="s">
        <v>582</v>
      </c>
      <c r="AM50" s="6" t="s">
        <v>578</v>
      </c>
      <c r="AN50" s="6" t="s">
        <v>578</v>
      </c>
      <c r="AO50" s="6" t="s">
        <v>578</v>
      </c>
      <c r="AP50" s="6" t="s">
        <v>578</v>
      </c>
      <c r="AQ50" s="6" t="s">
        <v>578</v>
      </c>
      <c r="AR50" s="6" t="s">
        <v>578</v>
      </c>
      <c r="AS50" s="6" t="s">
        <v>578</v>
      </c>
      <c r="AT50" s="6" t="s">
        <v>578</v>
      </c>
      <c r="AU50" s="6" t="s">
        <v>578</v>
      </c>
      <c r="AV50" s="6" t="s">
        <v>578</v>
      </c>
      <c r="AW50" s="6" t="s">
        <v>578</v>
      </c>
      <c r="AX50" s="6" t="s">
        <v>578</v>
      </c>
      <c r="AY50" s="6" t="s">
        <v>578</v>
      </c>
      <c r="AZ50" s="6" t="s">
        <v>578</v>
      </c>
      <c r="BA50" s="6" t="s">
        <v>578</v>
      </c>
      <c r="BB50" s="6" t="s">
        <v>578</v>
      </c>
      <c r="BC50" s="6" t="s">
        <v>578</v>
      </c>
      <c r="BD50" s="6" t="s">
        <v>578</v>
      </c>
      <c r="BE50" s="6" t="s">
        <v>578</v>
      </c>
      <c r="BF50" s="6" t="s">
        <v>578</v>
      </c>
      <c r="BG50" s="6" t="s">
        <v>578</v>
      </c>
      <c r="BH50" s="6" t="s">
        <v>578</v>
      </c>
      <c r="BI50" s="6" t="s">
        <v>578</v>
      </c>
      <c r="BJ50" t="s">
        <v>578</v>
      </c>
      <c r="BK50" s="6" t="s">
        <v>578</v>
      </c>
      <c r="BL50" s="6" t="s">
        <v>578</v>
      </c>
      <c r="BM50" s="6" t="s">
        <v>578</v>
      </c>
      <c r="BN50" s="6" t="s">
        <v>578</v>
      </c>
      <c r="BO50" s="6" t="s">
        <v>578</v>
      </c>
      <c r="BP50" s="6" t="s">
        <v>578</v>
      </c>
      <c r="BQ50" s="6" t="s">
        <v>578</v>
      </c>
      <c r="BR50" s="6" t="s">
        <v>578</v>
      </c>
      <c r="BS50" s="6" t="s">
        <v>578</v>
      </c>
      <c r="BT50" s="6" t="s">
        <v>578</v>
      </c>
      <c r="BU50" s="6" t="s">
        <v>578</v>
      </c>
      <c r="BV50" s="6" t="s">
        <v>578</v>
      </c>
    </row>
    <row r="51" spans="1:74" x14ac:dyDescent="0.3">
      <c r="A51" s="6" t="s">
        <v>509</v>
      </c>
      <c r="B51" s="6" t="s">
        <v>510</v>
      </c>
      <c r="C51" s="6" t="s">
        <v>386</v>
      </c>
      <c r="D51" s="6" t="s">
        <v>797</v>
      </c>
      <c r="E51" s="6" t="s">
        <v>1</v>
      </c>
      <c r="F51" s="6" t="s">
        <v>507</v>
      </c>
      <c r="G51" s="6" t="s">
        <v>68</v>
      </c>
      <c r="H51" s="6" t="s">
        <v>585</v>
      </c>
      <c r="I51" s="6" t="s">
        <v>508</v>
      </c>
      <c r="J51" s="6" t="s">
        <v>802</v>
      </c>
      <c r="K51" s="6" t="s">
        <v>803</v>
      </c>
      <c r="L51" s="6" t="s">
        <v>614</v>
      </c>
      <c r="M51" s="6" t="s">
        <v>583</v>
      </c>
      <c r="N51" s="6" t="s">
        <v>579</v>
      </c>
      <c r="O51" s="6" t="s">
        <v>578</v>
      </c>
      <c r="P51" s="6" t="s">
        <v>576</v>
      </c>
      <c r="Q51" s="6" t="s">
        <v>590</v>
      </c>
      <c r="R51" s="6" t="s">
        <v>800</v>
      </c>
      <c r="S51" s="6" t="s">
        <v>801</v>
      </c>
      <c r="T51" s="6" t="s">
        <v>579</v>
      </c>
      <c r="U51" s="6" t="s">
        <v>578</v>
      </c>
      <c r="V51" s="6" t="s">
        <v>578</v>
      </c>
      <c r="W51" s="6" t="s">
        <v>578</v>
      </c>
      <c r="X51" s="6" t="s">
        <v>578</v>
      </c>
      <c r="Y51" s="6" t="s">
        <v>583</v>
      </c>
      <c r="Z51" s="6" t="s">
        <v>578</v>
      </c>
      <c r="AA51" s="6" t="s">
        <v>578</v>
      </c>
      <c r="AB51" s="6" t="s">
        <v>582</v>
      </c>
      <c r="AC51" s="6" t="s">
        <v>582</v>
      </c>
      <c r="AD51" s="6" t="s">
        <v>578</v>
      </c>
      <c r="AE51" s="6" t="s">
        <v>578</v>
      </c>
      <c r="AF51" s="6" t="s">
        <v>578</v>
      </c>
      <c r="AG51" s="6" t="s">
        <v>578</v>
      </c>
      <c r="AH51" s="6" t="s">
        <v>582</v>
      </c>
      <c r="AI51" s="6" t="s">
        <v>578</v>
      </c>
      <c r="AJ51" s="6" t="s">
        <v>578</v>
      </c>
      <c r="AK51" s="6" t="s">
        <v>582</v>
      </c>
      <c r="AL51" s="6" t="s">
        <v>582</v>
      </c>
      <c r="AM51" s="6" t="s">
        <v>578</v>
      </c>
      <c r="AN51" s="6" t="s">
        <v>578</v>
      </c>
      <c r="AO51" s="6" t="s">
        <v>578</v>
      </c>
      <c r="AP51" s="6" t="s">
        <v>578</v>
      </c>
      <c r="AQ51" s="6" t="s">
        <v>578</v>
      </c>
      <c r="AR51" s="6" t="s">
        <v>578</v>
      </c>
      <c r="AS51" s="6" t="s">
        <v>578</v>
      </c>
      <c r="AT51" s="6" t="s">
        <v>578</v>
      </c>
      <c r="AU51" s="6" t="s">
        <v>578</v>
      </c>
      <c r="AV51" s="6" t="s">
        <v>578</v>
      </c>
      <c r="AW51" s="6" t="s">
        <v>578</v>
      </c>
      <c r="AX51" s="6" t="s">
        <v>578</v>
      </c>
      <c r="AY51" s="6" t="s">
        <v>578</v>
      </c>
      <c r="AZ51" s="6" t="s">
        <v>578</v>
      </c>
      <c r="BA51" s="6" t="s">
        <v>578</v>
      </c>
      <c r="BB51" s="6" t="s">
        <v>578</v>
      </c>
      <c r="BC51" s="6" t="s">
        <v>578</v>
      </c>
      <c r="BD51" s="6" t="s">
        <v>578</v>
      </c>
      <c r="BE51" s="6" t="s">
        <v>578</v>
      </c>
      <c r="BF51" s="6" t="s">
        <v>578</v>
      </c>
      <c r="BG51" s="6" t="s">
        <v>578</v>
      </c>
      <c r="BH51" s="6" t="s">
        <v>578</v>
      </c>
      <c r="BI51" s="6" t="s">
        <v>578</v>
      </c>
      <c r="BJ51" t="s">
        <v>578</v>
      </c>
      <c r="BK51" s="6" t="s">
        <v>582</v>
      </c>
      <c r="BL51" s="6" t="s">
        <v>578</v>
      </c>
      <c r="BM51" s="6" t="s">
        <v>578</v>
      </c>
      <c r="BN51" s="6" t="s">
        <v>578</v>
      </c>
      <c r="BO51" s="6" t="s">
        <v>578</v>
      </c>
      <c r="BP51" s="6" t="s">
        <v>578</v>
      </c>
      <c r="BQ51" s="6" t="s">
        <v>578</v>
      </c>
      <c r="BR51" s="6" t="s">
        <v>578</v>
      </c>
      <c r="BS51" s="6" t="s">
        <v>578</v>
      </c>
      <c r="BT51" s="6" t="s">
        <v>578</v>
      </c>
      <c r="BU51" s="6" t="s">
        <v>578</v>
      </c>
      <c r="BV51" s="6" t="s">
        <v>578</v>
      </c>
    </row>
    <row r="52" spans="1:74" x14ac:dyDescent="0.3">
      <c r="A52" s="6" t="s">
        <v>519</v>
      </c>
      <c r="B52" s="6" t="s">
        <v>520</v>
      </c>
      <c r="C52" s="6" t="s">
        <v>386</v>
      </c>
      <c r="D52" s="6" t="s">
        <v>729</v>
      </c>
      <c r="E52" s="6" t="s">
        <v>1</v>
      </c>
      <c r="F52" s="6" t="s">
        <v>564</v>
      </c>
      <c r="G52" s="6" t="s">
        <v>68</v>
      </c>
      <c r="H52" s="6" t="s">
        <v>585</v>
      </c>
      <c r="I52" s="6" t="s">
        <v>521</v>
      </c>
      <c r="J52" s="6" t="s">
        <v>804</v>
      </c>
      <c r="K52" s="6" t="s">
        <v>805</v>
      </c>
      <c r="L52" s="6" t="s">
        <v>596</v>
      </c>
      <c r="M52" s="6" t="s">
        <v>590</v>
      </c>
      <c r="N52" s="6" t="s">
        <v>579</v>
      </c>
      <c r="O52" s="6" t="s">
        <v>578</v>
      </c>
      <c r="P52" s="6" t="s">
        <v>583</v>
      </c>
      <c r="Q52" s="6" t="s">
        <v>579</v>
      </c>
      <c r="R52" s="6" t="s">
        <v>806</v>
      </c>
      <c r="S52" s="6" t="s">
        <v>807</v>
      </c>
      <c r="T52" s="6" t="s">
        <v>582</v>
      </c>
      <c r="U52" s="6" t="s">
        <v>578</v>
      </c>
      <c r="V52" s="6" t="s">
        <v>578</v>
      </c>
      <c r="W52" s="6" t="s">
        <v>578</v>
      </c>
      <c r="X52" s="6" t="s">
        <v>578</v>
      </c>
      <c r="Y52" s="6" t="s">
        <v>578</v>
      </c>
      <c r="Z52" s="6" t="s">
        <v>579</v>
      </c>
      <c r="AA52" s="6" t="s">
        <v>582</v>
      </c>
      <c r="AB52" s="6" t="s">
        <v>578</v>
      </c>
      <c r="AC52" s="6" t="s">
        <v>578</v>
      </c>
      <c r="AD52" s="6" t="s">
        <v>578</v>
      </c>
      <c r="AE52" s="6" t="s">
        <v>578</v>
      </c>
      <c r="AF52" s="6" t="s">
        <v>582</v>
      </c>
      <c r="AG52" s="6" t="s">
        <v>578</v>
      </c>
      <c r="AH52" s="6" t="s">
        <v>582</v>
      </c>
      <c r="AI52" s="6" t="s">
        <v>578</v>
      </c>
      <c r="AJ52" s="6" t="s">
        <v>578</v>
      </c>
      <c r="AK52" s="6" t="s">
        <v>578</v>
      </c>
      <c r="AL52" s="6" t="s">
        <v>578</v>
      </c>
      <c r="AM52" s="6" t="s">
        <v>582</v>
      </c>
      <c r="AN52" s="6" t="s">
        <v>578</v>
      </c>
      <c r="AO52" s="6" t="s">
        <v>578</v>
      </c>
      <c r="AP52" s="6" t="s">
        <v>578</v>
      </c>
      <c r="AQ52" s="6" t="s">
        <v>578</v>
      </c>
      <c r="AR52" s="6" t="s">
        <v>578</v>
      </c>
      <c r="AS52" s="6" t="s">
        <v>578</v>
      </c>
      <c r="AT52" s="6" t="s">
        <v>578</v>
      </c>
      <c r="AU52" s="6" t="s">
        <v>578</v>
      </c>
      <c r="AV52" s="6" t="s">
        <v>578</v>
      </c>
      <c r="AW52" s="6" t="s">
        <v>578</v>
      </c>
      <c r="AX52" s="6" t="s">
        <v>578</v>
      </c>
      <c r="AY52" s="6" t="s">
        <v>578</v>
      </c>
      <c r="AZ52" s="6" t="s">
        <v>578</v>
      </c>
      <c r="BA52" s="6" t="s">
        <v>578</v>
      </c>
      <c r="BB52" s="6" t="s">
        <v>578</v>
      </c>
      <c r="BC52" s="6" t="s">
        <v>578</v>
      </c>
      <c r="BD52" s="6" t="s">
        <v>578</v>
      </c>
      <c r="BE52" s="6" t="s">
        <v>578</v>
      </c>
      <c r="BF52" s="6" t="s">
        <v>578</v>
      </c>
      <c r="BG52" s="6" t="s">
        <v>578</v>
      </c>
      <c r="BH52" s="6" t="s">
        <v>582</v>
      </c>
      <c r="BI52" s="6" t="s">
        <v>578</v>
      </c>
      <c r="BJ52" t="s">
        <v>578</v>
      </c>
      <c r="BK52" s="6" t="s">
        <v>578</v>
      </c>
      <c r="BL52" s="6" t="s">
        <v>578</v>
      </c>
      <c r="BM52" s="6" t="s">
        <v>578</v>
      </c>
      <c r="BN52" s="6" t="s">
        <v>578</v>
      </c>
      <c r="BO52" s="6" t="s">
        <v>578</v>
      </c>
      <c r="BP52" s="6" t="s">
        <v>578</v>
      </c>
      <c r="BQ52" s="6" t="s">
        <v>578</v>
      </c>
      <c r="BR52" s="6" t="s">
        <v>578</v>
      </c>
      <c r="BS52" s="6" t="s">
        <v>578</v>
      </c>
      <c r="BT52" s="6" t="s">
        <v>578</v>
      </c>
      <c r="BU52" s="6" t="s">
        <v>578</v>
      </c>
      <c r="BV52" s="6" t="s">
        <v>578</v>
      </c>
    </row>
    <row r="53" spans="1:74" x14ac:dyDescent="0.3">
      <c r="A53" s="6" t="s">
        <v>522</v>
      </c>
      <c r="B53" s="6" t="s">
        <v>523</v>
      </c>
      <c r="C53" s="6" t="s">
        <v>386</v>
      </c>
      <c r="D53" s="6" t="s">
        <v>778</v>
      </c>
      <c r="E53" s="6" t="s">
        <v>1</v>
      </c>
      <c r="F53" s="6" t="s">
        <v>565</v>
      </c>
      <c r="G53" s="6" t="s">
        <v>68</v>
      </c>
      <c r="H53" s="6" t="s">
        <v>585</v>
      </c>
      <c r="I53" s="6" t="s">
        <v>524</v>
      </c>
      <c r="J53" s="6" t="s">
        <v>808</v>
      </c>
      <c r="K53" s="6" t="s">
        <v>809</v>
      </c>
      <c r="L53" s="6" t="s">
        <v>621</v>
      </c>
      <c r="M53" s="6" t="s">
        <v>583</v>
      </c>
      <c r="N53" s="6" t="s">
        <v>781</v>
      </c>
      <c r="O53" s="6" t="s">
        <v>578</v>
      </c>
      <c r="P53" s="6" t="s">
        <v>576</v>
      </c>
      <c r="Q53" s="6" t="s">
        <v>583</v>
      </c>
      <c r="R53" s="6" t="s">
        <v>690</v>
      </c>
      <c r="S53" s="6" t="s">
        <v>810</v>
      </c>
      <c r="T53" s="6" t="s">
        <v>578</v>
      </c>
      <c r="U53" s="6" t="s">
        <v>578</v>
      </c>
      <c r="V53" s="6" t="s">
        <v>578</v>
      </c>
      <c r="W53" s="6" t="s">
        <v>578</v>
      </c>
      <c r="X53" s="6" t="s">
        <v>578</v>
      </c>
      <c r="Y53" s="6" t="s">
        <v>578</v>
      </c>
      <c r="Z53" s="6" t="s">
        <v>582</v>
      </c>
      <c r="AA53" s="6" t="s">
        <v>578</v>
      </c>
      <c r="AB53" s="6" t="s">
        <v>578</v>
      </c>
      <c r="AC53" s="6" t="s">
        <v>578</v>
      </c>
      <c r="AD53" s="6" t="s">
        <v>582</v>
      </c>
      <c r="AE53" s="6" t="s">
        <v>578</v>
      </c>
      <c r="AF53" s="6" t="s">
        <v>583</v>
      </c>
      <c r="AG53" s="6" t="s">
        <v>578</v>
      </c>
      <c r="AH53" s="6" t="s">
        <v>582</v>
      </c>
      <c r="AI53" s="6" t="s">
        <v>582</v>
      </c>
      <c r="AJ53" s="6" t="s">
        <v>582</v>
      </c>
      <c r="AK53" s="6" t="s">
        <v>582</v>
      </c>
      <c r="AL53" s="6" t="s">
        <v>579</v>
      </c>
      <c r="AM53" s="6" t="s">
        <v>578</v>
      </c>
      <c r="AN53" s="6" t="s">
        <v>578</v>
      </c>
      <c r="AO53" s="6" t="s">
        <v>578</v>
      </c>
      <c r="AP53" s="6" t="s">
        <v>578</v>
      </c>
      <c r="AQ53" s="6" t="s">
        <v>578</v>
      </c>
      <c r="AR53" s="6" t="s">
        <v>578</v>
      </c>
      <c r="AS53" s="6" t="s">
        <v>578</v>
      </c>
      <c r="AT53" s="6" t="s">
        <v>578</v>
      </c>
      <c r="AU53" s="6" t="s">
        <v>578</v>
      </c>
      <c r="AV53" s="6" t="s">
        <v>578</v>
      </c>
      <c r="AW53" s="6" t="s">
        <v>578</v>
      </c>
      <c r="AX53" s="6" t="s">
        <v>578</v>
      </c>
      <c r="AY53" s="6" t="s">
        <v>578</v>
      </c>
      <c r="AZ53" s="6" t="s">
        <v>578</v>
      </c>
      <c r="BA53" s="6" t="s">
        <v>578</v>
      </c>
      <c r="BB53" s="6" t="s">
        <v>578</v>
      </c>
      <c r="BC53" s="6" t="s">
        <v>578</v>
      </c>
      <c r="BD53" s="6" t="s">
        <v>578</v>
      </c>
      <c r="BE53" s="6" t="s">
        <v>578</v>
      </c>
      <c r="BF53" s="6" t="s">
        <v>578</v>
      </c>
      <c r="BG53" s="6" t="s">
        <v>578</v>
      </c>
      <c r="BH53" s="6" t="s">
        <v>582</v>
      </c>
      <c r="BI53" s="6" t="s">
        <v>578</v>
      </c>
      <c r="BJ53" t="s">
        <v>578</v>
      </c>
      <c r="BK53" s="6" t="s">
        <v>578</v>
      </c>
      <c r="BL53" s="6" t="s">
        <v>578</v>
      </c>
      <c r="BM53" s="6" t="s">
        <v>578</v>
      </c>
      <c r="BN53" s="6" t="s">
        <v>578</v>
      </c>
      <c r="BO53" s="6" t="s">
        <v>578</v>
      </c>
      <c r="BP53" s="6" t="s">
        <v>578</v>
      </c>
      <c r="BQ53" s="6" t="s">
        <v>578</v>
      </c>
      <c r="BR53" s="6" t="s">
        <v>578</v>
      </c>
      <c r="BS53" s="6" t="s">
        <v>578</v>
      </c>
      <c r="BT53" s="6" t="s">
        <v>578</v>
      </c>
      <c r="BU53" s="6" t="s">
        <v>578</v>
      </c>
      <c r="BV53" s="6" t="s">
        <v>578</v>
      </c>
    </row>
    <row r="54" spans="1:74" x14ac:dyDescent="0.3">
      <c r="A54" s="6" t="s">
        <v>527</v>
      </c>
      <c r="B54" s="6" t="s">
        <v>547</v>
      </c>
      <c r="C54" s="6" t="s">
        <v>386</v>
      </c>
      <c r="D54" s="6" t="s">
        <v>611</v>
      </c>
      <c r="E54" s="6" t="s">
        <v>533</v>
      </c>
      <c r="F54" s="6" t="s">
        <v>548</v>
      </c>
      <c r="G54" s="6" t="s">
        <v>65</v>
      </c>
      <c r="H54" s="6" t="s">
        <v>585</v>
      </c>
      <c r="I54" s="6" t="s">
        <v>864</v>
      </c>
      <c r="J54" s="6" t="s">
        <v>865</v>
      </c>
      <c r="K54" s="6" t="s">
        <v>866</v>
      </c>
      <c r="L54" s="6" t="s">
        <v>614</v>
      </c>
      <c r="M54" s="6" t="s">
        <v>582</v>
      </c>
      <c r="N54" s="6" t="s">
        <v>577</v>
      </c>
      <c r="O54" s="6" t="s">
        <v>578</v>
      </c>
      <c r="P54" s="6" t="s">
        <v>582</v>
      </c>
      <c r="Q54" s="6" t="s">
        <v>589</v>
      </c>
      <c r="R54" s="6" t="s">
        <v>811</v>
      </c>
      <c r="S54" s="6" t="s">
        <v>812</v>
      </c>
      <c r="T54" s="6" t="s">
        <v>582</v>
      </c>
      <c r="U54" s="6" t="s">
        <v>578</v>
      </c>
      <c r="V54" s="6" t="s">
        <v>578</v>
      </c>
      <c r="W54" s="6" t="s">
        <v>578</v>
      </c>
      <c r="X54" s="6" t="s">
        <v>578</v>
      </c>
      <c r="Y54" s="6" t="s">
        <v>582</v>
      </c>
      <c r="Z54" s="6" t="s">
        <v>582</v>
      </c>
      <c r="AA54" s="6" t="s">
        <v>578</v>
      </c>
      <c r="AB54" s="6" t="s">
        <v>578</v>
      </c>
      <c r="AC54" s="6" t="s">
        <v>582</v>
      </c>
      <c r="AD54" s="6" t="s">
        <v>578</v>
      </c>
      <c r="AE54" s="6" t="s">
        <v>578</v>
      </c>
      <c r="AF54" s="6" t="s">
        <v>578</v>
      </c>
      <c r="AG54" s="6" t="s">
        <v>582</v>
      </c>
      <c r="AH54" s="6" t="s">
        <v>578</v>
      </c>
      <c r="AI54" s="6" t="s">
        <v>578</v>
      </c>
      <c r="AJ54" s="6" t="s">
        <v>578</v>
      </c>
      <c r="AK54" s="6" t="s">
        <v>582</v>
      </c>
      <c r="AL54" s="6" t="s">
        <v>582</v>
      </c>
      <c r="AM54" s="6" t="s">
        <v>578</v>
      </c>
      <c r="AN54" s="6" t="s">
        <v>578</v>
      </c>
      <c r="AO54" s="6" t="s">
        <v>578</v>
      </c>
      <c r="AP54" s="6" t="s">
        <v>578</v>
      </c>
      <c r="AQ54" s="6" t="s">
        <v>578</v>
      </c>
      <c r="AR54" s="6" t="s">
        <v>582</v>
      </c>
      <c r="AS54" s="6" t="s">
        <v>578</v>
      </c>
      <c r="AT54" s="6" t="s">
        <v>578</v>
      </c>
      <c r="AU54" s="6" t="s">
        <v>578</v>
      </c>
      <c r="AV54" s="6" t="s">
        <v>578</v>
      </c>
      <c r="AW54" s="6" t="s">
        <v>578</v>
      </c>
      <c r="AX54" s="6" t="s">
        <v>578</v>
      </c>
      <c r="AY54" s="6" t="s">
        <v>578</v>
      </c>
      <c r="AZ54" s="6" t="s">
        <v>578</v>
      </c>
      <c r="BA54" s="6" t="s">
        <v>578</v>
      </c>
      <c r="BB54" s="6" t="s">
        <v>578</v>
      </c>
      <c r="BC54" s="6" t="s">
        <v>578</v>
      </c>
      <c r="BD54" s="6" t="s">
        <v>578</v>
      </c>
      <c r="BE54" s="6" t="s">
        <v>578</v>
      </c>
      <c r="BF54" s="6" t="s">
        <v>578</v>
      </c>
      <c r="BG54" s="6" t="s">
        <v>578</v>
      </c>
      <c r="BH54" s="6" t="s">
        <v>578</v>
      </c>
      <c r="BI54" s="6" t="s">
        <v>578</v>
      </c>
      <c r="BJ54" t="s">
        <v>578</v>
      </c>
      <c r="BK54" s="6" t="s">
        <v>578</v>
      </c>
      <c r="BL54" s="6" t="s">
        <v>578</v>
      </c>
      <c r="BM54" s="6" t="s">
        <v>578</v>
      </c>
      <c r="BN54" s="6" t="s">
        <v>578</v>
      </c>
      <c r="BO54" s="6" t="s">
        <v>578</v>
      </c>
      <c r="BP54" s="6" t="s">
        <v>578</v>
      </c>
      <c r="BQ54" s="6" t="s">
        <v>578</v>
      </c>
      <c r="BR54" s="6" t="s">
        <v>578</v>
      </c>
      <c r="BS54" s="6" t="s">
        <v>578</v>
      </c>
      <c r="BT54" s="6" t="s">
        <v>578</v>
      </c>
      <c r="BU54" s="6" t="s">
        <v>578</v>
      </c>
      <c r="BV54" s="6" t="s">
        <v>578</v>
      </c>
    </row>
    <row r="55" spans="1:74" x14ac:dyDescent="0.3">
      <c r="A55" s="6" t="s">
        <v>528</v>
      </c>
      <c r="B55" s="6" t="s">
        <v>549</v>
      </c>
      <c r="C55" s="6" t="s">
        <v>386</v>
      </c>
      <c r="D55" s="6" t="s">
        <v>611</v>
      </c>
      <c r="E55" s="6" t="s">
        <v>535</v>
      </c>
      <c r="F55" s="6" t="s">
        <v>525</v>
      </c>
      <c r="G55" s="6" t="s">
        <v>68</v>
      </c>
      <c r="H55" s="6" t="s">
        <v>585</v>
      </c>
      <c r="I55" s="6" t="s">
        <v>550</v>
      </c>
      <c r="J55" s="6" t="s">
        <v>813</v>
      </c>
      <c r="K55" s="6" t="s">
        <v>814</v>
      </c>
      <c r="L55" s="6" t="s">
        <v>815</v>
      </c>
      <c r="M55" s="6" t="s">
        <v>582</v>
      </c>
      <c r="N55" s="6" t="s">
        <v>816</v>
      </c>
      <c r="O55" s="6" t="s">
        <v>579</v>
      </c>
      <c r="P55" s="6" t="s">
        <v>582</v>
      </c>
      <c r="Q55" s="6" t="s">
        <v>579</v>
      </c>
      <c r="R55" s="6" t="s">
        <v>817</v>
      </c>
      <c r="S55" s="6" t="s">
        <v>818</v>
      </c>
      <c r="T55" s="6" t="s">
        <v>578</v>
      </c>
      <c r="U55" s="6" t="s">
        <v>578</v>
      </c>
      <c r="V55" s="6" t="s">
        <v>582</v>
      </c>
      <c r="W55" s="6" t="s">
        <v>582</v>
      </c>
      <c r="X55" s="6" t="s">
        <v>578</v>
      </c>
      <c r="Y55" s="6" t="s">
        <v>578</v>
      </c>
      <c r="Z55" s="6" t="s">
        <v>582</v>
      </c>
      <c r="AA55" s="6" t="s">
        <v>578</v>
      </c>
      <c r="AB55" s="6" t="s">
        <v>578</v>
      </c>
      <c r="AC55" s="6" t="s">
        <v>582</v>
      </c>
      <c r="AD55" s="6" t="s">
        <v>578</v>
      </c>
      <c r="AE55" s="6" t="s">
        <v>578</v>
      </c>
      <c r="AF55" s="6" t="s">
        <v>578</v>
      </c>
      <c r="AG55" s="6" t="s">
        <v>578</v>
      </c>
      <c r="AH55" s="6" t="s">
        <v>578</v>
      </c>
      <c r="AI55" s="6" t="s">
        <v>578</v>
      </c>
      <c r="AJ55" s="6" t="s">
        <v>582</v>
      </c>
      <c r="AK55" s="6" t="s">
        <v>582</v>
      </c>
      <c r="AL55" s="6" t="s">
        <v>578</v>
      </c>
      <c r="AM55" s="6" t="s">
        <v>576</v>
      </c>
      <c r="AN55" s="6" t="s">
        <v>578</v>
      </c>
      <c r="AO55" s="6" t="s">
        <v>578</v>
      </c>
      <c r="AP55" s="6" t="s">
        <v>578</v>
      </c>
      <c r="AQ55" s="6" t="s">
        <v>578</v>
      </c>
      <c r="AR55" s="6" t="s">
        <v>578</v>
      </c>
      <c r="AS55" s="6" t="s">
        <v>578</v>
      </c>
      <c r="AT55" s="6" t="s">
        <v>578</v>
      </c>
      <c r="AU55" s="6" t="s">
        <v>578</v>
      </c>
      <c r="AV55" s="6" t="s">
        <v>578</v>
      </c>
      <c r="AW55" s="6" t="s">
        <v>578</v>
      </c>
      <c r="AX55" s="6" t="s">
        <v>578</v>
      </c>
      <c r="AY55" s="6" t="s">
        <v>578</v>
      </c>
      <c r="AZ55" s="6" t="s">
        <v>578</v>
      </c>
      <c r="BA55" s="6" t="s">
        <v>578</v>
      </c>
      <c r="BB55" s="6" t="s">
        <v>578</v>
      </c>
      <c r="BC55" s="6" t="s">
        <v>578</v>
      </c>
      <c r="BD55" s="6" t="s">
        <v>578</v>
      </c>
      <c r="BE55" s="6" t="s">
        <v>578</v>
      </c>
      <c r="BF55" s="6" t="s">
        <v>578</v>
      </c>
      <c r="BG55" s="6" t="s">
        <v>578</v>
      </c>
      <c r="BH55" s="6" t="s">
        <v>578</v>
      </c>
      <c r="BI55" s="6" t="s">
        <v>578</v>
      </c>
      <c r="BJ55" t="s">
        <v>578</v>
      </c>
      <c r="BK55" s="6" t="s">
        <v>578</v>
      </c>
      <c r="BL55" s="6" t="s">
        <v>578</v>
      </c>
      <c r="BM55" s="6" t="s">
        <v>578</v>
      </c>
      <c r="BN55" s="6" t="s">
        <v>578</v>
      </c>
      <c r="BO55" s="6" t="s">
        <v>578</v>
      </c>
      <c r="BP55" s="6" t="s">
        <v>578</v>
      </c>
      <c r="BQ55" s="6" t="s">
        <v>578</v>
      </c>
      <c r="BR55" s="6" t="s">
        <v>578</v>
      </c>
      <c r="BS55" s="6" t="s">
        <v>578</v>
      </c>
      <c r="BT55" s="6" t="s">
        <v>578</v>
      </c>
      <c r="BU55" s="6" t="s">
        <v>578</v>
      </c>
      <c r="BV55" s="6" t="s">
        <v>578</v>
      </c>
    </row>
    <row r="56" spans="1:74" x14ac:dyDescent="0.3">
      <c r="A56" s="6" t="s">
        <v>529</v>
      </c>
      <c r="B56" s="6" t="s">
        <v>551</v>
      </c>
      <c r="C56" s="6" t="s">
        <v>386</v>
      </c>
      <c r="D56" s="6" t="s">
        <v>819</v>
      </c>
      <c r="E56" s="6" t="s">
        <v>535</v>
      </c>
      <c r="F56" s="6" t="s">
        <v>526</v>
      </c>
      <c r="G56" s="6" t="s">
        <v>68</v>
      </c>
      <c r="H56" s="6" t="s">
        <v>572</v>
      </c>
      <c r="I56" s="6" t="s">
        <v>552</v>
      </c>
      <c r="J56" s="6" t="s">
        <v>820</v>
      </c>
      <c r="K56" s="6" t="s">
        <v>821</v>
      </c>
      <c r="L56" s="6" t="s">
        <v>575</v>
      </c>
      <c r="M56" s="6" t="s">
        <v>576</v>
      </c>
      <c r="N56" s="6" t="s">
        <v>578</v>
      </c>
      <c r="O56" s="6" t="s">
        <v>579</v>
      </c>
      <c r="P56" s="6" t="s">
        <v>576</v>
      </c>
      <c r="Q56" s="6" t="s">
        <v>589</v>
      </c>
      <c r="R56" s="6" t="s">
        <v>822</v>
      </c>
      <c r="S56" s="6" t="s">
        <v>823</v>
      </c>
      <c r="T56" s="6" t="s">
        <v>579</v>
      </c>
      <c r="U56" s="6" t="s">
        <v>579</v>
      </c>
      <c r="V56" s="6" t="s">
        <v>579</v>
      </c>
      <c r="W56" s="6" t="s">
        <v>578</v>
      </c>
      <c r="X56" s="6" t="s">
        <v>582</v>
      </c>
      <c r="Y56" s="6" t="s">
        <v>576</v>
      </c>
      <c r="Z56" s="6" t="s">
        <v>578</v>
      </c>
      <c r="AA56" s="6" t="s">
        <v>578</v>
      </c>
      <c r="AB56" s="6" t="s">
        <v>578</v>
      </c>
      <c r="AC56" s="6" t="s">
        <v>582</v>
      </c>
      <c r="AD56" s="6" t="s">
        <v>582</v>
      </c>
      <c r="AE56" s="6" t="s">
        <v>583</v>
      </c>
      <c r="AF56" s="6" t="s">
        <v>582</v>
      </c>
      <c r="AG56" s="6" t="s">
        <v>582</v>
      </c>
      <c r="AH56" s="6" t="s">
        <v>576</v>
      </c>
      <c r="AI56" s="6" t="s">
        <v>582</v>
      </c>
      <c r="AJ56" s="6" t="s">
        <v>578</v>
      </c>
      <c r="AK56" s="6" t="s">
        <v>582</v>
      </c>
      <c r="AL56" s="6" t="s">
        <v>578</v>
      </c>
      <c r="AM56" s="6" t="s">
        <v>578</v>
      </c>
      <c r="AN56" s="6" t="s">
        <v>578</v>
      </c>
      <c r="AO56" s="6" t="s">
        <v>578</v>
      </c>
      <c r="AP56" s="6" t="s">
        <v>578</v>
      </c>
      <c r="AQ56" s="6" t="s">
        <v>578</v>
      </c>
      <c r="AR56" s="6" t="s">
        <v>578</v>
      </c>
      <c r="AS56" s="6" t="s">
        <v>578</v>
      </c>
      <c r="AT56" s="6" t="s">
        <v>578</v>
      </c>
      <c r="AU56" s="6" t="s">
        <v>578</v>
      </c>
      <c r="AV56" s="6" t="s">
        <v>578</v>
      </c>
      <c r="AW56" s="6" t="s">
        <v>578</v>
      </c>
      <c r="AX56" s="6" t="s">
        <v>578</v>
      </c>
      <c r="AY56" s="6" t="s">
        <v>578</v>
      </c>
      <c r="AZ56" s="6" t="s">
        <v>578</v>
      </c>
      <c r="BA56" s="6" t="s">
        <v>578</v>
      </c>
      <c r="BB56" s="6" t="s">
        <v>578</v>
      </c>
      <c r="BC56" s="6" t="s">
        <v>578</v>
      </c>
      <c r="BD56" s="6" t="s">
        <v>578</v>
      </c>
      <c r="BE56" s="6" t="s">
        <v>578</v>
      </c>
      <c r="BF56" s="6" t="s">
        <v>578</v>
      </c>
      <c r="BG56" s="6" t="s">
        <v>578</v>
      </c>
      <c r="BH56" s="6" t="s">
        <v>578</v>
      </c>
      <c r="BI56" s="6" t="s">
        <v>578</v>
      </c>
      <c r="BJ56" t="s">
        <v>578</v>
      </c>
      <c r="BK56" s="6" t="s">
        <v>578</v>
      </c>
      <c r="BL56" s="6" t="s">
        <v>578</v>
      </c>
      <c r="BM56" s="6" t="s">
        <v>578</v>
      </c>
      <c r="BN56" s="6" t="s">
        <v>578</v>
      </c>
      <c r="BO56" s="6" t="s">
        <v>578</v>
      </c>
      <c r="BP56" s="6" t="s">
        <v>578</v>
      </c>
      <c r="BQ56" s="6" t="s">
        <v>578</v>
      </c>
      <c r="BR56" s="6" t="s">
        <v>578</v>
      </c>
      <c r="BS56" s="6" t="s">
        <v>578</v>
      </c>
      <c r="BT56" s="6" t="s">
        <v>578</v>
      </c>
      <c r="BU56" s="6" t="s">
        <v>578</v>
      </c>
      <c r="BV56" s="6" t="s">
        <v>578</v>
      </c>
    </row>
    <row r="57" spans="1:74" x14ac:dyDescent="0.3">
      <c r="A57" s="6" t="s">
        <v>553</v>
      </c>
      <c r="B57" s="6" t="s">
        <v>554</v>
      </c>
      <c r="C57" s="6" t="s">
        <v>386</v>
      </c>
      <c r="D57" s="6" t="s">
        <v>611</v>
      </c>
      <c r="E57" s="6" t="s">
        <v>537</v>
      </c>
      <c r="F57" s="6" t="s">
        <v>548</v>
      </c>
      <c r="G57" s="6" t="s">
        <v>65</v>
      </c>
      <c r="H57" s="6" t="s">
        <v>585</v>
      </c>
      <c r="I57" s="6" t="s">
        <v>867</v>
      </c>
      <c r="J57" s="6" t="s">
        <v>868</v>
      </c>
      <c r="K57" s="6" t="s">
        <v>869</v>
      </c>
      <c r="L57" s="6" t="s">
        <v>614</v>
      </c>
      <c r="M57" s="6" t="s">
        <v>582</v>
      </c>
      <c r="N57" s="6" t="s">
        <v>577</v>
      </c>
      <c r="O57" s="6" t="s">
        <v>578</v>
      </c>
      <c r="P57" s="6" t="s">
        <v>582</v>
      </c>
      <c r="Q57" s="6" t="s">
        <v>589</v>
      </c>
      <c r="R57" s="6" t="s">
        <v>811</v>
      </c>
      <c r="S57" s="6" t="s">
        <v>812</v>
      </c>
      <c r="T57" s="6" t="s">
        <v>582</v>
      </c>
      <c r="U57" s="6" t="s">
        <v>578</v>
      </c>
      <c r="V57" s="6" t="s">
        <v>578</v>
      </c>
      <c r="W57" s="6" t="s">
        <v>578</v>
      </c>
      <c r="X57" s="6" t="s">
        <v>578</v>
      </c>
      <c r="Y57" s="6" t="s">
        <v>582</v>
      </c>
      <c r="Z57" s="6" t="s">
        <v>582</v>
      </c>
      <c r="AA57" s="6" t="s">
        <v>578</v>
      </c>
      <c r="AB57" s="6" t="s">
        <v>578</v>
      </c>
      <c r="AC57" s="6" t="s">
        <v>582</v>
      </c>
      <c r="AD57" s="6" t="s">
        <v>578</v>
      </c>
      <c r="AE57" s="6" t="s">
        <v>578</v>
      </c>
      <c r="AF57" s="6" t="s">
        <v>578</v>
      </c>
      <c r="AG57" s="6" t="s">
        <v>582</v>
      </c>
      <c r="AH57" s="6" t="s">
        <v>578</v>
      </c>
      <c r="AI57" s="6" t="s">
        <v>578</v>
      </c>
      <c r="AJ57" s="6" t="s">
        <v>578</v>
      </c>
      <c r="AK57" s="6" t="s">
        <v>582</v>
      </c>
      <c r="AL57" s="6" t="s">
        <v>582</v>
      </c>
      <c r="AM57" s="6" t="s">
        <v>578</v>
      </c>
      <c r="AN57" s="6" t="s">
        <v>578</v>
      </c>
      <c r="AO57" s="6" t="s">
        <v>578</v>
      </c>
      <c r="AP57" s="6" t="s">
        <v>578</v>
      </c>
      <c r="AQ57" s="6" t="s">
        <v>578</v>
      </c>
      <c r="AR57" s="6" t="s">
        <v>582</v>
      </c>
      <c r="AS57" s="6" t="s">
        <v>578</v>
      </c>
      <c r="AT57" s="6" t="s">
        <v>578</v>
      </c>
      <c r="AU57" s="6" t="s">
        <v>578</v>
      </c>
      <c r="AV57" s="6" t="s">
        <v>578</v>
      </c>
      <c r="AW57" s="6" t="s">
        <v>578</v>
      </c>
      <c r="AX57" s="6" t="s">
        <v>578</v>
      </c>
      <c r="AY57" s="6" t="s">
        <v>578</v>
      </c>
      <c r="AZ57" s="6" t="s">
        <v>578</v>
      </c>
      <c r="BA57" s="6" t="s">
        <v>578</v>
      </c>
      <c r="BB57" s="6" t="s">
        <v>578</v>
      </c>
      <c r="BC57" s="6" t="s">
        <v>578</v>
      </c>
      <c r="BD57" s="6" t="s">
        <v>578</v>
      </c>
      <c r="BE57" s="6" t="s">
        <v>578</v>
      </c>
      <c r="BF57" s="6" t="s">
        <v>578</v>
      </c>
      <c r="BG57" s="6" t="s">
        <v>578</v>
      </c>
      <c r="BH57" s="6" t="s">
        <v>578</v>
      </c>
      <c r="BI57" s="6" t="s">
        <v>578</v>
      </c>
      <c r="BJ57" t="s">
        <v>578</v>
      </c>
      <c r="BK57" s="6" t="s">
        <v>578</v>
      </c>
      <c r="BL57" s="6" t="s">
        <v>578</v>
      </c>
      <c r="BM57" s="6" t="s">
        <v>578</v>
      </c>
      <c r="BN57" s="6" t="s">
        <v>578</v>
      </c>
      <c r="BO57" s="6" t="s">
        <v>578</v>
      </c>
      <c r="BP57" s="6" t="s">
        <v>578</v>
      </c>
      <c r="BQ57" s="6" t="s">
        <v>578</v>
      </c>
      <c r="BR57" s="6" t="s">
        <v>578</v>
      </c>
      <c r="BS57" s="6" t="s">
        <v>578</v>
      </c>
      <c r="BT57" s="6" t="s">
        <v>578</v>
      </c>
      <c r="BU57" s="6" t="s">
        <v>578</v>
      </c>
      <c r="BV57" s="6" t="s">
        <v>578</v>
      </c>
    </row>
    <row r="58" spans="1:74" x14ac:dyDescent="0.3">
      <c r="A58" s="6" t="s">
        <v>555</v>
      </c>
      <c r="B58" s="6" t="s">
        <v>556</v>
      </c>
      <c r="C58" s="6" t="s">
        <v>386</v>
      </c>
      <c r="D58" s="6" t="s">
        <v>611</v>
      </c>
      <c r="E58" s="6" t="s">
        <v>539</v>
      </c>
      <c r="F58" s="6" t="s">
        <v>525</v>
      </c>
      <c r="G58" s="6" t="s">
        <v>68</v>
      </c>
      <c r="H58" s="6" t="s">
        <v>585</v>
      </c>
      <c r="I58" s="6" t="s">
        <v>557</v>
      </c>
      <c r="J58" s="6" t="s">
        <v>824</v>
      </c>
      <c r="K58" s="6" t="s">
        <v>825</v>
      </c>
      <c r="L58" s="6" t="s">
        <v>815</v>
      </c>
      <c r="M58" s="6" t="s">
        <v>582</v>
      </c>
      <c r="N58" s="6" t="s">
        <v>816</v>
      </c>
      <c r="O58" s="6" t="s">
        <v>579</v>
      </c>
      <c r="P58" s="6" t="s">
        <v>582</v>
      </c>
      <c r="Q58" s="6" t="s">
        <v>579</v>
      </c>
      <c r="R58" s="6" t="s">
        <v>817</v>
      </c>
      <c r="S58" s="6" t="s">
        <v>818</v>
      </c>
      <c r="T58" s="6" t="s">
        <v>578</v>
      </c>
      <c r="U58" s="6" t="s">
        <v>578</v>
      </c>
      <c r="V58" s="6" t="s">
        <v>582</v>
      </c>
      <c r="W58" s="6" t="s">
        <v>582</v>
      </c>
      <c r="X58" s="6" t="s">
        <v>578</v>
      </c>
      <c r="Y58" s="6" t="s">
        <v>578</v>
      </c>
      <c r="Z58" s="6" t="s">
        <v>582</v>
      </c>
      <c r="AA58" s="6" t="s">
        <v>578</v>
      </c>
      <c r="AB58" s="6" t="s">
        <v>578</v>
      </c>
      <c r="AC58" s="6" t="s">
        <v>582</v>
      </c>
      <c r="AD58" s="6" t="s">
        <v>578</v>
      </c>
      <c r="AE58" s="6" t="s">
        <v>578</v>
      </c>
      <c r="AF58" s="6" t="s">
        <v>578</v>
      </c>
      <c r="AG58" s="6" t="s">
        <v>578</v>
      </c>
      <c r="AH58" s="6" t="s">
        <v>578</v>
      </c>
      <c r="AI58" s="6" t="s">
        <v>578</v>
      </c>
      <c r="AJ58" s="6" t="s">
        <v>582</v>
      </c>
      <c r="AK58" s="6" t="s">
        <v>582</v>
      </c>
      <c r="AL58" s="6" t="s">
        <v>578</v>
      </c>
      <c r="AM58" s="6" t="s">
        <v>576</v>
      </c>
      <c r="AN58" s="6" t="s">
        <v>578</v>
      </c>
      <c r="AO58" s="6" t="s">
        <v>578</v>
      </c>
      <c r="AP58" s="6" t="s">
        <v>578</v>
      </c>
      <c r="AQ58" s="6" t="s">
        <v>578</v>
      </c>
      <c r="AR58" s="6" t="s">
        <v>578</v>
      </c>
      <c r="AS58" s="6" t="s">
        <v>578</v>
      </c>
      <c r="AT58" s="6" t="s">
        <v>578</v>
      </c>
      <c r="AU58" s="6" t="s">
        <v>578</v>
      </c>
      <c r="AV58" s="6" t="s">
        <v>578</v>
      </c>
      <c r="AW58" s="6" t="s">
        <v>578</v>
      </c>
      <c r="AX58" s="6" t="s">
        <v>578</v>
      </c>
      <c r="AY58" s="6" t="s">
        <v>578</v>
      </c>
      <c r="AZ58" s="6" t="s">
        <v>578</v>
      </c>
      <c r="BA58" s="6" t="s">
        <v>578</v>
      </c>
      <c r="BB58" s="6" t="s">
        <v>578</v>
      </c>
      <c r="BC58" s="6" t="s">
        <v>578</v>
      </c>
      <c r="BD58" s="6" t="s">
        <v>578</v>
      </c>
      <c r="BE58" s="6" t="s">
        <v>578</v>
      </c>
      <c r="BF58" s="6" t="s">
        <v>578</v>
      </c>
      <c r="BG58" s="6" t="s">
        <v>578</v>
      </c>
      <c r="BH58" s="6" t="s">
        <v>578</v>
      </c>
      <c r="BI58" s="6" t="s">
        <v>578</v>
      </c>
      <c r="BJ58" t="s">
        <v>578</v>
      </c>
      <c r="BK58" s="6" t="s">
        <v>578</v>
      </c>
      <c r="BL58" s="6" t="s">
        <v>578</v>
      </c>
      <c r="BM58" s="6" t="s">
        <v>578</v>
      </c>
      <c r="BN58" s="6" t="s">
        <v>578</v>
      </c>
      <c r="BO58" s="6" t="s">
        <v>578</v>
      </c>
      <c r="BP58" s="6" t="s">
        <v>578</v>
      </c>
      <c r="BQ58" s="6" t="s">
        <v>578</v>
      </c>
      <c r="BR58" s="6" t="s">
        <v>578</v>
      </c>
      <c r="BS58" s="6" t="s">
        <v>578</v>
      </c>
      <c r="BT58" s="6" t="s">
        <v>578</v>
      </c>
      <c r="BU58" s="6" t="s">
        <v>578</v>
      </c>
      <c r="BV58" s="6" t="s">
        <v>578</v>
      </c>
    </row>
    <row r="59" spans="1:74" x14ac:dyDescent="0.3">
      <c r="A59" s="6" t="s">
        <v>558</v>
      </c>
      <c r="B59" s="6" t="s">
        <v>559</v>
      </c>
      <c r="C59" s="6" t="s">
        <v>386</v>
      </c>
      <c r="D59" s="6" t="s">
        <v>819</v>
      </c>
      <c r="E59" s="6" t="s">
        <v>539</v>
      </c>
      <c r="F59" s="6" t="s">
        <v>526</v>
      </c>
      <c r="G59" s="6" t="s">
        <v>68</v>
      </c>
      <c r="H59" s="6" t="s">
        <v>572</v>
      </c>
      <c r="I59" s="6" t="s">
        <v>560</v>
      </c>
      <c r="J59" s="6" t="s">
        <v>826</v>
      </c>
      <c r="K59" s="6" t="s">
        <v>827</v>
      </c>
      <c r="L59" s="6" t="s">
        <v>575</v>
      </c>
      <c r="M59" s="6" t="s">
        <v>576</v>
      </c>
      <c r="N59" s="6" t="s">
        <v>578</v>
      </c>
      <c r="O59" s="6" t="s">
        <v>579</v>
      </c>
      <c r="P59" s="6" t="s">
        <v>576</v>
      </c>
      <c r="Q59" s="6" t="s">
        <v>589</v>
      </c>
      <c r="R59" s="6" t="s">
        <v>822</v>
      </c>
      <c r="S59" s="6" t="s">
        <v>823</v>
      </c>
      <c r="T59" s="6" t="s">
        <v>579</v>
      </c>
      <c r="U59" s="6" t="s">
        <v>579</v>
      </c>
      <c r="V59" s="6" t="s">
        <v>579</v>
      </c>
      <c r="W59" s="6" t="s">
        <v>578</v>
      </c>
      <c r="X59" s="6" t="s">
        <v>582</v>
      </c>
      <c r="Y59" s="6" t="s">
        <v>576</v>
      </c>
      <c r="Z59" s="6" t="s">
        <v>578</v>
      </c>
      <c r="AA59" s="6" t="s">
        <v>578</v>
      </c>
      <c r="AB59" s="6" t="s">
        <v>578</v>
      </c>
      <c r="AC59" s="6" t="s">
        <v>582</v>
      </c>
      <c r="AD59" s="6" t="s">
        <v>582</v>
      </c>
      <c r="AE59" s="6" t="s">
        <v>583</v>
      </c>
      <c r="AF59" s="6" t="s">
        <v>582</v>
      </c>
      <c r="AG59" s="6" t="s">
        <v>582</v>
      </c>
      <c r="AH59" s="6" t="s">
        <v>576</v>
      </c>
      <c r="AI59" s="6" t="s">
        <v>582</v>
      </c>
      <c r="AJ59" s="6" t="s">
        <v>578</v>
      </c>
      <c r="AK59" s="6" t="s">
        <v>582</v>
      </c>
      <c r="AL59" s="6" t="s">
        <v>578</v>
      </c>
      <c r="AM59" s="6" t="s">
        <v>578</v>
      </c>
      <c r="AN59" s="6" t="s">
        <v>578</v>
      </c>
      <c r="AO59" s="6" t="s">
        <v>578</v>
      </c>
      <c r="AP59" s="6" t="s">
        <v>578</v>
      </c>
      <c r="AQ59" s="6" t="s">
        <v>578</v>
      </c>
      <c r="AR59" s="6" t="s">
        <v>578</v>
      </c>
      <c r="AS59" s="6" t="s">
        <v>578</v>
      </c>
      <c r="AT59" s="6" t="s">
        <v>578</v>
      </c>
      <c r="AU59" s="6" t="s">
        <v>578</v>
      </c>
      <c r="AV59" s="6" t="s">
        <v>578</v>
      </c>
      <c r="AW59" s="6" t="s">
        <v>578</v>
      </c>
      <c r="AX59" s="6" t="s">
        <v>578</v>
      </c>
      <c r="AY59" s="6" t="s">
        <v>578</v>
      </c>
      <c r="AZ59" s="6" t="s">
        <v>578</v>
      </c>
      <c r="BA59" s="6" t="s">
        <v>578</v>
      </c>
      <c r="BB59" s="6" t="s">
        <v>578</v>
      </c>
      <c r="BC59" s="6" t="s">
        <v>578</v>
      </c>
      <c r="BD59" s="6" t="s">
        <v>578</v>
      </c>
      <c r="BE59" s="6" t="s">
        <v>578</v>
      </c>
      <c r="BF59" s="6" t="s">
        <v>578</v>
      </c>
      <c r="BG59" s="6" t="s">
        <v>578</v>
      </c>
      <c r="BH59" s="6" t="s">
        <v>578</v>
      </c>
      <c r="BI59" s="6" t="s">
        <v>578</v>
      </c>
      <c r="BJ59" t="s">
        <v>578</v>
      </c>
      <c r="BK59" s="6" t="s">
        <v>578</v>
      </c>
      <c r="BL59" s="6" t="s">
        <v>578</v>
      </c>
      <c r="BM59" s="6" t="s">
        <v>578</v>
      </c>
      <c r="BN59" s="6" t="s">
        <v>578</v>
      </c>
      <c r="BO59" s="6" t="s">
        <v>578</v>
      </c>
      <c r="BP59" s="6" t="s">
        <v>578</v>
      </c>
      <c r="BQ59" s="6" t="s">
        <v>578</v>
      </c>
      <c r="BR59" s="6" t="s">
        <v>578</v>
      </c>
      <c r="BS59" s="6" t="s">
        <v>578</v>
      </c>
      <c r="BT59" s="6" t="s">
        <v>578</v>
      </c>
      <c r="BU59" s="6" t="s">
        <v>578</v>
      </c>
      <c r="BV59" s="6" t="s">
        <v>578</v>
      </c>
    </row>
    <row r="60" spans="1:74" x14ac:dyDescent="0.3">
      <c r="A60" s="6" t="s">
        <v>828</v>
      </c>
      <c r="B60" s="6" t="s">
        <v>829</v>
      </c>
      <c r="C60" s="6" t="s">
        <v>386</v>
      </c>
      <c r="D60" s="6" t="s">
        <v>729</v>
      </c>
      <c r="E60" s="6" t="s">
        <v>1</v>
      </c>
      <c r="F60" s="6" t="s">
        <v>830</v>
      </c>
      <c r="G60" s="6" t="s">
        <v>68</v>
      </c>
      <c r="H60" s="6" t="s">
        <v>585</v>
      </c>
      <c r="I60" s="6" t="s">
        <v>831</v>
      </c>
      <c r="J60" s="6" t="s">
        <v>832</v>
      </c>
      <c r="K60" s="6" t="s">
        <v>833</v>
      </c>
      <c r="L60" s="6" t="s">
        <v>596</v>
      </c>
      <c r="M60" s="6" t="s">
        <v>590</v>
      </c>
      <c r="N60" s="6" t="s">
        <v>579</v>
      </c>
      <c r="O60" s="6" t="s">
        <v>578</v>
      </c>
      <c r="P60" s="6" t="s">
        <v>583</v>
      </c>
      <c r="Q60" s="6" t="s">
        <v>579</v>
      </c>
      <c r="R60" s="6" t="s">
        <v>806</v>
      </c>
      <c r="S60" s="6" t="s">
        <v>807</v>
      </c>
      <c r="T60" s="6" t="s">
        <v>582</v>
      </c>
      <c r="U60" s="6" t="s">
        <v>578</v>
      </c>
      <c r="V60" s="6" t="s">
        <v>578</v>
      </c>
      <c r="W60" s="6" t="s">
        <v>578</v>
      </c>
      <c r="X60" s="6" t="s">
        <v>578</v>
      </c>
      <c r="Y60" s="6" t="s">
        <v>578</v>
      </c>
      <c r="Z60" s="6" t="s">
        <v>579</v>
      </c>
      <c r="AA60" s="6" t="s">
        <v>582</v>
      </c>
      <c r="AB60" s="6" t="s">
        <v>578</v>
      </c>
      <c r="AC60" s="6" t="s">
        <v>578</v>
      </c>
      <c r="AD60" s="6" t="s">
        <v>578</v>
      </c>
      <c r="AE60" s="6" t="s">
        <v>578</v>
      </c>
      <c r="AF60" s="6" t="s">
        <v>582</v>
      </c>
      <c r="AG60" s="6" t="s">
        <v>578</v>
      </c>
      <c r="AH60" s="6" t="s">
        <v>582</v>
      </c>
      <c r="AI60" s="6" t="s">
        <v>578</v>
      </c>
      <c r="AJ60" s="6" t="s">
        <v>578</v>
      </c>
      <c r="AK60" s="6" t="s">
        <v>578</v>
      </c>
      <c r="AL60" s="6" t="s">
        <v>578</v>
      </c>
      <c r="AM60" s="6" t="s">
        <v>582</v>
      </c>
      <c r="AN60" s="6" t="s">
        <v>578</v>
      </c>
      <c r="AO60" s="6" t="s">
        <v>578</v>
      </c>
      <c r="AP60" s="6" t="s">
        <v>578</v>
      </c>
      <c r="AQ60" s="6" t="s">
        <v>578</v>
      </c>
      <c r="AR60" s="6" t="s">
        <v>578</v>
      </c>
      <c r="AS60" s="6" t="s">
        <v>578</v>
      </c>
      <c r="AT60" s="6" t="s">
        <v>578</v>
      </c>
      <c r="AU60" s="6" t="s">
        <v>578</v>
      </c>
      <c r="AV60" s="6" t="s">
        <v>578</v>
      </c>
      <c r="AW60" s="6" t="s">
        <v>578</v>
      </c>
      <c r="AX60" s="6" t="s">
        <v>578</v>
      </c>
      <c r="AY60" s="6" t="s">
        <v>578</v>
      </c>
      <c r="AZ60" s="6" t="s">
        <v>578</v>
      </c>
      <c r="BA60" s="6" t="s">
        <v>578</v>
      </c>
      <c r="BB60" s="6" t="s">
        <v>578</v>
      </c>
      <c r="BC60" s="6" t="s">
        <v>578</v>
      </c>
      <c r="BD60" s="6" t="s">
        <v>578</v>
      </c>
      <c r="BE60" s="6" t="s">
        <v>578</v>
      </c>
      <c r="BF60" s="6" t="s">
        <v>578</v>
      </c>
      <c r="BG60" s="6" t="s">
        <v>578</v>
      </c>
      <c r="BH60" s="6" t="s">
        <v>578</v>
      </c>
      <c r="BI60" s="6" t="s">
        <v>578</v>
      </c>
      <c r="BJ60" t="s">
        <v>582</v>
      </c>
      <c r="BK60" s="6" t="s">
        <v>578</v>
      </c>
      <c r="BL60" s="6" t="s">
        <v>578</v>
      </c>
      <c r="BM60" s="6" t="s">
        <v>578</v>
      </c>
      <c r="BN60" s="6" t="s">
        <v>578</v>
      </c>
      <c r="BO60" s="6" t="s">
        <v>578</v>
      </c>
      <c r="BP60" s="6" t="s">
        <v>578</v>
      </c>
      <c r="BQ60" s="6" t="s">
        <v>578</v>
      </c>
      <c r="BR60" s="6" t="s">
        <v>578</v>
      </c>
      <c r="BS60" s="6" t="s">
        <v>578</v>
      </c>
      <c r="BT60" s="6" t="s">
        <v>578</v>
      </c>
      <c r="BU60" s="6" t="s">
        <v>578</v>
      </c>
      <c r="BV60" s="6" t="s">
        <v>578</v>
      </c>
    </row>
    <row r="61" spans="1:74" x14ac:dyDescent="0.3">
      <c r="A61" s="6" t="s">
        <v>834</v>
      </c>
      <c r="B61" s="6" t="s">
        <v>835</v>
      </c>
      <c r="C61" s="6" t="s">
        <v>386</v>
      </c>
      <c r="D61" s="6" t="s">
        <v>778</v>
      </c>
      <c r="E61" s="6" t="s">
        <v>1</v>
      </c>
      <c r="F61" s="6" t="s">
        <v>836</v>
      </c>
      <c r="G61" s="6" t="s">
        <v>68</v>
      </c>
      <c r="H61" s="6" t="s">
        <v>585</v>
      </c>
      <c r="I61" s="6" t="s">
        <v>837</v>
      </c>
      <c r="J61" s="6" t="s">
        <v>838</v>
      </c>
      <c r="K61" s="6" t="s">
        <v>839</v>
      </c>
      <c r="L61" s="6" t="s">
        <v>621</v>
      </c>
      <c r="M61" s="6" t="s">
        <v>583</v>
      </c>
      <c r="N61" s="6" t="s">
        <v>781</v>
      </c>
      <c r="O61" s="6" t="s">
        <v>578</v>
      </c>
      <c r="P61" s="6" t="s">
        <v>576</v>
      </c>
      <c r="Q61" s="6" t="s">
        <v>583</v>
      </c>
      <c r="R61" s="6" t="s">
        <v>690</v>
      </c>
      <c r="S61" s="6" t="s">
        <v>810</v>
      </c>
      <c r="T61" s="6" t="s">
        <v>578</v>
      </c>
      <c r="U61" s="6" t="s">
        <v>578</v>
      </c>
      <c r="V61" s="6" t="s">
        <v>578</v>
      </c>
      <c r="W61" s="6" t="s">
        <v>578</v>
      </c>
      <c r="X61" s="6" t="s">
        <v>578</v>
      </c>
      <c r="Y61" s="6" t="s">
        <v>578</v>
      </c>
      <c r="Z61" s="6" t="s">
        <v>582</v>
      </c>
      <c r="AA61" s="6" t="s">
        <v>578</v>
      </c>
      <c r="AB61" s="6" t="s">
        <v>578</v>
      </c>
      <c r="AC61" s="6" t="s">
        <v>578</v>
      </c>
      <c r="AD61" s="6" t="s">
        <v>582</v>
      </c>
      <c r="AE61" s="6" t="s">
        <v>578</v>
      </c>
      <c r="AF61" s="6" t="s">
        <v>583</v>
      </c>
      <c r="AG61" s="6" t="s">
        <v>578</v>
      </c>
      <c r="AH61" s="6" t="s">
        <v>582</v>
      </c>
      <c r="AI61" s="6" t="s">
        <v>582</v>
      </c>
      <c r="AJ61" s="6" t="s">
        <v>582</v>
      </c>
      <c r="AK61" s="6" t="s">
        <v>582</v>
      </c>
      <c r="AL61" s="6" t="s">
        <v>579</v>
      </c>
      <c r="AM61" s="6" t="s">
        <v>578</v>
      </c>
      <c r="AN61" s="6" t="s">
        <v>578</v>
      </c>
      <c r="AO61" s="6" t="s">
        <v>578</v>
      </c>
      <c r="AP61" s="6" t="s">
        <v>578</v>
      </c>
      <c r="AQ61" s="6" t="s">
        <v>578</v>
      </c>
      <c r="AR61" s="6" t="s">
        <v>578</v>
      </c>
      <c r="AS61" s="6" t="s">
        <v>578</v>
      </c>
      <c r="AT61" s="6" t="s">
        <v>578</v>
      </c>
      <c r="AU61" s="6" t="s">
        <v>578</v>
      </c>
      <c r="AV61" s="6" t="s">
        <v>578</v>
      </c>
      <c r="AW61" s="6" t="s">
        <v>578</v>
      </c>
      <c r="AX61" s="6" t="s">
        <v>578</v>
      </c>
      <c r="AY61" s="6" t="s">
        <v>578</v>
      </c>
      <c r="AZ61" s="6" t="s">
        <v>578</v>
      </c>
      <c r="BA61" s="6" t="s">
        <v>578</v>
      </c>
      <c r="BB61" s="6" t="s">
        <v>578</v>
      </c>
      <c r="BC61" s="6" t="s">
        <v>578</v>
      </c>
      <c r="BD61" s="6" t="s">
        <v>578</v>
      </c>
      <c r="BE61" s="6" t="s">
        <v>578</v>
      </c>
      <c r="BF61" s="6" t="s">
        <v>578</v>
      </c>
      <c r="BG61" s="6" t="s">
        <v>578</v>
      </c>
      <c r="BH61" s="6" t="s">
        <v>578</v>
      </c>
      <c r="BI61" s="6" t="s">
        <v>578</v>
      </c>
      <c r="BJ61" t="s">
        <v>582</v>
      </c>
      <c r="BK61" s="6" t="s">
        <v>578</v>
      </c>
      <c r="BL61" s="6" t="s">
        <v>578</v>
      </c>
      <c r="BM61" s="6" t="s">
        <v>578</v>
      </c>
      <c r="BN61" s="6" t="s">
        <v>578</v>
      </c>
      <c r="BO61" s="6" t="s">
        <v>578</v>
      </c>
      <c r="BP61" s="6" t="s">
        <v>578</v>
      </c>
      <c r="BQ61" s="6" t="s">
        <v>578</v>
      </c>
      <c r="BR61" s="6" t="s">
        <v>578</v>
      </c>
      <c r="BS61" s="6" t="s">
        <v>578</v>
      </c>
      <c r="BT61" s="6" t="s">
        <v>578</v>
      </c>
      <c r="BU61" s="6" t="s">
        <v>578</v>
      </c>
      <c r="BV61" s="6" t="s">
        <v>578</v>
      </c>
    </row>
    <row r="62" spans="1:74" x14ac:dyDescent="0.3">
      <c r="A62" s="6" t="s">
        <v>856</v>
      </c>
      <c r="B62" s="6" t="s">
        <v>857</v>
      </c>
      <c r="C62" s="6" t="s">
        <v>386</v>
      </c>
      <c r="D62" s="6" t="s">
        <v>729</v>
      </c>
      <c r="E62" s="6" t="s">
        <v>1</v>
      </c>
      <c r="F62" s="6" t="s">
        <v>858</v>
      </c>
      <c r="G62" s="6" t="s">
        <v>851</v>
      </c>
      <c r="H62" s="6" t="s">
        <v>572</v>
      </c>
      <c r="I62" s="6" t="s">
        <v>859</v>
      </c>
      <c r="J62" s="6" t="s">
        <v>860</v>
      </c>
      <c r="K62" s="6" t="s">
        <v>861</v>
      </c>
      <c r="L62" s="6" t="s">
        <v>792</v>
      </c>
      <c r="M62" s="6" t="s">
        <v>576</v>
      </c>
      <c r="N62" s="6" t="s">
        <v>579</v>
      </c>
      <c r="O62" s="6" t="s">
        <v>578</v>
      </c>
      <c r="P62" s="6" t="s">
        <v>579</v>
      </c>
      <c r="Q62" s="6" t="s">
        <v>576</v>
      </c>
      <c r="R62" s="6" t="s">
        <v>862</v>
      </c>
      <c r="S62" s="6" t="s">
        <v>863</v>
      </c>
      <c r="T62" s="6" t="s">
        <v>578</v>
      </c>
      <c r="U62" s="6" t="s">
        <v>579</v>
      </c>
      <c r="V62" s="6" t="s">
        <v>578</v>
      </c>
      <c r="W62" s="6" t="s">
        <v>578</v>
      </c>
      <c r="X62" s="6" t="s">
        <v>582</v>
      </c>
      <c r="Y62" s="6" t="s">
        <v>578</v>
      </c>
      <c r="Z62" s="6" t="s">
        <v>578</v>
      </c>
      <c r="AA62" s="6" t="s">
        <v>578</v>
      </c>
      <c r="AB62" s="6" t="s">
        <v>582</v>
      </c>
      <c r="AC62" s="6" t="s">
        <v>578</v>
      </c>
      <c r="AD62" s="6" t="s">
        <v>578</v>
      </c>
      <c r="AE62" s="6" t="s">
        <v>578</v>
      </c>
      <c r="AF62" s="6" t="s">
        <v>578</v>
      </c>
      <c r="AG62" s="6" t="s">
        <v>578</v>
      </c>
      <c r="AH62" s="6" t="s">
        <v>578</v>
      </c>
      <c r="AI62" s="6" t="s">
        <v>578</v>
      </c>
      <c r="AJ62" s="6" t="s">
        <v>582</v>
      </c>
      <c r="AK62" s="6" t="s">
        <v>578</v>
      </c>
      <c r="AL62" s="6" t="s">
        <v>578</v>
      </c>
      <c r="AM62" s="6" t="s">
        <v>578</v>
      </c>
      <c r="AN62" s="6" t="s">
        <v>578</v>
      </c>
      <c r="AO62" s="6" t="s">
        <v>578</v>
      </c>
      <c r="AP62" s="6" t="s">
        <v>578</v>
      </c>
      <c r="AQ62" s="6" t="s">
        <v>578</v>
      </c>
      <c r="AR62" s="6" t="s">
        <v>582</v>
      </c>
      <c r="AS62" s="6" t="s">
        <v>578</v>
      </c>
      <c r="AT62" s="6" t="s">
        <v>578</v>
      </c>
      <c r="AU62" s="6" t="s">
        <v>578</v>
      </c>
      <c r="AV62" s="6" t="s">
        <v>578</v>
      </c>
      <c r="AW62" s="6" t="s">
        <v>578</v>
      </c>
      <c r="AX62" s="6" t="s">
        <v>578</v>
      </c>
      <c r="AY62" s="6" t="s">
        <v>578</v>
      </c>
      <c r="AZ62" s="6" t="s">
        <v>578</v>
      </c>
      <c r="BA62" s="6" t="s">
        <v>578</v>
      </c>
      <c r="BB62" s="6" t="s">
        <v>578</v>
      </c>
      <c r="BC62" s="6" t="s">
        <v>578</v>
      </c>
      <c r="BD62" s="6" t="s">
        <v>578</v>
      </c>
      <c r="BE62" s="6" t="s">
        <v>582</v>
      </c>
      <c r="BF62" s="6" t="s">
        <v>578</v>
      </c>
      <c r="BG62" s="6" t="s">
        <v>578</v>
      </c>
      <c r="BH62" s="6" t="s">
        <v>582</v>
      </c>
      <c r="BI62" s="6" t="s">
        <v>578</v>
      </c>
      <c r="BJ62" t="s">
        <v>578</v>
      </c>
      <c r="BK62" s="6" t="s">
        <v>578</v>
      </c>
      <c r="BL62" s="6" t="s">
        <v>578</v>
      </c>
      <c r="BM62" s="6" t="s">
        <v>578</v>
      </c>
      <c r="BN62" s="6" t="s">
        <v>578</v>
      </c>
      <c r="BO62" s="6" t="s">
        <v>578</v>
      </c>
      <c r="BP62" s="6" t="s">
        <v>578</v>
      </c>
      <c r="BQ62" s="6" t="s">
        <v>578</v>
      </c>
      <c r="BR62" s="6" t="s">
        <v>578</v>
      </c>
      <c r="BS62" s="6" t="s">
        <v>578</v>
      </c>
      <c r="BT62" s="6" t="s">
        <v>578</v>
      </c>
      <c r="BU62" s="6" t="s">
        <v>578</v>
      </c>
      <c r="BV62" s="6" t="s">
        <v>578</v>
      </c>
    </row>
    <row r="63" spans="1:74" x14ac:dyDescent="0.3">
      <c r="A63" s="6" t="s">
        <v>875</v>
      </c>
      <c r="B63" s="6" t="s">
        <v>903</v>
      </c>
      <c r="C63" s="6" t="s">
        <v>386</v>
      </c>
      <c r="D63" s="6" t="s">
        <v>611</v>
      </c>
      <c r="E63" s="6" t="s">
        <v>873</v>
      </c>
      <c r="F63" s="6" t="s">
        <v>548</v>
      </c>
      <c r="G63" s="6" t="s">
        <v>65</v>
      </c>
      <c r="H63" s="6" t="s">
        <v>585</v>
      </c>
      <c r="I63" s="6" t="s">
        <v>876</v>
      </c>
      <c r="J63" s="6" t="s">
        <v>877</v>
      </c>
      <c r="K63" s="6" t="s">
        <v>878</v>
      </c>
      <c r="L63" s="6" t="s">
        <v>614</v>
      </c>
      <c r="M63" s="6" t="s">
        <v>582</v>
      </c>
      <c r="N63" s="6" t="s">
        <v>577</v>
      </c>
      <c r="O63" s="6" t="s">
        <v>578</v>
      </c>
      <c r="P63" s="6" t="s">
        <v>582</v>
      </c>
      <c r="Q63" s="6" t="s">
        <v>589</v>
      </c>
      <c r="R63" s="6" t="s">
        <v>811</v>
      </c>
      <c r="S63" s="6" t="s">
        <v>812</v>
      </c>
      <c r="T63" s="6" t="s">
        <v>582</v>
      </c>
      <c r="U63" s="6" t="s">
        <v>578</v>
      </c>
      <c r="V63" s="6" t="s">
        <v>578</v>
      </c>
      <c r="W63" s="6" t="s">
        <v>578</v>
      </c>
      <c r="X63" s="6" t="s">
        <v>578</v>
      </c>
      <c r="Y63" s="6" t="s">
        <v>582</v>
      </c>
      <c r="Z63" s="6" t="s">
        <v>582</v>
      </c>
      <c r="AA63" s="6" t="s">
        <v>578</v>
      </c>
      <c r="AB63" s="6" t="s">
        <v>578</v>
      </c>
      <c r="AC63" s="6" t="s">
        <v>582</v>
      </c>
      <c r="AD63" s="6" t="s">
        <v>578</v>
      </c>
      <c r="AE63" s="6" t="s">
        <v>578</v>
      </c>
      <c r="AF63" s="6" t="s">
        <v>578</v>
      </c>
      <c r="AG63" s="6" t="s">
        <v>582</v>
      </c>
      <c r="AH63" s="6" t="s">
        <v>578</v>
      </c>
      <c r="AI63" s="6" t="s">
        <v>578</v>
      </c>
      <c r="AJ63" s="6" t="s">
        <v>578</v>
      </c>
      <c r="AK63" s="6" t="s">
        <v>582</v>
      </c>
      <c r="AL63" s="6" t="s">
        <v>582</v>
      </c>
      <c r="AM63" s="6" t="s">
        <v>578</v>
      </c>
      <c r="AN63" s="6" t="s">
        <v>578</v>
      </c>
      <c r="AO63" s="6" t="s">
        <v>578</v>
      </c>
      <c r="AP63" s="6" t="s">
        <v>578</v>
      </c>
      <c r="AQ63" s="6" t="s">
        <v>578</v>
      </c>
      <c r="AR63" s="6" t="s">
        <v>582</v>
      </c>
      <c r="AS63" s="6" t="s">
        <v>578</v>
      </c>
      <c r="AT63" s="6" t="s">
        <v>578</v>
      </c>
      <c r="AU63" s="6" t="s">
        <v>578</v>
      </c>
      <c r="AV63" s="6" t="s">
        <v>578</v>
      </c>
      <c r="AW63" s="6" t="s">
        <v>578</v>
      </c>
      <c r="AX63" s="6" t="s">
        <v>578</v>
      </c>
      <c r="AY63" s="6" t="s">
        <v>578</v>
      </c>
      <c r="AZ63" s="6" t="s">
        <v>578</v>
      </c>
      <c r="BA63" s="6" t="s">
        <v>578</v>
      </c>
      <c r="BB63" s="6" t="s">
        <v>578</v>
      </c>
      <c r="BC63" s="6" t="s">
        <v>578</v>
      </c>
      <c r="BD63" s="6" t="s">
        <v>578</v>
      </c>
      <c r="BE63" s="6" t="s">
        <v>578</v>
      </c>
      <c r="BF63" s="6" t="s">
        <v>578</v>
      </c>
      <c r="BG63" s="6" t="s">
        <v>578</v>
      </c>
      <c r="BH63" s="6" t="s">
        <v>578</v>
      </c>
      <c r="BI63" s="6" t="s">
        <v>578</v>
      </c>
      <c r="BJ63" t="s">
        <v>578</v>
      </c>
      <c r="BK63" s="6" t="s">
        <v>578</v>
      </c>
      <c r="BL63" s="6" t="s">
        <v>578</v>
      </c>
      <c r="BM63" s="6" t="s">
        <v>578</v>
      </c>
      <c r="BN63" s="6" t="s">
        <v>578</v>
      </c>
      <c r="BO63" s="6" t="s">
        <v>578</v>
      </c>
      <c r="BP63" s="6" t="s">
        <v>578</v>
      </c>
      <c r="BQ63" s="6" t="s">
        <v>578</v>
      </c>
      <c r="BR63" s="6" t="s">
        <v>578</v>
      </c>
      <c r="BS63" s="6" t="s">
        <v>578</v>
      </c>
      <c r="BT63" s="6" t="s">
        <v>578</v>
      </c>
      <c r="BU63" s="6" t="s">
        <v>578</v>
      </c>
      <c r="BV63" s="6" t="s">
        <v>578</v>
      </c>
    </row>
    <row r="64" spans="1:74" x14ac:dyDescent="0.3">
      <c r="A64" s="6" t="s">
        <v>879</v>
      </c>
      <c r="B64" s="6" t="s">
        <v>904</v>
      </c>
      <c r="C64" s="6" t="s">
        <v>386</v>
      </c>
      <c r="D64" s="6" t="s">
        <v>611</v>
      </c>
      <c r="E64" s="6" t="s">
        <v>873</v>
      </c>
      <c r="F64" s="6" t="s">
        <v>872</v>
      </c>
      <c r="G64" s="6" t="s">
        <v>65</v>
      </c>
      <c r="H64" s="6" t="s">
        <v>585</v>
      </c>
      <c r="I64" s="6" t="s">
        <v>880</v>
      </c>
      <c r="J64" s="6" t="s">
        <v>881</v>
      </c>
      <c r="K64" s="6" t="s">
        <v>882</v>
      </c>
      <c r="L64" s="6" t="s">
        <v>614</v>
      </c>
      <c r="M64" s="6" t="s">
        <v>582</v>
      </c>
      <c r="N64" s="6" t="s">
        <v>577</v>
      </c>
      <c r="O64" s="6" t="s">
        <v>578</v>
      </c>
      <c r="P64" s="6" t="s">
        <v>582</v>
      </c>
      <c r="Q64" s="6" t="s">
        <v>590</v>
      </c>
      <c r="R64" s="6" t="s">
        <v>883</v>
      </c>
      <c r="S64" s="6" t="s">
        <v>884</v>
      </c>
      <c r="T64" s="6" t="s">
        <v>582</v>
      </c>
      <c r="U64" s="6" t="s">
        <v>578</v>
      </c>
      <c r="V64" s="6" t="s">
        <v>578</v>
      </c>
      <c r="W64" s="6" t="s">
        <v>578</v>
      </c>
      <c r="X64" s="6" t="s">
        <v>578</v>
      </c>
      <c r="Y64" s="6" t="s">
        <v>582</v>
      </c>
      <c r="Z64" s="6" t="s">
        <v>582</v>
      </c>
      <c r="AA64" s="6" t="s">
        <v>578</v>
      </c>
      <c r="AB64" s="6" t="s">
        <v>578</v>
      </c>
      <c r="AC64" s="6" t="s">
        <v>582</v>
      </c>
      <c r="AD64" s="6" t="s">
        <v>582</v>
      </c>
      <c r="AE64" s="6" t="s">
        <v>582</v>
      </c>
      <c r="AF64" s="6" t="s">
        <v>578</v>
      </c>
      <c r="AG64" s="6" t="s">
        <v>582</v>
      </c>
      <c r="AH64" s="6" t="s">
        <v>578</v>
      </c>
      <c r="AI64" s="6" t="s">
        <v>578</v>
      </c>
      <c r="AJ64" s="6" t="s">
        <v>578</v>
      </c>
      <c r="AK64" s="6" t="s">
        <v>582</v>
      </c>
      <c r="AL64" s="6" t="s">
        <v>582</v>
      </c>
      <c r="AM64" s="6" t="s">
        <v>578</v>
      </c>
      <c r="AN64" s="6" t="s">
        <v>578</v>
      </c>
      <c r="AO64" s="6" t="s">
        <v>578</v>
      </c>
      <c r="AP64" s="6" t="s">
        <v>578</v>
      </c>
      <c r="AQ64" s="6" t="s">
        <v>578</v>
      </c>
      <c r="AR64" s="6" t="s">
        <v>578</v>
      </c>
      <c r="AS64" s="6" t="s">
        <v>578</v>
      </c>
      <c r="AT64" s="6" t="s">
        <v>578</v>
      </c>
      <c r="AU64" s="6" t="s">
        <v>578</v>
      </c>
      <c r="AV64" s="6" t="s">
        <v>578</v>
      </c>
      <c r="AW64" s="6" t="s">
        <v>578</v>
      </c>
      <c r="AX64" s="6" t="s">
        <v>578</v>
      </c>
      <c r="AY64" s="6" t="s">
        <v>578</v>
      </c>
      <c r="AZ64" s="6" t="s">
        <v>578</v>
      </c>
      <c r="BA64" s="6" t="s">
        <v>578</v>
      </c>
      <c r="BB64" s="6" t="s">
        <v>578</v>
      </c>
      <c r="BC64" s="6" t="s">
        <v>578</v>
      </c>
      <c r="BD64" s="6" t="s">
        <v>578</v>
      </c>
      <c r="BE64" s="6" t="s">
        <v>578</v>
      </c>
      <c r="BF64" s="6" t="s">
        <v>578</v>
      </c>
      <c r="BG64" s="6" t="s">
        <v>578</v>
      </c>
      <c r="BH64" s="6" t="s">
        <v>578</v>
      </c>
      <c r="BI64" s="6" t="s">
        <v>578</v>
      </c>
      <c r="BJ64" t="s">
        <v>578</v>
      </c>
      <c r="BK64" s="6" t="s">
        <v>578</v>
      </c>
      <c r="BL64" s="6" t="s">
        <v>578</v>
      </c>
      <c r="BM64" s="6" t="s">
        <v>578</v>
      </c>
      <c r="BN64" s="6" t="s">
        <v>578</v>
      </c>
      <c r="BO64" s="6" t="s">
        <v>578</v>
      </c>
      <c r="BP64" s="6" t="s">
        <v>578</v>
      </c>
      <c r="BQ64" s="6" t="s">
        <v>578</v>
      </c>
      <c r="BR64" s="6" t="s">
        <v>578</v>
      </c>
      <c r="BS64" s="6" t="s">
        <v>578</v>
      </c>
      <c r="BT64" s="6" t="s">
        <v>578</v>
      </c>
      <c r="BU64" s="6" t="s">
        <v>578</v>
      </c>
      <c r="BV64" s="6" t="s">
        <v>578</v>
      </c>
    </row>
    <row r="65" spans="1:74" x14ac:dyDescent="0.3">
      <c r="A65" s="6" t="s">
        <v>885</v>
      </c>
      <c r="B65" s="6" t="s">
        <v>886</v>
      </c>
      <c r="C65" s="6" t="s">
        <v>386</v>
      </c>
      <c r="D65" s="6" t="s">
        <v>611</v>
      </c>
      <c r="E65" s="6" t="s">
        <v>533</v>
      </c>
      <c r="F65" s="6" t="s">
        <v>872</v>
      </c>
      <c r="G65" s="6" t="s">
        <v>65</v>
      </c>
      <c r="H65" s="6" t="s">
        <v>585</v>
      </c>
      <c r="I65" s="6" t="s">
        <v>887</v>
      </c>
      <c r="J65" s="6" t="s">
        <v>888</v>
      </c>
      <c r="K65" s="6" t="s">
        <v>889</v>
      </c>
      <c r="L65" s="6" t="s">
        <v>614</v>
      </c>
      <c r="M65" s="6" t="s">
        <v>582</v>
      </c>
      <c r="N65" s="6" t="s">
        <v>577</v>
      </c>
      <c r="O65" s="6" t="s">
        <v>578</v>
      </c>
      <c r="P65" s="6" t="s">
        <v>582</v>
      </c>
      <c r="Q65" s="6" t="s">
        <v>590</v>
      </c>
      <c r="R65" s="6" t="s">
        <v>883</v>
      </c>
      <c r="S65" s="6" t="s">
        <v>884</v>
      </c>
      <c r="T65" s="6" t="s">
        <v>582</v>
      </c>
      <c r="U65" s="6" t="s">
        <v>578</v>
      </c>
      <c r="V65" s="6" t="s">
        <v>578</v>
      </c>
      <c r="W65" s="6" t="s">
        <v>578</v>
      </c>
      <c r="X65" s="6" t="s">
        <v>578</v>
      </c>
      <c r="Y65" s="6" t="s">
        <v>582</v>
      </c>
      <c r="Z65" s="6" t="s">
        <v>582</v>
      </c>
      <c r="AA65" s="6" t="s">
        <v>578</v>
      </c>
      <c r="AB65" s="6" t="s">
        <v>578</v>
      </c>
      <c r="AC65" s="6" t="s">
        <v>582</v>
      </c>
      <c r="AD65" s="6" t="s">
        <v>582</v>
      </c>
      <c r="AE65" s="6" t="s">
        <v>582</v>
      </c>
      <c r="AF65" s="6" t="s">
        <v>578</v>
      </c>
      <c r="AG65" s="6" t="s">
        <v>582</v>
      </c>
      <c r="AH65" s="6" t="s">
        <v>578</v>
      </c>
      <c r="AI65" s="6" t="s">
        <v>578</v>
      </c>
      <c r="AJ65" s="6" t="s">
        <v>578</v>
      </c>
      <c r="AK65" s="6" t="s">
        <v>582</v>
      </c>
      <c r="AL65" s="6" t="s">
        <v>582</v>
      </c>
      <c r="AM65" s="6" t="s">
        <v>578</v>
      </c>
      <c r="AN65" s="6" t="s">
        <v>578</v>
      </c>
      <c r="AO65" s="6" t="s">
        <v>578</v>
      </c>
      <c r="AP65" s="6" t="s">
        <v>578</v>
      </c>
      <c r="AQ65" s="6" t="s">
        <v>578</v>
      </c>
      <c r="AR65" s="6" t="s">
        <v>578</v>
      </c>
      <c r="AS65" s="6" t="s">
        <v>578</v>
      </c>
      <c r="AT65" s="6" t="s">
        <v>578</v>
      </c>
      <c r="AU65" s="6" t="s">
        <v>578</v>
      </c>
      <c r="AV65" s="6" t="s">
        <v>578</v>
      </c>
      <c r="AW65" s="6" t="s">
        <v>578</v>
      </c>
      <c r="AX65" s="6" t="s">
        <v>578</v>
      </c>
      <c r="AY65" s="6" t="s">
        <v>578</v>
      </c>
      <c r="AZ65" s="6" t="s">
        <v>578</v>
      </c>
      <c r="BA65" s="6" t="s">
        <v>578</v>
      </c>
      <c r="BB65" s="6" t="s">
        <v>578</v>
      </c>
      <c r="BC65" s="6" t="s">
        <v>578</v>
      </c>
      <c r="BD65" s="6" t="s">
        <v>578</v>
      </c>
      <c r="BE65" s="6" t="s">
        <v>578</v>
      </c>
      <c r="BF65" s="6" t="s">
        <v>578</v>
      </c>
      <c r="BG65" s="6" t="s">
        <v>578</v>
      </c>
      <c r="BH65" s="6" t="s">
        <v>578</v>
      </c>
      <c r="BI65" s="6" t="s">
        <v>578</v>
      </c>
      <c r="BJ65" t="s">
        <v>578</v>
      </c>
      <c r="BK65" s="6" t="s">
        <v>578</v>
      </c>
      <c r="BL65" s="6" t="s">
        <v>578</v>
      </c>
      <c r="BM65" s="6" t="s">
        <v>578</v>
      </c>
      <c r="BN65" s="6" t="s">
        <v>578</v>
      </c>
      <c r="BO65" s="6" t="s">
        <v>578</v>
      </c>
      <c r="BP65" s="6" t="s">
        <v>578</v>
      </c>
      <c r="BQ65" s="6" t="s">
        <v>578</v>
      </c>
      <c r="BR65" s="6" t="s">
        <v>578</v>
      </c>
      <c r="BS65" s="6" t="s">
        <v>578</v>
      </c>
      <c r="BT65" s="6" t="s">
        <v>578</v>
      </c>
      <c r="BU65" s="6" t="s">
        <v>578</v>
      </c>
      <c r="BV65" s="6" t="s">
        <v>578</v>
      </c>
    </row>
    <row r="66" spans="1:74" x14ac:dyDescent="0.3">
      <c r="A66" s="6" t="s">
        <v>890</v>
      </c>
      <c r="B66" s="6" t="s">
        <v>891</v>
      </c>
      <c r="C66" s="6" t="s">
        <v>386</v>
      </c>
      <c r="D66" s="6" t="s">
        <v>611</v>
      </c>
      <c r="E66" s="6" t="s">
        <v>537</v>
      </c>
      <c r="F66" s="6" t="s">
        <v>872</v>
      </c>
      <c r="G66" s="6" t="s">
        <v>65</v>
      </c>
      <c r="H66" s="6" t="s">
        <v>585</v>
      </c>
      <c r="I66" s="6" t="s">
        <v>892</v>
      </c>
      <c r="J66" s="6" t="s">
        <v>893</v>
      </c>
      <c r="K66" s="6" t="s">
        <v>894</v>
      </c>
      <c r="L66" s="6" t="s">
        <v>614</v>
      </c>
      <c r="M66" s="6" t="s">
        <v>582</v>
      </c>
      <c r="N66" s="6" t="s">
        <v>577</v>
      </c>
      <c r="O66" s="6" t="s">
        <v>578</v>
      </c>
      <c r="P66" s="6" t="s">
        <v>582</v>
      </c>
      <c r="Q66" s="6" t="s">
        <v>590</v>
      </c>
      <c r="R66" s="6" t="s">
        <v>883</v>
      </c>
      <c r="S66" s="6" t="s">
        <v>884</v>
      </c>
      <c r="T66" s="6" t="s">
        <v>582</v>
      </c>
      <c r="U66" s="6" t="s">
        <v>578</v>
      </c>
      <c r="V66" s="6" t="s">
        <v>578</v>
      </c>
      <c r="W66" s="6" t="s">
        <v>578</v>
      </c>
      <c r="X66" s="6" t="s">
        <v>578</v>
      </c>
      <c r="Y66" s="6" t="s">
        <v>582</v>
      </c>
      <c r="Z66" s="6" t="s">
        <v>582</v>
      </c>
      <c r="AA66" s="6" t="s">
        <v>578</v>
      </c>
      <c r="AB66" s="6" t="s">
        <v>578</v>
      </c>
      <c r="AC66" s="6" t="s">
        <v>582</v>
      </c>
      <c r="AD66" s="6" t="s">
        <v>582</v>
      </c>
      <c r="AE66" s="6" t="s">
        <v>582</v>
      </c>
      <c r="AF66" s="6" t="s">
        <v>578</v>
      </c>
      <c r="AG66" s="6" t="s">
        <v>582</v>
      </c>
      <c r="AH66" s="6" t="s">
        <v>578</v>
      </c>
      <c r="AI66" s="6" t="s">
        <v>578</v>
      </c>
      <c r="AJ66" s="6" t="s">
        <v>578</v>
      </c>
      <c r="AK66" s="6" t="s">
        <v>582</v>
      </c>
      <c r="AL66" s="6" t="s">
        <v>582</v>
      </c>
      <c r="AM66" s="6" t="s">
        <v>578</v>
      </c>
      <c r="AN66" s="6" t="s">
        <v>578</v>
      </c>
      <c r="AO66" s="6" t="s">
        <v>578</v>
      </c>
      <c r="AP66" s="6" t="s">
        <v>578</v>
      </c>
      <c r="AQ66" s="6" t="s">
        <v>578</v>
      </c>
      <c r="AR66" s="6" t="s">
        <v>578</v>
      </c>
      <c r="AS66" s="6" t="s">
        <v>578</v>
      </c>
      <c r="AT66" s="6" t="s">
        <v>578</v>
      </c>
      <c r="AU66" s="6" t="s">
        <v>578</v>
      </c>
      <c r="AV66" s="6" t="s">
        <v>578</v>
      </c>
      <c r="AW66" s="6" t="s">
        <v>578</v>
      </c>
      <c r="AX66" s="6" t="s">
        <v>578</v>
      </c>
      <c r="AY66" s="6" t="s">
        <v>578</v>
      </c>
      <c r="AZ66" s="6" t="s">
        <v>578</v>
      </c>
      <c r="BA66" s="6" t="s">
        <v>578</v>
      </c>
      <c r="BB66" s="6" t="s">
        <v>578</v>
      </c>
      <c r="BC66" s="6" t="s">
        <v>578</v>
      </c>
      <c r="BD66" s="6" t="s">
        <v>578</v>
      </c>
      <c r="BE66" s="6" t="s">
        <v>578</v>
      </c>
      <c r="BF66" s="6" t="s">
        <v>578</v>
      </c>
      <c r="BG66" s="6" t="s">
        <v>578</v>
      </c>
      <c r="BH66" s="6" t="s">
        <v>578</v>
      </c>
      <c r="BI66" s="6" t="s">
        <v>578</v>
      </c>
      <c r="BJ66" t="s">
        <v>578</v>
      </c>
      <c r="BK66" s="6" t="s">
        <v>578</v>
      </c>
      <c r="BL66" s="6" t="s">
        <v>578</v>
      </c>
      <c r="BM66" s="6" t="s">
        <v>578</v>
      </c>
      <c r="BN66" s="6" t="s">
        <v>578</v>
      </c>
      <c r="BO66" s="6" t="s">
        <v>578</v>
      </c>
      <c r="BP66" s="6" t="s">
        <v>578</v>
      </c>
      <c r="BQ66" s="6" t="s">
        <v>578</v>
      </c>
      <c r="BR66" s="6" t="s">
        <v>578</v>
      </c>
      <c r="BS66" s="6" t="s">
        <v>578</v>
      </c>
      <c r="BT66" s="6" t="s">
        <v>578</v>
      </c>
      <c r="BU66" s="6" t="s">
        <v>578</v>
      </c>
      <c r="BV66" s="6" t="s">
        <v>578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974B-47FB-47A0-96A3-E35E2A9AC164}">
  <dimension ref="A1"/>
  <sheetViews>
    <sheetView workbookViewId="0">
      <selection activeCell="D18" sqref="D18"/>
    </sheetView>
  </sheetViews>
  <sheetFormatPr defaultRowHeight="15" x14ac:dyDescent="0.3"/>
  <sheetData>
    <row r="1" spans="1:1" ht="17.399999999999999" x14ac:dyDescent="0.3">
      <c r="A1" s="6" t="str" cm="1">
        <f t="array" aca="1" ref="A1" ca="1">LEFT(CELL("filename",$A$1),FIND("[",CELL("filename",$A$1),1)-1)</f>
        <v>G:\共有ドライブ\研究所\04 各チーム\合成Ｔ\01_オリゴ管理\データベース\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E3E4-8F1D-4B08-90C0-263C6AA0152A}">
  <dimension ref="A1:J66"/>
  <sheetViews>
    <sheetView tabSelected="1" topLeftCell="B26" zoomScale="91" zoomScaleNormal="91" workbookViewId="0">
      <selection activeCell="D35" sqref="D35"/>
    </sheetView>
  </sheetViews>
  <sheetFormatPr defaultColWidth="8.81640625" defaultRowHeight="17.399999999999999" x14ac:dyDescent="0.3"/>
  <cols>
    <col min="1" max="1" width="9.453125" style="6" bestFit="1" customWidth="1"/>
    <col min="2" max="2" width="8.1796875" style="6" bestFit="1" customWidth="1"/>
    <col min="3" max="3" width="34.81640625" style="6" customWidth="1"/>
    <col min="4" max="4" width="16.453125" style="6" customWidth="1"/>
    <col min="5" max="5" width="7.36328125" style="6" bestFit="1" customWidth="1"/>
    <col min="6" max="7" width="11.6328125" style="6" customWidth="1"/>
    <col min="8" max="8" width="19.08984375" style="6" bestFit="1" customWidth="1"/>
    <col min="9" max="9" width="98.6328125" style="6" bestFit="1" customWidth="1"/>
    <col min="10" max="10" width="12.90625" style="6" bestFit="1" customWidth="1"/>
    <col min="11" max="16384" width="8.81640625" style="6"/>
  </cols>
  <sheetData>
    <row r="1" spans="1:10" ht="16.5" x14ac:dyDescent="0.3">
      <c r="A1" s="6" t="s">
        <v>318</v>
      </c>
      <c r="B1" s="6" t="s">
        <v>319</v>
      </c>
      <c r="C1" s="6" t="s">
        <v>59</v>
      </c>
      <c r="D1" s="6" t="s">
        <v>58</v>
      </c>
      <c r="E1" s="6" t="s">
        <v>54</v>
      </c>
      <c r="F1" s="6" t="s">
        <v>62</v>
      </c>
      <c r="G1" s="6" t="s">
        <v>66</v>
      </c>
      <c r="H1" s="6" t="s">
        <v>60</v>
      </c>
      <c r="I1" s="6" t="s">
        <v>55</v>
      </c>
      <c r="J1" s="6" t="s">
        <v>61</v>
      </c>
    </row>
    <row r="2" spans="1:10" ht="16.5" x14ac:dyDescent="0.3">
      <c r="A2" s="6" t="str">
        <f>"08-"&amp;LEFT(RIGHTB(REPT(0,4)&amp;_xlfn.BASE(テーブル3[[#This Row],[num]],36),4),2)&amp;"-"&amp;RIGHT(RIGHTB(REPT(0,4)&amp;_xlfn.BASE(テーブル3[[#This Row],[num]],36),4),2)</f>
        <v>08-00-01</v>
      </c>
      <c r="B2" s="6">
        <v>1</v>
      </c>
      <c r="C2" s="6" t="s">
        <v>74</v>
      </c>
      <c r="E2" s="6">
        <v>1</v>
      </c>
      <c r="H2" s="7" t="s">
        <v>1</v>
      </c>
      <c r="I2" s="8" t="s">
        <v>196</v>
      </c>
      <c r="J2" s="7" t="s">
        <v>68</v>
      </c>
    </row>
    <row r="3" spans="1:10" ht="16.5" x14ac:dyDescent="0.3">
      <c r="A3" s="6" t="str">
        <f>"08-"&amp;LEFT(RIGHTB(REPT(0,4)&amp;_xlfn.BASE(テーブル3[[#This Row],[num]],36),4),2)&amp;"-"&amp;RIGHT(RIGHTB(REPT(0,4)&amp;_xlfn.BASE(テーブル3[[#This Row],[num]],36),4),2)</f>
        <v>08-00-02</v>
      </c>
      <c r="B3" s="6">
        <v>2</v>
      </c>
      <c r="C3" s="6" t="s">
        <v>75</v>
      </c>
      <c r="E3" s="6">
        <v>0</v>
      </c>
      <c r="H3" s="7" t="s">
        <v>1</v>
      </c>
      <c r="I3" s="8" t="s">
        <v>197</v>
      </c>
      <c r="J3" s="7" t="s">
        <v>68</v>
      </c>
    </row>
    <row r="4" spans="1:10" ht="16.5" x14ac:dyDescent="0.3">
      <c r="A4" s="6" t="str">
        <f>"08-"&amp;LEFT(RIGHTB(REPT(0,4)&amp;_xlfn.BASE(テーブル3[[#This Row],[num]],36),4),2)&amp;"-"&amp;RIGHT(RIGHTB(REPT(0,4)&amp;_xlfn.BASE(テーブル3[[#This Row],[num]],36),4),2)</f>
        <v>08-00-03</v>
      </c>
      <c r="B4" s="6">
        <v>3</v>
      </c>
      <c r="C4" s="6" t="s">
        <v>76</v>
      </c>
      <c r="E4" s="6">
        <v>0</v>
      </c>
      <c r="H4" s="7" t="s">
        <v>1</v>
      </c>
      <c r="I4" s="8" t="s">
        <v>198</v>
      </c>
      <c r="J4" s="7" t="s">
        <v>68</v>
      </c>
    </row>
    <row r="5" spans="1:10" ht="16.5" x14ac:dyDescent="0.3">
      <c r="A5" s="6" t="str">
        <f>"08-"&amp;LEFT(RIGHTB(REPT(0,4)&amp;_xlfn.BASE(テーブル3[[#This Row],[num]],36),4),2)&amp;"-"&amp;RIGHT(RIGHTB(REPT(0,4)&amp;_xlfn.BASE(テーブル3[[#This Row],[num]],36),4),2)</f>
        <v>08-00-04</v>
      </c>
      <c r="B5" s="6">
        <v>4</v>
      </c>
      <c r="C5" s="6" t="s">
        <v>77</v>
      </c>
      <c r="E5" s="6">
        <v>0</v>
      </c>
      <c r="H5" s="7" t="s">
        <v>1</v>
      </c>
      <c r="I5" s="8" t="s">
        <v>193</v>
      </c>
      <c r="J5" s="7" t="s">
        <v>65</v>
      </c>
    </row>
    <row r="6" spans="1:10" ht="16.5" x14ac:dyDescent="0.3">
      <c r="A6" s="6" t="str">
        <f>"08-"&amp;LEFT(RIGHTB(REPT(0,4)&amp;_xlfn.BASE(テーブル3[[#This Row],[num]],36),4),2)&amp;"-"&amp;RIGHT(RIGHTB(REPT(0,4)&amp;_xlfn.BASE(テーブル3[[#This Row],[num]],36),4),2)</f>
        <v>08-00-05</v>
      </c>
      <c r="B6" s="6">
        <v>5</v>
      </c>
      <c r="C6" s="6" t="s">
        <v>78</v>
      </c>
      <c r="E6" s="6">
        <v>0</v>
      </c>
      <c r="H6" s="7" t="s">
        <v>1</v>
      </c>
      <c r="I6" s="8" t="s">
        <v>289</v>
      </c>
      <c r="J6" s="7" t="s">
        <v>68</v>
      </c>
    </row>
    <row r="7" spans="1:10" ht="16.5" x14ac:dyDescent="0.3">
      <c r="A7" s="6" t="str">
        <f>"08-"&amp;LEFT(RIGHTB(REPT(0,4)&amp;_xlfn.BASE(テーブル3[[#This Row],[num]],36),4),2)&amp;"-"&amp;RIGHT(RIGHTB(REPT(0,4)&amp;_xlfn.BASE(テーブル3[[#This Row],[num]],36),4),2)</f>
        <v>08-00-06</v>
      </c>
      <c r="B7" s="6">
        <v>6</v>
      </c>
      <c r="C7" s="6" t="s">
        <v>79</v>
      </c>
      <c r="E7" s="6">
        <v>0</v>
      </c>
      <c r="H7" s="7" t="s">
        <v>69</v>
      </c>
      <c r="I7" s="8" t="s">
        <v>199</v>
      </c>
      <c r="J7" s="9" t="s">
        <v>65</v>
      </c>
    </row>
    <row r="8" spans="1:10" ht="16.5" x14ac:dyDescent="0.3">
      <c r="A8" s="6" t="str">
        <f>"08-"&amp;LEFT(RIGHTB(REPT(0,4)&amp;_xlfn.BASE(テーブル3[[#This Row],[num]],36),4),2)&amp;"-"&amp;RIGHT(RIGHTB(REPT(0,4)&amp;_xlfn.BASE(テーブル3[[#This Row],[num]],36),4),2)</f>
        <v>08-00-07</v>
      </c>
      <c r="B8" s="6">
        <v>7</v>
      </c>
      <c r="C8" s="6" t="s">
        <v>80</v>
      </c>
      <c r="E8" s="6">
        <v>0</v>
      </c>
      <c r="H8" s="7" t="s">
        <v>1</v>
      </c>
      <c r="I8" s="8" t="s">
        <v>202</v>
      </c>
      <c r="J8" s="9" t="s">
        <v>65</v>
      </c>
    </row>
    <row r="9" spans="1:10" ht="16.5" x14ac:dyDescent="0.3">
      <c r="A9" s="6" t="str">
        <f>"08-"&amp;LEFT(RIGHTB(REPT(0,4)&amp;_xlfn.BASE(テーブル3[[#This Row],[num]],36),4),2)&amp;"-"&amp;RIGHT(RIGHTB(REPT(0,4)&amp;_xlfn.BASE(テーブル3[[#This Row],[num]],36),4),2)</f>
        <v>08-00-08</v>
      </c>
      <c r="B9" s="6">
        <v>8</v>
      </c>
      <c r="C9" s="6" t="s">
        <v>81</v>
      </c>
      <c r="E9" s="6">
        <v>0</v>
      </c>
      <c r="H9" s="7" t="s">
        <v>1</v>
      </c>
      <c r="I9" s="8" t="s">
        <v>203</v>
      </c>
      <c r="J9" s="9" t="s">
        <v>65</v>
      </c>
    </row>
    <row r="10" spans="1:10" ht="16.5" x14ac:dyDescent="0.3">
      <c r="A10" s="6" t="str">
        <f>"08-"&amp;LEFT(RIGHTB(REPT(0,4)&amp;_xlfn.BASE(テーブル3[[#This Row],[num]],36),4),2)&amp;"-"&amp;RIGHT(RIGHTB(REPT(0,4)&amp;_xlfn.BASE(テーブル3[[#This Row],[num]],36),4),2)</f>
        <v>08-00-09</v>
      </c>
      <c r="B10" s="6">
        <v>9</v>
      </c>
      <c r="C10" s="6" t="s">
        <v>82</v>
      </c>
      <c r="E10" s="6">
        <v>0</v>
      </c>
      <c r="H10" s="7" t="s">
        <v>1</v>
      </c>
      <c r="I10" s="8" t="s">
        <v>201</v>
      </c>
      <c r="J10" s="7" t="s">
        <v>65</v>
      </c>
    </row>
    <row r="11" spans="1:10" ht="16.5" x14ac:dyDescent="0.3">
      <c r="A11" s="6" t="str">
        <f>"08-"&amp;LEFT(RIGHTB(REPT(0,4)&amp;_xlfn.BASE(テーブル3[[#This Row],[num]],36),4),2)&amp;"-"&amp;RIGHT(RIGHTB(REPT(0,4)&amp;_xlfn.BASE(テーブル3[[#This Row],[num]],36),4),2)</f>
        <v>08-00-0A</v>
      </c>
      <c r="B11" s="6">
        <v>10</v>
      </c>
      <c r="C11" s="6" t="s">
        <v>83</v>
      </c>
      <c r="D11" s="6" t="s">
        <v>846</v>
      </c>
      <c r="E11" s="6">
        <v>0</v>
      </c>
      <c r="H11" s="7" t="s">
        <v>1</v>
      </c>
      <c r="I11" s="8" t="s">
        <v>200</v>
      </c>
      <c r="J11" s="7" t="s">
        <v>65</v>
      </c>
    </row>
    <row r="12" spans="1:10" ht="16.5" x14ac:dyDescent="0.3">
      <c r="A12" s="6" t="str">
        <f>"08-"&amp;LEFT(RIGHTB(REPT(0,4)&amp;_xlfn.BASE(テーブル3[[#This Row],[num]],36),4),2)&amp;"-"&amp;RIGHT(RIGHTB(REPT(0,4)&amp;_xlfn.BASE(テーブル3[[#This Row],[num]],36),4),2)</f>
        <v>08-00-0B</v>
      </c>
      <c r="B12" s="6">
        <v>11</v>
      </c>
      <c r="C12" s="6" t="s">
        <v>84</v>
      </c>
      <c r="D12" s="6" t="s">
        <v>847</v>
      </c>
      <c r="E12" s="6">
        <v>0</v>
      </c>
      <c r="H12" s="7" t="s">
        <v>1</v>
      </c>
      <c r="I12" s="8" t="s">
        <v>169</v>
      </c>
      <c r="J12" s="7" t="s">
        <v>65</v>
      </c>
    </row>
    <row r="13" spans="1:10" ht="16.5" x14ac:dyDescent="0.3">
      <c r="A13" s="6" t="str">
        <f>"08-"&amp;LEFT(RIGHTB(REPT(0,4)&amp;_xlfn.BASE(テーブル3[[#This Row],[num]],36),4),2)&amp;"-"&amp;RIGHT(RIGHTB(REPT(0,4)&amp;_xlfn.BASE(テーブル3[[#This Row],[num]],36),4),2)</f>
        <v>08-00-0C</v>
      </c>
      <c r="B13" s="6">
        <v>12</v>
      </c>
      <c r="C13" s="6" t="s">
        <v>85</v>
      </c>
      <c r="D13" s="6" t="s">
        <v>848</v>
      </c>
      <c r="E13" s="6">
        <v>0</v>
      </c>
      <c r="H13" s="7" t="s">
        <v>1</v>
      </c>
      <c r="I13" s="8" t="s">
        <v>170</v>
      </c>
      <c r="J13" s="7" t="s">
        <v>65</v>
      </c>
    </row>
    <row r="14" spans="1:10" ht="16.5" x14ac:dyDescent="0.3">
      <c r="A14" s="6" t="str">
        <f>"08-"&amp;LEFT(RIGHTB(REPT(0,4)&amp;_xlfn.BASE(テーブル3[[#This Row],[num]],36),4),2)&amp;"-"&amp;RIGHT(RIGHTB(REPT(0,4)&amp;_xlfn.BASE(テーブル3[[#This Row],[num]],36),4),2)</f>
        <v>08-00-0D</v>
      </c>
      <c r="B14" s="6">
        <v>13</v>
      </c>
      <c r="C14" s="6" t="s">
        <v>86</v>
      </c>
      <c r="E14" s="6">
        <v>0</v>
      </c>
      <c r="H14" s="7" t="s">
        <v>1</v>
      </c>
      <c r="I14" s="8" t="s">
        <v>148</v>
      </c>
      <c r="J14" s="7" t="s">
        <v>65</v>
      </c>
    </row>
    <row r="15" spans="1:10" ht="16.5" x14ac:dyDescent="0.3">
      <c r="A15" s="6" t="str">
        <f>"08-"&amp;LEFT(RIGHTB(REPT(0,4)&amp;_xlfn.BASE(テーブル3[[#This Row],[num]],36),4),2)&amp;"-"&amp;RIGHT(RIGHTB(REPT(0,4)&amp;_xlfn.BASE(テーブル3[[#This Row],[num]],36),4),2)</f>
        <v>08-00-0E</v>
      </c>
      <c r="B15" s="6">
        <v>14</v>
      </c>
      <c r="C15" s="6" t="s">
        <v>87</v>
      </c>
      <c r="E15" s="6">
        <v>0</v>
      </c>
      <c r="H15" s="7" t="s">
        <v>1</v>
      </c>
      <c r="I15" s="8" t="s">
        <v>67</v>
      </c>
      <c r="J15" s="7" t="s">
        <v>65</v>
      </c>
    </row>
    <row r="16" spans="1:10" ht="16.5" x14ac:dyDescent="0.3">
      <c r="A16" s="6" t="str">
        <f>"08-"&amp;LEFT(RIGHTB(REPT(0,4)&amp;_xlfn.BASE(テーブル3[[#This Row],[num]],36),4),2)&amp;"-"&amp;RIGHT(RIGHTB(REPT(0,4)&amp;_xlfn.BASE(テーブル3[[#This Row],[num]],36),4),2)</f>
        <v>08-00-0F</v>
      </c>
      <c r="B16" s="6">
        <v>15</v>
      </c>
      <c r="C16" s="6" t="s">
        <v>88</v>
      </c>
      <c r="E16" s="6">
        <v>0</v>
      </c>
      <c r="H16" s="7" t="s">
        <v>1</v>
      </c>
      <c r="I16" s="8" t="s">
        <v>171</v>
      </c>
      <c r="J16" s="7" t="s">
        <v>65</v>
      </c>
    </row>
    <row r="17" spans="1:10" ht="16.5" x14ac:dyDescent="0.3">
      <c r="A17" s="6" t="str">
        <f>"08-"&amp;LEFT(RIGHTB(REPT(0,4)&amp;_xlfn.BASE(テーブル3[[#This Row],[num]],36),4),2)&amp;"-"&amp;RIGHT(RIGHTB(REPT(0,4)&amp;_xlfn.BASE(テーブル3[[#This Row],[num]],36),4),2)</f>
        <v>08-00-0G</v>
      </c>
      <c r="B17" s="6">
        <v>16</v>
      </c>
      <c r="C17" s="6" t="s">
        <v>89</v>
      </c>
      <c r="E17" s="6">
        <v>0</v>
      </c>
      <c r="H17" s="7" t="s">
        <v>1</v>
      </c>
      <c r="I17" s="8" t="s">
        <v>172</v>
      </c>
      <c r="J17" s="7" t="s">
        <v>65</v>
      </c>
    </row>
    <row r="18" spans="1:10" ht="16.5" x14ac:dyDescent="0.3">
      <c r="A18" s="6" t="str">
        <f>"08-"&amp;LEFT(RIGHTB(REPT(0,4)&amp;_xlfn.BASE(テーブル3[[#This Row],[num]],36),4),2)&amp;"-"&amp;RIGHT(RIGHTB(REPT(0,4)&amp;_xlfn.BASE(テーブル3[[#This Row],[num]],36),4),2)</f>
        <v>08-00-0H</v>
      </c>
      <c r="B18" s="6">
        <v>17</v>
      </c>
      <c r="C18" s="6" t="s">
        <v>90</v>
      </c>
      <c r="E18" s="6">
        <v>0</v>
      </c>
      <c r="H18" s="7" t="s">
        <v>1</v>
      </c>
      <c r="I18" s="8" t="s">
        <v>192</v>
      </c>
      <c r="J18" s="7" t="s">
        <v>65</v>
      </c>
    </row>
    <row r="19" spans="1:10" ht="16.5" x14ac:dyDescent="0.3">
      <c r="A19" s="6" t="str">
        <f>"08-"&amp;LEFT(RIGHTB(REPT(0,4)&amp;_xlfn.BASE(テーブル3[[#This Row],[num]],36),4),2)&amp;"-"&amp;RIGHT(RIGHTB(REPT(0,4)&amp;_xlfn.BASE(テーブル3[[#This Row],[num]],36),4),2)</f>
        <v>08-00-0I</v>
      </c>
      <c r="B19" s="6">
        <v>18</v>
      </c>
      <c r="C19" s="6" t="s">
        <v>91</v>
      </c>
      <c r="E19" s="6">
        <v>0</v>
      </c>
      <c r="H19" s="7" t="s">
        <v>1</v>
      </c>
      <c r="I19" s="8" t="s">
        <v>191</v>
      </c>
      <c r="J19" s="7" t="s">
        <v>65</v>
      </c>
    </row>
    <row r="20" spans="1:10" ht="16.5" x14ac:dyDescent="0.3">
      <c r="A20" s="6" t="str">
        <f>"08-"&amp;LEFT(RIGHTB(REPT(0,4)&amp;_xlfn.BASE(テーブル3[[#This Row],[num]],36),4),2)&amp;"-"&amp;RIGHT(RIGHTB(REPT(0,4)&amp;_xlfn.BASE(テーブル3[[#This Row],[num]],36),4),2)</f>
        <v>08-00-0J</v>
      </c>
      <c r="B20" s="6">
        <v>19</v>
      </c>
      <c r="C20" s="6" t="s">
        <v>92</v>
      </c>
      <c r="E20" s="6">
        <v>0</v>
      </c>
      <c r="H20" s="7" t="s">
        <v>1</v>
      </c>
      <c r="I20" s="8" t="s">
        <v>190</v>
      </c>
      <c r="J20" s="7" t="s">
        <v>65</v>
      </c>
    </row>
    <row r="21" spans="1:10" ht="16.5" x14ac:dyDescent="0.3">
      <c r="A21" s="6" t="str">
        <f>"08-"&amp;LEFT(RIGHTB(REPT(0,4)&amp;_xlfn.BASE(テーブル3[[#This Row],[num]],36),4),2)&amp;"-"&amp;RIGHT(RIGHTB(REPT(0,4)&amp;_xlfn.BASE(テーブル3[[#This Row],[num]],36),4),2)</f>
        <v>08-00-0K</v>
      </c>
      <c r="B21" s="6">
        <v>20</v>
      </c>
      <c r="C21" s="6" t="s">
        <v>93</v>
      </c>
      <c r="E21" s="6">
        <v>0</v>
      </c>
      <c r="H21" s="7" t="s">
        <v>1</v>
      </c>
      <c r="I21" s="8" t="s">
        <v>189</v>
      </c>
      <c r="J21" s="7" t="s">
        <v>65</v>
      </c>
    </row>
    <row r="22" spans="1:10" ht="16.5" x14ac:dyDescent="0.3">
      <c r="A22" s="6" t="str">
        <f>"08-"&amp;LEFT(RIGHTB(REPT(0,4)&amp;_xlfn.BASE(テーブル3[[#This Row],[num]],36),4),2)&amp;"-"&amp;RIGHT(RIGHTB(REPT(0,4)&amp;_xlfn.BASE(テーブル3[[#This Row],[num]],36),4),2)</f>
        <v>08-00-0L</v>
      </c>
      <c r="B22" s="6">
        <v>21</v>
      </c>
      <c r="C22" s="6" t="s">
        <v>94</v>
      </c>
      <c r="E22" s="6">
        <v>0</v>
      </c>
      <c r="H22" s="7" t="s">
        <v>1</v>
      </c>
      <c r="I22" s="8" t="s">
        <v>188</v>
      </c>
      <c r="J22" s="7" t="s">
        <v>65</v>
      </c>
    </row>
    <row r="23" spans="1:10" ht="16.5" x14ac:dyDescent="0.3">
      <c r="A23" s="6" t="str">
        <f>"08-"&amp;LEFT(RIGHTB(REPT(0,4)&amp;_xlfn.BASE(テーブル3[[#This Row],[num]],36),4),2)&amp;"-"&amp;RIGHT(RIGHTB(REPT(0,4)&amp;_xlfn.BASE(テーブル3[[#This Row],[num]],36),4),2)</f>
        <v>08-00-0M</v>
      </c>
      <c r="B23" s="6">
        <v>22</v>
      </c>
      <c r="C23" s="6" t="s">
        <v>95</v>
      </c>
      <c r="E23" s="6">
        <v>0</v>
      </c>
      <c r="H23" s="7" t="s">
        <v>1</v>
      </c>
      <c r="I23" s="8" t="s">
        <v>187</v>
      </c>
      <c r="J23" s="7" t="s">
        <v>65</v>
      </c>
    </row>
    <row r="24" spans="1:10" ht="16.5" x14ac:dyDescent="0.3">
      <c r="A24" s="6" t="str">
        <f>"08-"&amp;LEFT(RIGHTB(REPT(0,4)&amp;_xlfn.BASE(テーブル3[[#This Row],[num]],36),4),2)&amp;"-"&amp;RIGHT(RIGHTB(REPT(0,4)&amp;_xlfn.BASE(テーブル3[[#This Row],[num]],36),4),2)</f>
        <v>08-00-0N</v>
      </c>
      <c r="B24" s="6">
        <v>23</v>
      </c>
      <c r="C24" s="6" t="s">
        <v>96</v>
      </c>
      <c r="E24" s="6">
        <v>0</v>
      </c>
      <c r="H24" s="7" t="s">
        <v>1</v>
      </c>
      <c r="I24" s="10" t="s">
        <v>173</v>
      </c>
      <c r="J24" s="7" t="s">
        <v>65</v>
      </c>
    </row>
    <row r="25" spans="1:10" ht="16.5" x14ac:dyDescent="0.3">
      <c r="A25" s="6" t="str">
        <f>"08-"&amp;LEFT(RIGHTB(REPT(0,4)&amp;_xlfn.BASE(テーブル3[[#This Row],[num]],36),4),2)&amp;"-"&amp;RIGHT(RIGHTB(REPT(0,4)&amp;_xlfn.BASE(テーブル3[[#This Row],[num]],36),4),2)</f>
        <v>08-00-0O</v>
      </c>
      <c r="B25" s="6">
        <v>24</v>
      </c>
      <c r="C25" s="6" t="s">
        <v>97</v>
      </c>
      <c r="E25" s="6">
        <v>0</v>
      </c>
      <c r="H25" s="7" t="s">
        <v>1</v>
      </c>
      <c r="I25" s="10" t="s">
        <v>174</v>
      </c>
      <c r="J25" s="7" t="s">
        <v>65</v>
      </c>
    </row>
    <row r="26" spans="1:10" ht="16.5" x14ac:dyDescent="0.3">
      <c r="A26" s="6" t="str">
        <f>"08-"&amp;LEFT(RIGHTB(REPT(0,4)&amp;_xlfn.BASE(テーブル3[[#This Row],[num]],36),4),2)&amp;"-"&amp;RIGHT(RIGHTB(REPT(0,4)&amp;_xlfn.BASE(テーブル3[[#This Row],[num]],36),4),2)</f>
        <v>08-00-0P</v>
      </c>
      <c r="B26" s="6">
        <v>25</v>
      </c>
      <c r="C26" s="6" t="s">
        <v>98</v>
      </c>
      <c r="E26" s="6">
        <v>0</v>
      </c>
      <c r="H26" s="7" t="s">
        <v>1</v>
      </c>
      <c r="I26" s="10" t="s">
        <v>149</v>
      </c>
      <c r="J26" s="7" t="s">
        <v>65</v>
      </c>
    </row>
    <row r="27" spans="1:10" ht="16.5" x14ac:dyDescent="0.3">
      <c r="A27" s="6" t="str">
        <f>"08-"&amp;LEFT(RIGHTB(REPT(0,4)&amp;_xlfn.BASE(テーブル3[[#This Row],[num]],36),4),2)&amp;"-"&amp;RIGHT(RIGHTB(REPT(0,4)&amp;_xlfn.BASE(テーブル3[[#This Row],[num]],36),4),2)</f>
        <v>08-00-0Q</v>
      </c>
      <c r="B27" s="6">
        <v>26</v>
      </c>
      <c r="C27" s="6" t="s">
        <v>99</v>
      </c>
      <c r="E27" s="6">
        <v>0</v>
      </c>
      <c r="H27" s="7" t="s">
        <v>1</v>
      </c>
      <c r="I27" s="10" t="s">
        <v>150</v>
      </c>
      <c r="J27" s="7" t="s">
        <v>65</v>
      </c>
    </row>
    <row r="28" spans="1:10" ht="16.5" x14ac:dyDescent="0.3">
      <c r="A28" s="6" t="str">
        <f>"08-"&amp;LEFT(RIGHTB(REPT(0,4)&amp;_xlfn.BASE(テーブル3[[#This Row],[num]],36),4),2)&amp;"-"&amp;RIGHT(RIGHTB(REPT(0,4)&amp;_xlfn.BASE(テーブル3[[#This Row],[num]],36),4),2)</f>
        <v>08-00-0R</v>
      </c>
      <c r="B28" s="6">
        <v>27</v>
      </c>
      <c r="C28" s="6" t="s">
        <v>100</v>
      </c>
      <c r="E28" s="6">
        <v>0</v>
      </c>
      <c r="H28" s="7" t="s">
        <v>1</v>
      </c>
      <c r="I28" s="10" t="s">
        <v>175</v>
      </c>
      <c r="J28" s="7" t="s">
        <v>65</v>
      </c>
    </row>
    <row r="29" spans="1:10" ht="16.5" x14ac:dyDescent="0.3">
      <c r="A29" s="6" t="str">
        <f>"08-"&amp;LEFT(RIGHTB(REPT(0,4)&amp;_xlfn.BASE(テーブル3[[#This Row],[num]],36),4),2)&amp;"-"&amp;RIGHT(RIGHTB(REPT(0,4)&amp;_xlfn.BASE(テーブル3[[#This Row],[num]],36),4),2)</f>
        <v>08-00-0S</v>
      </c>
      <c r="B29" s="6">
        <v>28</v>
      </c>
      <c r="C29" s="6" t="s">
        <v>101</v>
      </c>
      <c r="E29" s="6">
        <v>0</v>
      </c>
      <c r="H29" s="7" t="s">
        <v>1</v>
      </c>
      <c r="I29" s="10" t="s">
        <v>176</v>
      </c>
      <c r="J29" s="7" t="s">
        <v>65</v>
      </c>
    </row>
    <row r="30" spans="1:10" x14ac:dyDescent="0.5">
      <c r="A30" s="6" t="str">
        <f>"08-"&amp;LEFT(RIGHTB(REPT(0,4)&amp;_xlfn.BASE(テーブル3[[#This Row],[num]],36),4),2)&amp;"-"&amp;RIGHT(RIGHTB(REPT(0,4)&amp;_xlfn.BASE(テーブル3[[#This Row],[num]],36),4),2)</f>
        <v>08-00-0T</v>
      </c>
      <c r="B30" s="6">
        <v>29</v>
      </c>
      <c r="C30" s="6" t="s">
        <v>102</v>
      </c>
      <c r="E30" s="6">
        <v>0</v>
      </c>
      <c r="H30" s="7" t="s">
        <v>1</v>
      </c>
      <c r="I30" s="11" t="s">
        <v>177</v>
      </c>
      <c r="J30" s="7" t="s">
        <v>65</v>
      </c>
    </row>
    <row r="31" spans="1:10" x14ac:dyDescent="0.5">
      <c r="A31" s="6" t="str">
        <f>"08-"&amp;LEFT(RIGHTB(REPT(0,4)&amp;_xlfn.BASE(テーブル3[[#This Row],[num]],36),4),2)&amp;"-"&amp;RIGHT(RIGHTB(REPT(0,4)&amp;_xlfn.BASE(テーブル3[[#This Row],[num]],36),4),2)</f>
        <v>08-00-0U</v>
      </c>
      <c r="B31" s="6">
        <v>30</v>
      </c>
      <c r="C31" s="6" t="s">
        <v>103</v>
      </c>
      <c r="E31" s="6">
        <v>0</v>
      </c>
      <c r="H31" s="7" t="s">
        <v>1</v>
      </c>
      <c r="I31" s="11" t="s">
        <v>178</v>
      </c>
      <c r="J31" s="7" t="s">
        <v>65</v>
      </c>
    </row>
    <row r="32" spans="1:10" ht="16.5" x14ac:dyDescent="0.3">
      <c r="A32" s="6" t="str">
        <f>"08-"&amp;LEFT(RIGHTB(REPT(0,4)&amp;_xlfn.BASE(テーブル3[[#This Row],[num]],36),4),2)&amp;"-"&amp;RIGHT(RIGHTB(REPT(0,4)&amp;_xlfn.BASE(テーブル3[[#This Row],[num]],36),4),2)</f>
        <v>08-00-0V</v>
      </c>
      <c r="B32" s="6">
        <v>31</v>
      </c>
      <c r="C32" s="6" t="s">
        <v>104</v>
      </c>
      <c r="E32" s="6">
        <v>0</v>
      </c>
      <c r="H32" s="7" t="s">
        <v>69</v>
      </c>
      <c r="I32" s="8" t="s">
        <v>185</v>
      </c>
      <c r="J32" s="7" t="s">
        <v>65</v>
      </c>
    </row>
    <row r="33" spans="1:10" ht="16.5" x14ac:dyDescent="0.3">
      <c r="A33" s="6" t="str">
        <f>"08-"&amp;LEFT(RIGHTB(REPT(0,4)&amp;_xlfn.BASE(テーブル3[[#This Row],[num]],36),4),2)&amp;"-"&amp;RIGHT(RIGHTB(REPT(0,4)&amp;_xlfn.BASE(テーブル3[[#This Row],[num]],36),4),2)</f>
        <v>08-00-0W</v>
      </c>
      <c r="B33" s="6">
        <v>32</v>
      </c>
      <c r="C33" s="6" t="s">
        <v>105</v>
      </c>
      <c r="E33" s="6">
        <v>0</v>
      </c>
      <c r="H33" s="7" t="s">
        <v>69</v>
      </c>
      <c r="I33" s="8" t="s">
        <v>186</v>
      </c>
      <c r="J33" s="7" t="s">
        <v>65</v>
      </c>
    </row>
    <row r="34" spans="1:10" ht="16.5" x14ac:dyDescent="0.3">
      <c r="A34" s="6" t="str">
        <f>"08-"&amp;LEFT(RIGHTB(REPT(0,4)&amp;_xlfn.BASE(テーブル3[[#This Row],[num]],36),4),2)&amp;"-"&amp;RIGHT(RIGHTB(REPT(0,4)&amp;_xlfn.BASE(テーブル3[[#This Row],[num]],36),4),2)</f>
        <v>08-00-0X</v>
      </c>
      <c r="B34" s="6">
        <v>33</v>
      </c>
      <c r="C34" s="6" t="s">
        <v>144</v>
      </c>
      <c r="D34" s="6" t="s">
        <v>906</v>
      </c>
      <c r="E34" s="6">
        <v>0</v>
      </c>
      <c r="H34" s="7" t="s">
        <v>1</v>
      </c>
      <c r="I34" s="8" t="s">
        <v>179</v>
      </c>
      <c r="J34" s="9" t="s">
        <v>68</v>
      </c>
    </row>
    <row r="35" spans="1:10" ht="16.5" x14ac:dyDescent="0.3">
      <c r="A35" s="6" t="str">
        <f>"08-"&amp;LEFT(RIGHTB(REPT(0,4)&amp;_xlfn.BASE(テーブル3[[#This Row],[num]],36),4),2)&amp;"-"&amp;RIGHT(RIGHTB(REPT(0,4)&amp;_xlfn.BASE(テーブル3[[#This Row],[num]],36),4),2)</f>
        <v>08-00-0Y</v>
      </c>
      <c r="B35" s="6">
        <v>34</v>
      </c>
      <c r="C35" s="6" t="s">
        <v>292</v>
      </c>
      <c r="D35" s="6" t="s">
        <v>905</v>
      </c>
      <c r="E35" s="6">
        <v>0</v>
      </c>
      <c r="H35" s="7" t="s">
        <v>1</v>
      </c>
      <c r="I35" s="8" t="s">
        <v>180</v>
      </c>
      <c r="J35" s="9" t="s">
        <v>68</v>
      </c>
    </row>
    <row r="36" spans="1:10" ht="16.5" x14ac:dyDescent="0.3">
      <c r="A36" s="6" t="str">
        <f>"08-"&amp;LEFT(RIGHTB(REPT(0,4)&amp;_xlfn.BASE(テーブル3[[#This Row],[num]],36),4),2)&amp;"-"&amp;RIGHT(RIGHTB(REPT(0,4)&amp;_xlfn.BASE(テーブル3[[#This Row],[num]],36),4),2)</f>
        <v>08-00-0Z</v>
      </c>
      <c r="B36" s="6">
        <v>35</v>
      </c>
      <c r="C36" s="6" t="s">
        <v>293</v>
      </c>
      <c r="D36" s="6" t="s">
        <v>905</v>
      </c>
      <c r="E36" s="6">
        <v>0</v>
      </c>
      <c r="H36" s="7" t="s">
        <v>1</v>
      </c>
      <c r="I36" s="8" t="s">
        <v>181</v>
      </c>
      <c r="J36" s="9" t="s">
        <v>68</v>
      </c>
    </row>
    <row r="37" spans="1:10" ht="16.5" x14ac:dyDescent="0.3">
      <c r="A37" s="6" t="str">
        <f>"08-"&amp;LEFT(RIGHTB(REPT(0,4)&amp;_xlfn.BASE(テーブル3[[#This Row],[num]],36),4),2)&amp;"-"&amp;RIGHT(RIGHTB(REPT(0,4)&amp;_xlfn.BASE(テーブル3[[#This Row],[num]],36),4),2)</f>
        <v>08-00-10</v>
      </c>
      <c r="B37" s="6">
        <v>36</v>
      </c>
      <c r="C37" s="6" t="s">
        <v>147</v>
      </c>
      <c r="E37" s="6">
        <v>0</v>
      </c>
      <c r="H37" s="7" t="s">
        <v>69</v>
      </c>
      <c r="I37" s="8" t="s">
        <v>184</v>
      </c>
      <c r="J37" s="9" t="s">
        <v>65</v>
      </c>
    </row>
    <row r="38" spans="1:10" ht="16.5" x14ac:dyDescent="0.3">
      <c r="A38" s="6" t="str">
        <f>"08-"&amp;LEFT(RIGHTB(REPT(0,4)&amp;_xlfn.BASE(テーブル3[[#This Row],[num]],36),4),2)&amp;"-"&amp;RIGHT(RIGHTB(REPT(0,4)&amp;_xlfn.BASE(テーブル3[[#This Row],[num]],36),4),2)</f>
        <v>08-00-11</v>
      </c>
      <c r="B38" s="6">
        <v>37</v>
      </c>
      <c r="C38" s="6" t="s">
        <v>158</v>
      </c>
      <c r="E38" s="6">
        <v>5</v>
      </c>
      <c r="H38" s="7" t="s">
        <v>1</v>
      </c>
      <c r="I38" s="8" t="s">
        <v>182</v>
      </c>
      <c r="J38" s="9" t="s">
        <v>68</v>
      </c>
    </row>
    <row r="39" spans="1:10" ht="16.5" x14ac:dyDescent="0.3">
      <c r="A39" s="6" t="str">
        <f>"08-"&amp;LEFT(RIGHTB(REPT(0,4)&amp;_xlfn.BASE(テーブル3[[#This Row],[num]],36),4),2)&amp;"-"&amp;RIGHT(RIGHTB(REPT(0,4)&amp;_xlfn.BASE(テーブル3[[#This Row],[num]],36),4),2)</f>
        <v>08-00-12</v>
      </c>
      <c r="B39" s="6">
        <v>38</v>
      </c>
      <c r="C39" s="6" t="s">
        <v>160</v>
      </c>
      <c r="E39" s="6">
        <v>4</v>
      </c>
      <c r="H39" s="7" t="s">
        <v>15</v>
      </c>
      <c r="I39" s="8" t="s">
        <v>183</v>
      </c>
      <c r="J39" s="9" t="s">
        <v>56</v>
      </c>
    </row>
    <row r="40" spans="1:10" ht="16.5" x14ac:dyDescent="0.3">
      <c r="A40" s="6" t="str">
        <f>"08-"&amp;LEFT(RIGHTB(REPT(0,4)&amp;_xlfn.BASE(テーブル3[[#This Row],[num]],36),4),2)&amp;"-"&amp;RIGHT(RIGHTB(REPT(0,4)&amp;_xlfn.BASE(テーブル3[[#This Row],[num]],36),4),2)</f>
        <v>08-00-13</v>
      </c>
      <c r="B40" s="6">
        <v>39</v>
      </c>
      <c r="C40" s="6" t="s">
        <v>204</v>
      </c>
      <c r="E40" s="6">
        <v>0</v>
      </c>
      <c r="H40" s="7" t="s">
        <v>1</v>
      </c>
      <c r="I40" s="8" t="s">
        <v>206</v>
      </c>
      <c r="J40" s="9" t="s">
        <v>68</v>
      </c>
    </row>
    <row r="41" spans="1:10" ht="16.5" x14ac:dyDescent="0.3">
      <c r="A41" s="6" t="str">
        <f>"08-"&amp;LEFT(RIGHTB(REPT(0,4)&amp;_xlfn.BASE(テーブル3[[#This Row],[num]],36),4),2)&amp;"-"&amp;RIGHT(RIGHTB(REPT(0,4)&amp;_xlfn.BASE(テーブル3[[#This Row],[num]],36),4),2)</f>
        <v>08-00-14</v>
      </c>
      <c r="B41" s="6">
        <v>40</v>
      </c>
      <c r="C41" s="6" t="s">
        <v>208</v>
      </c>
      <c r="E41" s="6">
        <v>0</v>
      </c>
      <c r="H41" s="7" t="s">
        <v>1</v>
      </c>
      <c r="I41" s="8" t="s">
        <v>209</v>
      </c>
      <c r="J41" s="9" t="s">
        <v>68</v>
      </c>
    </row>
    <row r="42" spans="1:10" ht="16.5" x14ac:dyDescent="0.3">
      <c r="A42" s="6" t="str">
        <f>"08-"&amp;LEFT(RIGHTB(REPT(0,4)&amp;_xlfn.BASE(テーブル3[[#This Row],[num]],36),4),2)&amp;"-"&amp;RIGHT(RIGHTB(REPT(0,4)&amp;_xlfn.BASE(テーブル3[[#This Row],[num]],36),4),2)</f>
        <v>08-00-15</v>
      </c>
      <c r="B42" s="6">
        <v>41</v>
      </c>
      <c r="C42" s="6" t="s">
        <v>284</v>
      </c>
      <c r="E42" s="6">
        <v>1</v>
      </c>
      <c r="H42" s="7" t="s">
        <v>285</v>
      </c>
      <c r="I42" s="8" t="s">
        <v>287</v>
      </c>
      <c r="J42" s="9" t="s">
        <v>286</v>
      </c>
    </row>
    <row r="43" spans="1:10" ht="16.5" x14ac:dyDescent="0.3">
      <c r="A43" s="6" t="str">
        <f>"08-"&amp;LEFT(RIGHTB(REPT(0,4)&amp;_xlfn.BASE(テーブル3[[#This Row],[num]],36),4),2)&amp;"-"&amp;RIGHT(RIGHTB(REPT(0,4)&amp;_xlfn.BASE(テーブル3[[#This Row],[num]],36),4),2)</f>
        <v>08-00-16</v>
      </c>
      <c r="B43" s="6">
        <v>42</v>
      </c>
      <c r="C43" s="6" t="s">
        <v>291</v>
      </c>
      <c r="D43" s="6" t="s">
        <v>905</v>
      </c>
      <c r="E43" s="6">
        <v>0</v>
      </c>
      <c r="H43" s="7" t="s">
        <v>1</v>
      </c>
      <c r="I43" s="8" t="s">
        <v>296</v>
      </c>
      <c r="J43" s="9" t="s">
        <v>68</v>
      </c>
    </row>
    <row r="44" spans="1:10" ht="16.5" x14ac:dyDescent="0.3">
      <c r="A44" s="6" t="str">
        <f>"08-"&amp;LEFT(RIGHTB(REPT(0,4)&amp;_xlfn.BASE(テーブル3[[#This Row],[num]],36),4),2)&amp;"-"&amp;RIGHT(RIGHTB(REPT(0,4)&amp;_xlfn.BASE(テーブル3[[#This Row],[num]],36),4),2)</f>
        <v>08-00-17</v>
      </c>
      <c r="B44" s="6">
        <v>43</v>
      </c>
      <c r="C44" s="6" t="s">
        <v>301</v>
      </c>
      <c r="E44" s="6">
        <v>0</v>
      </c>
      <c r="H44" s="7" t="s">
        <v>15</v>
      </c>
      <c r="I44" s="8" t="s">
        <v>302</v>
      </c>
      <c r="J44" s="9" t="s">
        <v>56</v>
      </c>
    </row>
    <row r="45" spans="1:10" ht="16.5" x14ac:dyDescent="0.3">
      <c r="A45" s="6" t="str">
        <f>"08-"&amp;LEFT(RIGHTB(REPT(0,4)&amp;_xlfn.BASE(テーブル3[[#This Row],[num]],36),4),2)&amp;"-"&amp;RIGHT(RIGHTB(REPT(0,4)&amp;_xlfn.BASE(テーブル3[[#This Row],[num]],36),4),2)</f>
        <v>08-00-18</v>
      </c>
      <c r="B45" s="6">
        <v>44</v>
      </c>
      <c r="C45" s="6" t="s">
        <v>311</v>
      </c>
      <c r="E45" s="6">
        <v>1</v>
      </c>
      <c r="H45" s="7" t="s">
        <v>285</v>
      </c>
      <c r="I45" s="8" t="s">
        <v>479</v>
      </c>
      <c r="J45" s="9" t="s">
        <v>286</v>
      </c>
    </row>
    <row r="46" spans="1:10" ht="16.5" x14ac:dyDescent="0.3">
      <c r="A46" s="6" t="str">
        <f>"08-"&amp;LEFT(RIGHTB(REPT(0,4)&amp;_xlfn.BASE(テーブル3[[#This Row],[num]],36),4),2)&amp;"-"&amp;RIGHT(RIGHTB(REPT(0,4)&amp;_xlfn.BASE(テーブル3[[#This Row],[num]],36),4),2)</f>
        <v>08-00-19</v>
      </c>
      <c r="B46" s="6">
        <v>45</v>
      </c>
      <c r="C46" s="6" t="s">
        <v>312</v>
      </c>
      <c r="E46" s="6">
        <v>1</v>
      </c>
      <c r="H46" s="7" t="s">
        <v>285</v>
      </c>
      <c r="I46" s="8" t="s">
        <v>483</v>
      </c>
      <c r="J46" s="9" t="s">
        <v>286</v>
      </c>
    </row>
    <row r="47" spans="1:10" ht="16.5" x14ac:dyDescent="0.3">
      <c r="A47" s="6" t="str">
        <f>"08-"&amp;LEFT(RIGHTB(REPT(0,4)&amp;_xlfn.BASE(テーブル3[[#This Row],[num]],36),4),2)&amp;"-"&amp;RIGHT(RIGHTB(REPT(0,4)&amp;_xlfn.BASE(テーブル3[[#This Row],[num]],36),4),2)</f>
        <v>08-00-1A</v>
      </c>
      <c r="B47" s="6">
        <v>46</v>
      </c>
      <c r="C47" s="6" t="s">
        <v>313</v>
      </c>
      <c r="E47" s="6">
        <v>1</v>
      </c>
      <c r="H47" s="7" t="s">
        <v>285</v>
      </c>
      <c r="I47" s="8" t="s">
        <v>482</v>
      </c>
      <c r="J47" s="9" t="s">
        <v>286</v>
      </c>
    </row>
    <row r="48" spans="1:10" ht="16.5" x14ac:dyDescent="0.3">
      <c r="A48" s="6" t="str">
        <f>"08-"&amp;LEFT(RIGHTB(REPT(0,4)&amp;_xlfn.BASE(テーブル3[[#This Row],[num]],36),4),2)&amp;"-"&amp;RIGHT(RIGHTB(REPT(0,4)&amp;_xlfn.BASE(テーブル3[[#This Row],[num]],36),4),2)</f>
        <v>08-00-1B</v>
      </c>
      <c r="B48" s="6">
        <v>47</v>
      </c>
      <c r="C48" s="6" t="s">
        <v>489</v>
      </c>
      <c r="E48" s="6">
        <v>1</v>
      </c>
      <c r="H48" s="7" t="s">
        <v>1</v>
      </c>
      <c r="I48" s="8" t="s">
        <v>496</v>
      </c>
      <c r="J48" s="9" t="s">
        <v>68</v>
      </c>
    </row>
    <row r="49" spans="1:10" ht="16.5" x14ac:dyDescent="0.3">
      <c r="A49" s="6" t="str">
        <f>"08-"&amp;LEFT(RIGHTB(REPT(0,4)&amp;_xlfn.BASE(テーブル3[[#This Row],[num]],36),4),2)&amp;"-"&amp;RIGHT(RIGHTB(REPT(0,4)&amp;_xlfn.BASE(テーブル3[[#This Row],[num]],36),4),2)</f>
        <v>08-00-1C</v>
      </c>
      <c r="B49" s="6">
        <v>48</v>
      </c>
      <c r="C49" s="6" t="s">
        <v>490</v>
      </c>
      <c r="E49" s="6">
        <v>1</v>
      </c>
      <c r="H49" s="7" t="s">
        <v>1</v>
      </c>
      <c r="I49" s="8" t="s">
        <v>493</v>
      </c>
      <c r="J49" s="9" t="s">
        <v>68</v>
      </c>
    </row>
    <row r="50" spans="1:10" ht="16.5" x14ac:dyDescent="0.3">
      <c r="A50" s="6" t="str">
        <f>"08-"&amp;LEFT(RIGHTB(REPT(0,4)&amp;_xlfn.BASE(テーブル3[[#This Row],[num]],36),4),2)&amp;"-"&amp;RIGHT(RIGHTB(REPT(0,4)&amp;_xlfn.BASE(テーブル3[[#This Row],[num]],36),4),2)</f>
        <v>08-00-1D</v>
      </c>
      <c r="B50" s="6">
        <v>49</v>
      </c>
      <c r="C50" s="6" t="s">
        <v>491</v>
      </c>
      <c r="E50" s="6">
        <v>0</v>
      </c>
      <c r="H50" s="7" t="s">
        <v>1</v>
      </c>
      <c r="I50" s="8" t="s">
        <v>495</v>
      </c>
      <c r="J50" s="9" t="s">
        <v>68</v>
      </c>
    </row>
    <row r="51" spans="1:10" ht="16.5" x14ac:dyDescent="0.3">
      <c r="A51" s="6" t="str">
        <f>"08-"&amp;LEFT(RIGHTB(REPT(0,4)&amp;_xlfn.BASE(テーブル3[[#This Row],[num]],36),4),2)&amp;"-"&amp;RIGHT(RIGHTB(REPT(0,4)&amp;_xlfn.BASE(テーブル3[[#This Row],[num]],36),4),2)</f>
        <v>08-00-1E</v>
      </c>
      <c r="B51" s="6">
        <v>50</v>
      </c>
      <c r="C51" s="6" t="s">
        <v>492</v>
      </c>
      <c r="E51" s="6">
        <v>0</v>
      </c>
      <c r="H51" s="7" t="s">
        <v>1</v>
      </c>
      <c r="I51" s="8" t="s">
        <v>494</v>
      </c>
      <c r="J51" s="9" t="s">
        <v>68</v>
      </c>
    </row>
    <row r="52" spans="1:10" ht="16.5" x14ac:dyDescent="0.3">
      <c r="A52" s="6" t="str">
        <f>"08-"&amp;LEFT(RIGHTB(REPT(0,4)&amp;_xlfn.BASE(テーブル3[[#This Row],[num]],36),4),2)&amp;"-"&amp;RIGHT(RIGHTB(REPT(0,4)&amp;_xlfn.BASE(テーブル3[[#This Row],[num]],36),4),2)</f>
        <v>08-00-1F</v>
      </c>
      <c r="B52" s="6">
        <v>51</v>
      </c>
      <c r="C52" s="6" t="s">
        <v>517</v>
      </c>
      <c r="E52" s="6">
        <v>0</v>
      </c>
      <c r="H52" s="7" t="s">
        <v>1</v>
      </c>
      <c r="I52" s="17" t="s">
        <v>564</v>
      </c>
      <c r="J52" s="9" t="s">
        <v>68</v>
      </c>
    </row>
    <row r="53" spans="1:10" ht="16.5" x14ac:dyDescent="0.3">
      <c r="A53" s="6" t="str">
        <f>"08-"&amp;LEFT(RIGHTB(REPT(0,4)&amp;_xlfn.BASE(テーブル3[[#This Row],[num]],36),4),2)&amp;"-"&amp;RIGHT(RIGHTB(REPT(0,4)&amp;_xlfn.BASE(テーブル3[[#This Row],[num]],36),4),2)</f>
        <v>08-00-1G</v>
      </c>
      <c r="B53" s="6">
        <v>52</v>
      </c>
      <c r="C53" s="6" t="s">
        <v>518</v>
      </c>
      <c r="E53" s="6">
        <v>0</v>
      </c>
      <c r="H53" s="7" t="s">
        <v>1</v>
      </c>
      <c r="I53" s="17" t="s">
        <v>565</v>
      </c>
      <c r="J53" s="9" t="s">
        <v>68</v>
      </c>
    </row>
    <row r="54" spans="1:10" ht="16.5" x14ac:dyDescent="0.3">
      <c r="A54" s="6" t="str">
        <f>"08-"&amp;LEFT(RIGHTB(REPT(0,4)&amp;_xlfn.BASE(テーブル3[[#This Row],[num]],36),4),2)&amp;"-"&amp;RIGHT(RIGHTB(REPT(0,4)&amp;_xlfn.BASE(テーブル3[[#This Row],[num]],36),4),2)</f>
        <v>08-00-1H</v>
      </c>
      <c r="B54" s="6">
        <v>53</v>
      </c>
      <c r="C54" s="6" t="s">
        <v>541</v>
      </c>
      <c r="E54" s="6">
        <v>0</v>
      </c>
      <c r="H54" s="7" t="s">
        <v>533</v>
      </c>
      <c r="I54" s="8" t="s">
        <v>530</v>
      </c>
      <c r="J54" s="9" t="s">
        <v>65</v>
      </c>
    </row>
    <row r="55" spans="1:10" ht="16.5" x14ac:dyDescent="0.3">
      <c r="A55" s="6" t="str">
        <f>"08-"&amp;LEFT(RIGHTB(REPT(0,4)&amp;_xlfn.BASE(テーブル3[[#This Row],[num]],36),4),2)&amp;"-"&amp;RIGHT(RIGHTB(REPT(0,4)&amp;_xlfn.BASE(テーブル3[[#This Row],[num]],36),4),2)</f>
        <v>08-00-1I</v>
      </c>
      <c r="B55" s="6">
        <v>54</v>
      </c>
      <c r="C55" s="6" t="s">
        <v>542</v>
      </c>
      <c r="E55" s="6">
        <v>0</v>
      </c>
      <c r="H55" s="7" t="s">
        <v>535</v>
      </c>
      <c r="I55" s="8" t="s">
        <v>525</v>
      </c>
      <c r="J55" s="9" t="s">
        <v>68</v>
      </c>
    </row>
    <row r="56" spans="1:10" ht="16.5" x14ac:dyDescent="0.3">
      <c r="A56" s="6" t="str">
        <f>"08-"&amp;LEFT(RIGHTB(REPT(0,4)&amp;_xlfn.BASE(テーブル3[[#This Row],[num]],36),4),2)&amp;"-"&amp;RIGHT(RIGHTB(REPT(0,4)&amp;_xlfn.BASE(テーブル3[[#This Row],[num]],36),4),2)</f>
        <v>08-00-1J</v>
      </c>
      <c r="B56" s="6">
        <v>55</v>
      </c>
      <c r="C56" s="6" t="s">
        <v>543</v>
      </c>
      <c r="E56" s="6">
        <v>1</v>
      </c>
      <c r="H56" s="7" t="s">
        <v>535</v>
      </c>
      <c r="I56" s="8" t="s">
        <v>526</v>
      </c>
      <c r="J56" s="9" t="s">
        <v>68</v>
      </c>
    </row>
    <row r="57" spans="1:10" ht="16.5" x14ac:dyDescent="0.3">
      <c r="A57" s="6" t="str">
        <f>"08-"&amp;LEFT(RIGHTB(REPT(0,4)&amp;_xlfn.BASE(テーブル3[[#This Row],[num]],36),4),2)&amp;"-"&amp;RIGHT(RIGHTB(REPT(0,4)&amp;_xlfn.BASE(テーブル3[[#This Row],[num]],36),4),2)</f>
        <v>08-00-1K</v>
      </c>
      <c r="B57" s="6">
        <v>56</v>
      </c>
      <c r="C57" s="6" t="s">
        <v>544</v>
      </c>
      <c r="E57" s="6">
        <v>0</v>
      </c>
      <c r="H57" s="7" t="s">
        <v>537</v>
      </c>
      <c r="I57" s="8" t="s">
        <v>530</v>
      </c>
      <c r="J57" s="9" t="s">
        <v>65</v>
      </c>
    </row>
    <row r="58" spans="1:10" ht="16.5" x14ac:dyDescent="0.3">
      <c r="A58" s="6" t="str">
        <f>"08-"&amp;LEFT(RIGHTB(REPT(0,4)&amp;_xlfn.BASE(テーブル3[[#This Row],[num]],36),4),2)&amp;"-"&amp;RIGHT(RIGHTB(REPT(0,4)&amp;_xlfn.BASE(テーブル3[[#This Row],[num]],36),4),2)</f>
        <v>08-00-1L</v>
      </c>
      <c r="B58" s="6">
        <v>57</v>
      </c>
      <c r="C58" s="6" t="s">
        <v>545</v>
      </c>
      <c r="E58" s="6">
        <v>0</v>
      </c>
      <c r="H58" s="7" t="s">
        <v>539</v>
      </c>
      <c r="I58" s="8" t="s">
        <v>525</v>
      </c>
      <c r="J58" s="9" t="s">
        <v>68</v>
      </c>
    </row>
    <row r="59" spans="1:10" ht="16.5" x14ac:dyDescent="0.3">
      <c r="A59" s="6" t="str">
        <f>"08-"&amp;LEFT(RIGHTB(REPT(0,4)&amp;_xlfn.BASE(テーブル3[[#This Row],[num]],36),4),2)&amp;"-"&amp;RIGHT(RIGHTB(REPT(0,4)&amp;_xlfn.BASE(テーブル3[[#This Row],[num]],36),4),2)</f>
        <v>08-00-1M</v>
      </c>
      <c r="B59" s="6">
        <v>58</v>
      </c>
      <c r="C59" s="6" t="s">
        <v>546</v>
      </c>
      <c r="E59" s="6">
        <v>1</v>
      </c>
      <c r="H59" s="7" t="s">
        <v>539</v>
      </c>
      <c r="I59" s="8" t="s">
        <v>526</v>
      </c>
      <c r="J59" s="9" t="s">
        <v>68</v>
      </c>
    </row>
    <row r="60" spans="1:10" ht="16.5" x14ac:dyDescent="0.3">
      <c r="A60" s="6" t="str">
        <f>"08-"&amp;LEFT(RIGHTB(REPT(0,4)&amp;_xlfn.BASE(テーブル3[[#This Row],[num]],36),4),2)&amp;"-"&amp;RIGHT(RIGHTB(REPT(0,4)&amp;_xlfn.BASE(テーブル3[[#This Row],[num]],36),4),2)</f>
        <v>08-00-1N</v>
      </c>
      <c r="B60" s="6">
        <v>59</v>
      </c>
      <c r="C60" s="6" t="s">
        <v>562</v>
      </c>
      <c r="E60" s="6">
        <v>0</v>
      </c>
      <c r="H60" s="7" t="s">
        <v>1</v>
      </c>
      <c r="I60" s="8" t="s">
        <v>569</v>
      </c>
      <c r="J60" s="9" t="s">
        <v>68</v>
      </c>
    </row>
    <row r="61" spans="1:10" ht="16.5" x14ac:dyDescent="0.3">
      <c r="A61" s="6" t="str">
        <f>"08-"&amp;LEFT(RIGHTB(REPT(0,4)&amp;_xlfn.BASE(テーブル3[[#This Row],[num]],36),4),2)&amp;"-"&amp;RIGHT(RIGHTB(REPT(0,4)&amp;_xlfn.BASE(テーブル3[[#This Row],[num]],36),4),2)</f>
        <v>08-00-1O</v>
      </c>
      <c r="B61" s="6">
        <v>60</v>
      </c>
      <c r="C61" s="6" t="s">
        <v>563</v>
      </c>
      <c r="E61" s="6">
        <v>0</v>
      </c>
      <c r="H61" s="7" t="s">
        <v>1</v>
      </c>
      <c r="I61" s="8" t="s">
        <v>568</v>
      </c>
      <c r="J61" s="9" t="s">
        <v>68</v>
      </c>
    </row>
    <row r="62" spans="1:10" ht="16.5" x14ac:dyDescent="0.3">
      <c r="A62" s="6" t="str">
        <f>"08-"&amp;LEFT(RIGHTB(REPT(0,4)&amp;_xlfn.BASE(テーブル3[[#This Row],[num]],36),4),2)&amp;"-"&amp;RIGHT(RIGHTB(REPT(0,4)&amp;_xlfn.BASE(テーブル3[[#This Row],[num]],36),4),2)</f>
        <v>08-00-1P</v>
      </c>
      <c r="B62" s="6">
        <v>61</v>
      </c>
      <c r="C62" s="6" t="s">
        <v>849</v>
      </c>
      <c r="E62" s="6">
        <v>1</v>
      </c>
      <c r="H62" s="7" t="s">
        <v>15</v>
      </c>
      <c r="I62" s="17" t="s">
        <v>850</v>
      </c>
      <c r="J62" s="9" t="s">
        <v>851</v>
      </c>
    </row>
    <row r="63" spans="1:10" ht="16.5" x14ac:dyDescent="0.3">
      <c r="A63" s="6" t="str">
        <f>"08-"&amp;LEFT(RIGHTB(REPT(0,4)&amp;_xlfn.BASE(テーブル3[[#This Row],[num]],36),4),2)&amp;"-"&amp;RIGHT(RIGHTB(REPT(0,4)&amp;_xlfn.BASE(テーブル3[[#This Row],[num]],36),4),2)</f>
        <v>08-00-1Q</v>
      </c>
      <c r="B63" s="6">
        <v>62</v>
      </c>
      <c r="C63" s="6" t="s">
        <v>898</v>
      </c>
      <c r="E63" s="6">
        <v>0</v>
      </c>
      <c r="H63" s="7" t="s">
        <v>873</v>
      </c>
      <c r="I63" s="8" t="s">
        <v>530</v>
      </c>
      <c r="J63" s="9" t="s">
        <v>65</v>
      </c>
    </row>
    <row r="64" spans="1:10" ht="16.5" x14ac:dyDescent="0.3">
      <c r="A64" s="6" t="str">
        <f>"08-"&amp;LEFT(RIGHTB(REPT(0,4)&amp;_xlfn.BASE(テーブル3[[#This Row],[num]],36),4),2)&amp;"-"&amp;RIGHT(RIGHTB(REPT(0,4)&amp;_xlfn.BASE(テーブル3[[#This Row],[num]],36),4),2)</f>
        <v>08-00-1R</v>
      </c>
      <c r="B64" s="6">
        <v>63</v>
      </c>
      <c r="C64" s="6" t="s">
        <v>897</v>
      </c>
      <c r="E64" s="6">
        <v>0</v>
      </c>
      <c r="H64" s="7" t="s">
        <v>873</v>
      </c>
      <c r="I64" s="8" t="s">
        <v>872</v>
      </c>
      <c r="J64" s="9" t="s">
        <v>65</v>
      </c>
    </row>
    <row r="65" spans="1:10" ht="16.5" x14ac:dyDescent="0.3">
      <c r="A65" s="6" t="str">
        <f>"08-"&amp;LEFT(RIGHTB(REPT(0,4)&amp;_xlfn.BASE(テーブル3[[#This Row],[num]],36),4),2)&amp;"-"&amp;RIGHT(RIGHTB(REPT(0,4)&amp;_xlfn.BASE(テーブル3[[#This Row],[num]],36),4),2)</f>
        <v>08-00-1S</v>
      </c>
      <c r="B65" s="6">
        <v>64</v>
      </c>
      <c r="C65" s="6" t="s">
        <v>870</v>
      </c>
      <c r="E65" s="6">
        <v>0</v>
      </c>
      <c r="H65" s="7" t="s">
        <v>533</v>
      </c>
      <c r="I65" s="8" t="s">
        <v>896</v>
      </c>
      <c r="J65" s="9" t="s">
        <v>65</v>
      </c>
    </row>
    <row r="66" spans="1:10" ht="16.5" x14ac:dyDescent="0.3">
      <c r="A66" s="6" t="str">
        <f>"08-"&amp;LEFT(RIGHTB(REPT(0,4)&amp;_xlfn.BASE(テーブル3[[#This Row],[num]],36),4),2)&amp;"-"&amp;RIGHT(RIGHTB(REPT(0,4)&amp;_xlfn.BASE(テーブル3[[#This Row],[num]],36),4),2)</f>
        <v>08-00-1T</v>
      </c>
      <c r="B66" s="6">
        <v>65</v>
      </c>
      <c r="C66" s="6" t="s">
        <v>871</v>
      </c>
      <c r="E66" s="6">
        <v>0</v>
      </c>
      <c r="H66" s="7" t="s">
        <v>537</v>
      </c>
      <c r="I66" s="8" t="s">
        <v>872</v>
      </c>
      <c r="J66" s="9" t="s">
        <v>65</v>
      </c>
    </row>
  </sheetData>
  <phoneticPr fontId="1"/>
  <dataValidations count="1">
    <dataValidation type="list" allowBlank="1" showInputMessage="1" showErrorMessage="1" sqref="J2:J66 H2:H66" xr:uid="{4AC31B9A-8147-4BBA-B3FF-28DEC20F24A9}">
      <formula1>INDIRECT("table_terminal[name]")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565A-C816-4987-A0E9-26704762DF7D}">
  <dimension ref="A1:I51"/>
  <sheetViews>
    <sheetView zoomScale="70" zoomScaleNormal="70" workbookViewId="0">
      <selection activeCell="A47" sqref="A47"/>
    </sheetView>
  </sheetViews>
  <sheetFormatPr defaultColWidth="8.81640625" defaultRowHeight="17.399999999999999" x14ac:dyDescent="0.3"/>
  <cols>
    <col min="1" max="1" width="26.08984375" style="6" customWidth="1"/>
    <col min="2" max="2" width="39.08984375" style="6" customWidth="1"/>
    <col min="3" max="5" width="11.6328125" style="6" customWidth="1"/>
    <col min="6" max="6" width="13.08984375" style="6" bestFit="1" customWidth="1"/>
    <col min="7" max="7" width="50.81640625" style="6" customWidth="1"/>
    <col min="8" max="8" width="109.1796875" style="6" bestFit="1" customWidth="1"/>
    <col min="9" max="16384" width="8.81640625" style="6"/>
  </cols>
  <sheetData>
    <row r="1" spans="1:9" ht="16.5" x14ac:dyDescent="0.3">
      <c r="A1" s="6" t="s">
        <v>318</v>
      </c>
      <c r="B1" s="6" t="s">
        <v>59</v>
      </c>
      <c r="C1" s="6" t="s">
        <v>58</v>
      </c>
      <c r="D1" s="6" t="s">
        <v>54</v>
      </c>
      <c r="E1" s="6" t="s">
        <v>62</v>
      </c>
      <c r="F1" s="6" t="s">
        <v>66</v>
      </c>
      <c r="G1" s="6" t="s">
        <v>60</v>
      </c>
      <c r="H1" s="6" t="s">
        <v>55</v>
      </c>
      <c r="I1" s="6" t="s">
        <v>61</v>
      </c>
    </row>
    <row r="2" spans="1:9" ht="16.5" x14ac:dyDescent="0.3">
      <c r="B2" s="6" t="s">
        <v>74</v>
      </c>
      <c r="D2" s="6">
        <v>1</v>
      </c>
      <c r="G2" s="7" t="s">
        <v>1</v>
      </c>
      <c r="H2" s="8" t="s">
        <v>255</v>
      </c>
      <c r="I2" s="7" t="s">
        <v>68</v>
      </c>
    </row>
    <row r="3" spans="1:9" ht="16.5" x14ac:dyDescent="0.3">
      <c r="B3" s="6" t="s">
        <v>75</v>
      </c>
      <c r="D3" s="6">
        <v>0</v>
      </c>
      <c r="G3" s="7" t="s">
        <v>1</v>
      </c>
      <c r="H3" s="8" t="s">
        <v>256</v>
      </c>
      <c r="I3" s="7" t="s">
        <v>68</v>
      </c>
    </row>
    <row r="4" spans="1:9" ht="16.5" x14ac:dyDescent="0.3">
      <c r="B4" s="6" t="s">
        <v>76</v>
      </c>
      <c r="D4" s="6">
        <v>0</v>
      </c>
      <c r="G4" s="7" t="s">
        <v>1</v>
      </c>
      <c r="H4" s="8" t="s">
        <v>257</v>
      </c>
      <c r="I4" s="7" t="s">
        <v>68</v>
      </c>
    </row>
    <row r="5" spans="1:9" ht="16.5" x14ac:dyDescent="0.3">
      <c r="B5" s="6" t="s">
        <v>77</v>
      </c>
      <c r="D5" s="6">
        <v>0</v>
      </c>
      <c r="G5" s="7" t="s">
        <v>1</v>
      </c>
      <c r="H5" s="8" t="s">
        <v>283</v>
      </c>
      <c r="I5" s="7" t="s">
        <v>65</v>
      </c>
    </row>
    <row r="6" spans="1:9" ht="16.5" x14ac:dyDescent="0.3">
      <c r="B6" s="6" t="s">
        <v>78</v>
      </c>
      <c r="D6" s="6">
        <v>0</v>
      </c>
      <c r="G6" s="7" t="s">
        <v>1</v>
      </c>
      <c r="H6" s="8" t="s">
        <v>258</v>
      </c>
      <c r="I6" s="7" t="s">
        <v>68</v>
      </c>
    </row>
    <row r="7" spans="1:9" ht="16.5" x14ac:dyDescent="0.3">
      <c r="B7" s="6" t="s">
        <v>79</v>
      </c>
      <c r="D7" s="6">
        <v>0</v>
      </c>
      <c r="G7" s="7" t="s">
        <v>69</v>
      </c>
      <c r="H7" s="8" t="s">
        <v>259</v>
      </c>
      <c r="I7" s="9" t="s">
        <v>65</v>
      </c>
    </row>
    <row r="8" spans="1:9" ht="16.5" x14ac:dyDescent="0.3">
      <c r="B8" s="6" t="s">
        <v>80</v>
      </c>
      <c r="D8" s="6">
        <v>0</v>
      </c>
      <c r="G8" s="7" t="s">
        <v>1</v>
      </c>
      <c r="H8" s="8" t="s">
        <v>260</v>
      </c>
      <c r="I8" s="9" t="s">
        <v>65</v>
      </c>
    </row>
    <row r="9" spans="1:9" ht="16.5" x14ac:dyDescent="0.3">
      <c r="B9" s="6" t="s">
        <v>81</v>
      </c>
      <c r="D9" s="6">
        <v>0</v>
      </c>
      <c r="G9" s="7" t="s">
        <v>1</v>
      </c>
      <c r="H9" s="8" t="s">
        <v>261</v>
      </c>
      <c r="I9" s="9" t="s">
        <v>65</v>
      </c>
    </row>
    <row r="10" spans="1:9" ht="16.5" x14ac:dyDescent="0.3">
      <c r="B10" s="6" t="s">
        <v>82</v>
      </c>
      <c r="D10" s="6">
        <v>0</v>
      </c>
      <c r="G10" s="7" t="s">
        <v>1</v>
      </c>
      <c r="H10" s="8" t="s">
        <v>262</v>
      </c>
      <c r="I10" s="7" t="s">
        <v>65</v>
      </c>
    </row>
    <row r="11" spans="1:9" ht="16.5" x14ac:dyDescent="0.3">
      <c r="B11" s="6" t="s">
        <v>83</v>
      </c>
      <c r="D11" s="6">
        <v>0</v>
      </c>
      <c r="G11" s="7" t="s">
        <v>1</v>
      </c>
      <c r="H11" s="8" t="s">
        <v>263</v>
      </c>
      <c r="I11" s="7" t="s">
        <v>65</v>
      </c>
    </row>
    <row r="12" spans="1:9" ht="16.5" x14ac:dyDescent="0.3">
      <c r="B12" s="6" t="s">
        <v>84</v>
      </c>
      <c r="D12" s="6">
        <v>0</v>
      </c>
      <c r="G12" s="7" t="s">
        <v>1</v>
      </c>
      <c r="H12" s="8" t="s">
        <v>264</v>
      </c>
      <c r="I12" s="7" t="s">
        <v>65</v>
      </c>
    </row>
    <row r="13" spans="1:9" ht="16.5" x14ac:dyDescent="0.3">
      <c r="B13" s="6" t="s">
        <v>85</v>
      </c>
      <c r="D13" s="6">
        <v>0</v>
      </c>
      <c r="G13" s="7" t="s">
        <v>1</v>
      </c>
      <c r="H13" s="8" t="s">
        <v>265</v>
      </c>
      <c r="I13" s="7" t="s">
        <v>65</v>
      </c>
    </row>
    <row r="14" spans="1:9" ht="16.5" x14ac:dyDescent="0.3">
      <c r="B14" s="6" t="s">
        <v>86</v>
      </c>
      <c r="D14" s="6">
        <v>0</v>
      </c>
      <c r="G14" s="7" t="s">
        <v>1</v>
      </c>
      <c r="H14" s="8" t="s">
        <v>277</v>
      </c>
      <c r="I14" s="7" t="s">
        <v>65</v>
      </c>
    </row>
    <row r="15" spans="1:9" ht="16.5" x14ac:dyDescent="0.3">
      <c r="B15" s="6" t="s">
        <v>87</v>
      </c>
      <c r="D15" s="6">
        <v>0</v>
      </c>
      <c r="G15" s="7" t="s">
        <v>1</v>
      </c>
      <c r="H15" s="8" t="s">
        <v>278</v>
      </c>
      <c r="I15" s="7" t="s">
        <v>65</v>
      </c>
    </row>
    <row r="16" spans="1:9" ht="16.5" x14ac:dyDescent="0.3">
      <c r="B16" s="6" t="s">
        <v>88</v>
      </c>
      <c r="D16" s="6">
        <v>0</v>
      </c>
      <c r="G16" s="7" t="s">
        <v>1</v>
      </c>
      <c r="H16" s="8" t="s">
        <v>266</v>
      </c>
      <c r="I16" s="7" t="s">
        <v>65</v>
      </c>
    </row>
    <row r="17" spans="2:9" ht="16.5" x14ac:dyDescent="0.3">
      <c r="B17" s="6" t="s">
        <v>89</v>
      </c>
      <c r="D17" s="6">
        <v>0</v>
      </c>
      <c r="G17" s="7" t="s">
        <v>1</v>
      </c>
      <c r="H17" s="8" t="s">
        <v>267</v>
      </c>
      <c r="I17" s="7" t="s">
        <v>65</v>
      </c>
    </row>
    <row r="18" spans="2:9" ht="16.5" x14ac:dyDescent="0.3">
      <c r="B18" s="6" t="s">
        <v>90</v>
      </c>
      <c r="D18" s="6">
        <v>0</v>
      </c>
      <c r="G18" s="7" t="s">
        <v>1</v>
      </c>
      <c r="H18" s="8" t="s">
        <v>268</v>
      </c>
      <c r="I18" s="7" t="s">
        <v>65</v>
      </c>
    </row>
    <row r="19" spans="2:9" ht="16.5" x14ac:dyDescent="0.3">
      <c r="B19" s="6" t="s">
        <v>91</v>
      </c>
      <c r="D19" s="6">
        <v>0</v>
      </c>
      <c r="G19" s="7" t="s">
        <v>1</v>
      </c>
      <c r="H19" s="8" t="s">
        <v>269</v>
      </c>
      <c r="I19" s="7" t="s">
        <v>65</v>
      </c>
    </row>
    <row r="20" spans="2:9" ht="16.5" x14ac:dyDescent="0.3">
      <c r="B20" s="6" t="s">
        <v>92</v>
      </c>
      <c r="D20" s="6">
        <v>0</v>
      </c>
      <c r="G20" s="7" t="s">
        <v>1</v>
      </c>
      <c r="H20" s="8" t="s">
        <v>279</v>
      </c>
      <c r="I20" s="7" t="s">
        <v>65</v>
      </c>
    </row>
    <row r="21" spans="2:9" ht="16.5" x14ac:dyDescent="0.3">
      <c r="B21" s="6" t="s">
        <v>93</v>
      </c>
      <c r="D21" s="6">
        <v>0</v>
      </c>
      <c r="G21" s="7" t="s">
        <v>1</v>
      </c>
      <c r="H21" s="8" t="s">
        <v>280</v>
      </c>
      <c r="I21" s="7" t="s">
        <v>65</v>
      </c>
    </row>
    <row r="22" spans="2:9" ht="16.5" x14ac:dyDescent="0.3">
      <c r="B22" s="6" t="s">
        <v>94</v>
      </c>
      <c r="D22" s="6">
        <v>0</v>
      </c>
      <c r="G22" s="7" t="s">
        <v>1</v>
      </c>
      <c r="H22" s="8" t="s">
        <v>270</v>
      </c>
      <c r="I22" s="7" t="s">
        <v>65</v>
      </c>
    </row>
    <row r="23" spans="2:9" ht="16.5" x14ac:dyDescent="0.3">
      <c r="B23" s="6" t="s">
        <v>95</v>
      </c>
      <c r="D23" s="6">
        <v>0</v>
      </c>
      <c r="G23" s="7" t="s">
        <v>1</v>
      </c>
      <c r="H23" s="8" t="s">
        <v>271</v>
      </c>
      <c r="I23" s="7" t="s">
        <v>65</v>
      </c>
    </row>
    <row r="24" spans="2:9" ht="16.5" x14ac:dyDescent="0.3">
      <c r="B24" s="6" t="s">
        <v>96</v>
      </c>
      <c r="D24" s="6">
        <v>0</v>
      </c>
      <c r="G24" s="7" t="s">
        <v>1</v>
      </c>
      <c r="H24" s="10" t="s">
        <v>272</v>
      </c>
      <c r="I24" s="7" t="s">
        <v>65</v>
      </c>
    </row>
    <row r="25" spans="2:9" ht="16.5" x14ac:dyDescent="0.3">
      <c r="B25" s="6" t="s">
        <v>97</v>
      </c>
      <c r="D25" s="6">
        <v>0</v>
      </c>
      <c r="G25" s="7" t="s">
        <v>1</v>
      </c>
      <c r="H25" s="10" t="s">
        <v>561</v>
      </c>
      <c r="I25" s="7" t="s">
        <v>65</v>
      </c>
    </row>
    <row r="26" spans="2:9" ht="16.5" x14ac:dyDescent="0.3">
      <c r="B26" s="6" t="s">
        <v>98</v>
      </c>
      <c r="D26" s="6">
        <v>0</v>
      </c>
      <c r="G26" s="7" t="s">
        <v>1</v>
      </c>
      <c r="H26" s="10" t="s">
        <v>281</v>
      </c>
      <c r="I26" s="7" t="s">
        <v>65</v>
      </c>
    </row>
    <row r="27" spans="2:9" ht="16.5" x14ac:dyDescent="0.3">
      <c r="B27" s="6" t="s">
        <v>99</v>
      </c>
      <c r="D27" s="6">
        <v>0</v>
      </c>
      <c r="G27" s="7" t="s">
        <v>1</v>
      </c>
      <c r="H27" s="10" t="s">
        <v>282</v>
      </c>
      <c r="I27" s="7" t="s">
        <v>65</v>
      </c>
    </row>
    <row r="28" spans="2:9" ht="16.5" x14ac:dyDescent="0.3">
      <c r="B28" s="6" t="s">
        <v>100</v>
      </c>
      <c r="D28" s="6">
        <v>0</v>
      </c>
      <c r="G28" s="7" t="s">
        <v>1</v>
      </c>
      <c r="H28" s="10" t="s">
        <v>273</v>
      </c>
      <c r="I28" s="7" t="s">
        <v>65</v>
      </c>
    </row>
    <row r="29" spans="2:9" ht="16.5" x14ac:dyDescent="0.3">
      <c r="B29" s="6" t="s">
        <v>101</v>
      </c>
      <c r="D29" s="6">
        <v>0</v>
      </c>
      <c r="G29" s="7" t="s">
        <v>1</v>
      </c>
      <c r="H29" s="10" t="s">
        <v>274</v>
      </c>
      <c r="I29" s="7" t="s">
        <v>65</v>
      </c>
    </row>
    <row r="30" spans="2:9" x14ac:dyDescent="0.5">
      <c r="B30" s="6" t="s">
        <v>102</v>
      </c>
      <c r="D30" s="6">
        <v>0</v>
      </c>
      <c r="G30" s="7" t="s">
        <v>1</v>
      </c>
      <c r="H30" s="11" t="s">
        <v>275</v>
      </c>
      <c r="I30" s="7" t="s">
        <v>65</v>
      </c>
    </row>
    <row r="31" spans="2:9" x14ac:dyDescent="0.5">
      <c r="B31" s="6" t="s">
        <v>103</v>
      </c>
      <c r="D31" s="6">
        <v>0</v>
      </c>
      <c r="G31" s="7" t="s">
        <v>1</v>
      </c>
      <c r="H31" s="11" t="s">
        <v>276</v>
      </c>
      <c r="I31" s="7" t="s">
        <v>65</v>
      </c>
    </row>
    <row r="32" spans="2:9" ht="16.5" x14ac:dyDescent="0.3">
      <c r="B32" s="6" t="s">
        <v>104</v>
      </c>
      <c r="D32" s="6">
        <v>0</v>
      </c>
      <c r="G32" s="7" t="s">
        <v>69</v>
      </c>
      <c r="H32" s="8" t="s">
        <v>253</v>
      </c>
      <c r="I32" s="7" t="s">
        <v>65</v>
      </c>
    </row>
    <row r="33" spans="2:9" ht="16.5" x14ac:dyDescent="0.3">
      <c r="B33" s="6" t="s">
        <v>105</v>
      </c>
      <c r="D33" s="6">
        <v>0</v>
      </c>
      <c r="G33" s="7" t="s">
        <v>69</v>
      </c>
      <c r="H33" s="8" t="s">
        <v>254</v>
      </c>
      <c r="I33" s="7" t="s">
        <v>65</v>
      </c>
    </row>
    <row r="34" spans="2:9" ht="16.5" x14ac:dyDescent="0.3">
      <c r="B34" s="6" t="s">
        <v>144</v>
      </c>
      <c r="D34" s="6">
        <v>0</v>
      </c>
      <c r="G34" s="7" t="s">
        <v>1</v>
      </c>
      <c r="H34" s="8" t="s">
        <v>252</v>
      </c>
      <c r="I34" s="9" t="s">
        <v>68</v>
      </c>
    </row>
    <row r="35" spans="2:9" ht="16.5" x14ac:dyDescent="0.3">
      <c r="B35" s="6" t="s">
        <v>145</v>
      </c>
      <c r="D35" s="6">
        <v>0</v>
      </c>
      <c r="G35" s="7" t="s">
        <v>1</v>
      </c>
      <c r="H35" s="8" t="s">
        <v>251</v>
      </c>
      <c r="I35" s="9" t="s">
        <v>68</v>
      </c>
    </row>
    <row r="36" spans="2:9" ht="16.5" x14ac:dyDescent="0.3">
      <c r="B36" s="6" t="s">
        <v>146</v>
      </c>
      <c r="D36" s="6">
        <v>0</v>
      </c>
      <c r="G36" s="7" t="s">
        <v>1</v>
      </c>
      <c r="H36" s="8" t="s">
        <v>250</v>
      </c>
      <c r="I36" s="9" t="s">
        <v>68</v>
      </c>
    </row>
    <row r="37" spans="2:9" ht="16.5" x14ac:dyDescent="0.3">
      <c r="B37" s="6" t="s">
        <v>147</v>
      </c>
      <c r="D37" s="6">
        <v>0</v>
      </c>
      <c r="G37" s="7" t="s">
        <v>69</v>
      </c>
      <c r="H37" s="8" t="s">
        <v>184</v>
      </c>
      <c r="I37" s="9" t="s">
        <v>65</v>
      </c>
    </row>
    <row r="38" spans="2:9" ht="16.5" x14ac:dyDescent="0.3">
      <c r="B38" s="6" t="s">
        <v>158</v>
      </c>
      <c r="D38" s="6">
        <v>5</v>
      </c>
      <c r="G38" s="7" t="s">
        <v>1</v>
      </c>
      <c r="H38" s="8" t="s">
        <v>248</v>
      </c>
      <c r="I38" s="9" t="s">
        <v>68</v>
      </c>
    </row>
    <row r="39" spans="2:9" ht="16.5" x14ac:dyDescent="0.3">
      <c r="B39" s="6" t="s">
        <v>160</v>
      </c>
      <c r="D39" s="6">
        <v>4</v>
      </c>
      <c r="G39" s="7" t="s">
        <v>15</v>
      </c>
      <c r="H39" s="8" t="s">
        <v>249</v>
      </c>
      <c r="I39" s="9" t="s">
        <v>56</v>
      </c>
    </row>
    <row r="40" spans="2:9" ht="16.5" x14ac:dyDescent="0.3">
      <c r="B40" s="6" t="s">
        <v>291</v>
      </c>
      <c r="D40" s="6">
        <v>0</v>
      </c>
      <c r="G40" s="7" t="s">
        <v>1</v>
      </c>
      <c r="H40" s="8" t="s">
        <v>295</v>
      </c>
      <c r="I40" s="9" t="s">
        <v>68</v>
      </c>
    </row>
    <row r="41" spans="2:9" ht="16.5" x14ac:dyDescent="0.3">
      <c r="B41" s="6" t="s">
        <v>204</v>
      </c>
      <c r="D41" s="6">
        <v>0</v>
      </c>
      <c r="G41" s="7" t="s">
        <v>1</v>
      </c>
      <c r="H41" s="8" t="s">
        <v>308</v>
      </c>
      <c r="I41" s="9" t="s">
        <v>68</v>
      </c>
    </row>
    <row r="42" spans="2:9" ht="16.5" x14ac:dyDescent="0.3">
      <c r="B42" s="6" t="s">
        <v>311</v>
      </c>
      <c r="G42" s="7" t="s">
        <v>285</v>
      </c>
      <c r="H42" s="8" t="s">
        <v>513</v>
      </c>
      <c r="I42" s="9" t="s">
        <v>286</v>
      </c>
    </row>
    <row r="43" spans="2:9" ht="16.5" x14ac:dyDescent="0.3">
      <c r="B43" s="6" t="s">
        <v>312</v>
      </c>
      <c r="G43" s="7" t="s">
        <v>285</v>
      </c>
      <c r="H43" s="8" t="s">
        <v>515</v>
      </c>
      <c r="I43" s="9" t="s">
        <v>286</v>
      </c>
    </row>
    <row r="44" spans="2:9" ht="16.5" x14ac:dyDescent="0.3">
      <c r="B44" s="6" t="s">
        <v>313</v>
      </c>
      <c r="G44" s="7" t="s">
        <v>285</v>
      </c>
      <c r="H44" s="8" t="s">
        <v>514</v>
      </c>
      <c r="I44" s="9" t="s">
        <v>286</v>
      </c>
    </row>
    <row r="45" spans="2:9" ht="16.5" x14ac:dyDescent="0.3">
      <c r="B45" s="6" t="s">
        <v>844</v>
      </c>
      <c r="D45" s="6">
        <v>0</v>
      </c>
      <c r="G45" s="7" t="s">
        <v>840</v>
      </c>
      <c r="H45" s="8" t="s">
        <v>548</v>
      </c>
      <c r="I45" s="9" t="s">
        <v>65</v>
      </c>
    </row>
    <row r="46" spans="2:9" ht="16.5" x14ac:dyDescent="0.3">
      <c r="B46" s="6" t="s">
        <v>845</v>
      </c>
      <c r="D46" s="6">
        <v>0</v>
      </c>
      <c r="G46" s="7" t="s">
        <v>842</v>
      </c>
      <c r="H46" s="8" t="s">
        <v>525</v>
      </c>
      <c r="I46" s="9" t="s">
        <v>68</v>
      </c>
    </row>
    <row r="47" spans="2:9" ht="16.5" x14ac:dyDescent="0.3">
      <c r="B47" s="6" t="s">
        <v>901</v>
      </c>
      <c r="D47" s="6">
        <v>0</v>
      </c>
      <c r="G47" s="7" t="s">
        <v>899</v>
      </c>
      <c r="H47" s="8" t="s">
        <v>548</v>
      </c>
      <c r="I47" s="9" t="s">
        <v>65</v>
      </c>
    </row>
    <row r="48" spans="2:9" ht="16.5" x14ac:dyDescent="0.3">
      <c r="B48" s="6" t="s">
        <v>902</v>
      </c>
      <c r="D48" s="6">
        <v>0</v>
      </c>
      <c r="G48" s="7" t="s">
        <v>899</v>
      </c>
      <c r="H48" s="8" t="s">
        <v>872</v>
      </c>
      <c r="I48" s="9" t="s">
        <v>65</v>
      </c>
    </row>
    <row r="49" spans="2:9" ht="16.5" x14ac:dyDescent="0.3">
      <c r="B49" s="6" t="s">
        <v>895</v>
      </c>
      <c r="D49" s="6">
        <v>0</v>
      </c>
      <c r="G49" s="7" t="s">
        <v>840</v>
      </c>
      <c r="H49" s="8" t="s">
        <v>872</v>
      </c>
      <c r="I49" s="9" t="s">
        <v>65</v>
      </c>
    </row>
    <row r="50" spans="2:9" ht="16.5" x14ac:dyDescent="0.3">
      <c r="G50" s="7"/>
      <c r="H50" s="8"/>
      <c r="I50" s="9"/>
    </row>
    <row r="51" spans="2:9" ht="16.5" x14ac:dyDescent="0.3">
      <c r="G51" s="7"/>
      <c r="H51" s="8"/>
      <c r="I51" s="9"/>
    </row>
  </sheetData>
  <phoneticPr fontId="1"/>
  <dataValidations count="1">
    <dataValidation type="list" allowBlank="1" showInputMessage="1" showErrorMessage="1" sqref="G2:G51 I2:I51" xr:uid="{6F4FD8D6-BF3E-4A81-A070-77CE89BF4456}">
      <formula1>INDIRECT("table_terminal[name]")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EFC4-CAA3-464E-844F-A19D1EF834BC}">
  <dimension ref="A1:V59"/>
  <sheetViews>
    <sheetView topLeftCell="A46" zoomScale="70" zoomScaleNormal="70" workbookViewId="0">
      <selection activeCell="E37" sqref="E37"/>
    </sheetView>
  </sheetViews>
  <sheetFormatPr defaultColWidth="8.90625" defaultRowHeight="17.399999999999999" x14ac:dyDescent="0.3"/>
  <cols>
    <col min="1" max="1" width="19.90625" style="6" bestFit="1" customWidth="1"/>
    <col min="2" max="2" width="17.6328125" style="6" bestFit="1" customWidth="1"/>
    <col min="3" max="4" width="9.81640625" style="6" customWidth="1"/>
    <col min="5" max="5" width="6.1796875" style="6" bestFit="1" customWidth="1"/>
    <col min="6" max="10" width="6.1796875" style="6" customWidth="1"/>
    <col min="11" max="22" width="6.6328125" style="6" customWidth="1"/>
    <col min="23" max="16384" width="8.90625" style="6"/>
  </cols>
  <sheetData>
    <row r="1" spans="1:22" x14ac:dyDescent="0.3">
      <c r="A1" s="6" t="s">
        <v>59</v>
      </c>
      <c r="B1" s="6" t="s">
        <v>57</v>
      </c>
      <c r="C1" s="6" t="s">
        <v>58</v>
      </c>
      <c r="D1" s="6" t="s">
        <v>300</v>
      </c>
      <c r="E1" s="6" t="s">
        <v>168</v>
      </c>
      <c r="F1" s="6" t="s">
        <v>306</v>
      </c>
      <c r="G1" s="6" t="s">
        <v>307</v>
      </c>
      <c r="H1" s="6" t="s">
        <v>303</v>
      </c>
      <c r="I1" s="6" t="s">
        <v>304</v>
      </c>
      <c r="J1" s="6" t="s">
        <v>305</v>
      </c>
      <c r="K1" s="6" t="s">
        <v>0</v>
      </c>
      <c r="L1" s="6" t="s">
        <v>1</v>
      </c>
      <c r="M1" s="6" t="s">
        <v>2</v>
      </c>
      <c r="N1" s="6" t="s">
        <v>10</v>
      </c>
      <c r="O1" s="6" t="s">
        <v>5</v>
      </c>
      <c r="P1" s="6" t="s">
        <v>11</v>
      </c>
      <c r="Q1" s="6" t="s">
        <v>3</v>
      </c>
      <c r="R1" s="6" t="s">
        <v>6</v>
      </c>
      <c r="S1" s="6" t="s">
        <v>4</v>
      </c>
      <c r="T1" s="6" t="s">
        <v>8</v>
      </c>
      <c r="U1" s="6" t="s">
        <v>9</v>
      </c>
      <c r="V1" s="6" t="s">
        <v>7</v>
      </c>
    </row>
    <row r="2" spans="1:22" x14ac:dyDescent="0.3">
      <c r="A2" s="6" t="s">
        <v>12</v>
      </c>
      <c r="B2" s="6" t="s">
        <v>44</v>
      </c>
      <c r="E2" s="16" t="str">
        <f>HYPERLINK("./aminoicacid/"&amp;Ligand[[#This Row],[name]]&amp;".png","◆")</f>
        <v>◆</v>
      </c>
      <c r="F2" s="14"/>
      <c r="G2" s="14">
        <v>-0.5</v>
      </c>
      <c r="H2" s="6" t="b">
        <v>1</v>
      </c>
      <c r="I2" s="6" t="b">
        <v>0</v>
      </c>
      <c r="J2" s="6" t="b">
        <v>0</v>
      </c>
      <c r="K2" s="6">
        <v>3</v>
      </c>
      <c r="L2" s="6">
        <v>5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  <c r="S2" s="6">
        <v>1</v>
      </c>
      <c r="T2" s="6">
        <v>0</v>
      </c>
      <c r="U2" s="6">
        <v>0</v>
      </c>
      <c r="V2" s="6">
        <v>0</v>
      </c>
    </row>
    <row r="3" spans="1:22" x14ac:dyDescent="0.3">
      <c r="A3" s="6" t="s">
        <v>23</v>
      </c>
      <c r="B3" s="6" t="s">
        <v>41</v>
      </c>
      <c r="D3" s="6">
        <v>125</v>
      </c>
      <c r="E3" s="16" t="str">
        <f>HYPERLINK("./aminoicacid/"&amp;Ligand[[#This Row],[name]]&amp;".png","◆")</f>
        <v>◆</v>
      </c>
      <c r="F3" s="14">
        <v>8.33</v>
      </c>
      <c r="G3" s="14">
        <v>-1</v>
      </c>
      <c r="H3" s="6" t="b">
        <v>0</v>
      </c>
      <c r="I3" s="6" t="b">
        <v>0</v>
      </c>
      <c r="J3" s="6" t="b">
        <v>0</v>
      </c>
      <c r="K3" s="6">
        <v>3</v>
      </c>
      <c r="L3" s="6">
        <v>5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1</v>
      </c>
      <c r="T3" s="6">
        <v>0</v>
      </c>
      <c r="U3" s="6">
        <v>1</v>
      </c>
      <c r="V3" s="6">
        <v>0</v>
      </c>
    </row>
    <row r="4" spans="1:22" x14ac:dyDescent="0.3">
      <c r="A4" s="6" t="s">
        <v>17</v>
      </c>
      <c r="B4" s="6" t="s">
        <v>35</v>
      </c>
      <c r="E4" s="13" t="str">
        <f>HYPERLINK("./aminoicacid/"&amp;Ligand[[#This Row],[name]]&amp;".png","◆")</f>
        <v>◆</v>
      </c>
      <c r="F4" s="14">
        <v>3.86</v>
      </c>
      <c r="G4" s="14">
        <v>3</v>
      </c>
      <c r="H4" s="6" t="b">
        <v>0</v>
      </c>
      <c r="I4" s="6" t="b">
        <v>1</v>
      </c>
      <c r="J4" s="6" t="b">
        <v>0</v>
      </c>
      <c r="K4" s="6">
        <v>4</v>
      </c>
      <c r="L4" s="6">
        <v>5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3</v>
      </c>
      <c r="T4" s="6">
        <v>0</v>
      </c>
      <c r="U4" s="6">
        <v>0</v>
      </c>
      <c r="V4" s="6">
        <v>0</v>
      </c>
    </row>
    <row r="5" spans="1:22" x14ac:dyDescent="0.3">
      <c r="A5" s="6" t="s">
        <v>18</v>
      </c>
      <c r="B5" s="6" t="s">
        <v>36</v>
      </c>
      <c r="E5" s="13" t="str">
        <f>HYPERLINK("./aminoicacid/"&amp;Ligand[[#This Row],[name]]&amp;".png","◆")</f>
        <v>◆</v>
      </c>
      <c r="F5" s="14">
        <v>4.25</v>
      </c>
      <c r="G5" s="14">
        <v>3</v>
      </c>
      <c r="H5" s="6" t="b">
        <v>0</v>
      </c>
      <c r="I5" s="6" t="b">
        <v>1</v>
      </c>
      <c r="J5" s="6" t="b">
        <v>0</v>
      </c>
      <c r="K5" s="6">
        <v>5</v>
      </c>
      <c r="L5" s="6">
        <v>7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3</v>
      </c>
      <c r="T5" s="6">
        <v>0</v>
      </c>
      <c r="U5" s="6">
        <v>0</v>
      </c>
      <c r="V5" s="6">
        <v>0</v>
      </c>
    </row>
    <row r="6" spans="1:22" x14ac:dyDescent="0.3">
      <c r="A6" s="6" t="s">
        <v>28</v>
      </c>
      <c r="B6" s="6" t="s">
        <v>48</v>
      </c>
      <c r="E6" s="13" t="str">
        <f>HYPERLINK("./aminoicacid/"&amp;Ligand[[#This Row],[name]]&amp;".png","◆")</f>
        <v>◆</v>
      </c>
      <c r="F6" s="14"/>
      <c r="G6" s="14">
        <v>-2.5</v>
      </c>
      <c r="H6" s="6" t="b">
        <v>1</v>
      </c>
      <c r="I6" s="6" t="b">
        <v>0</v>
      </c>
      <c r="J6" s="6" t="b">
        <v>0</v>
      </c>
      <c r="K6" s="6">
        <v>9</v>
      </c>
      <c r="L6" s="6">
        <v>9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1</v>
      </c>
      <c r="T6" s="6">
        <v>0</v>
      </c>
      <c r="U6" s="6">
        <v>0</v>
      </c>
      <c r="V6" s="6">
        <v>0</v>
      </c>
    </row>
    <row r="7" spans="1:22" x14ac:dyDescent="0.3">
      <c r="A7" s="6" t="s">
        <v>13</v>
      </c>
      <c r="B7" s="6" t="s">
        <v>42</v>
      </c>
      <c r="E7" s="13" t="str">
        <f>HYPERLINK("./aminoicacid/"&amp;Ligand[[#This Row],[name]]&amp;".png","◆")</f>
        <v>◆</v>
      </c>
      <c r="F7" s="14"/>
      <c r="G7" s="14">
        <v>0</v>
      </c>
      <c r="H7" s="6" t="b">
        <v>0</v>
      </c>
      <c r="I7" s="6" t="b">
        <v>0</v>
      </c>
      <c r="J7" s="6" t="b">
        <v>0</v>
      </c>
      <c r="K7" s="6">
        <v>2</v>
      </c>
      <c r="L7" s="6">
        <v>3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1</v>
      </c>
      <c r="T7" s="6">
        <v>0</v>
      </c>
      <c r="U7" s="6">
        <v>0</v>
      </c>
      <c r="V7" s="6">
        <v>0</v>
      </c>
    </row>
    <row r="8" spans="1:22" x14ac:dyDescent="0.3">
      <c r="A8" s="6" t="s">
        <v>15</v>
      </c>
      <c r="B8" s="6" t="s">
        <v>33</v>
      </c>
      <c r="E8" s="13" t="str">
        <f>HYPERLINK("./aminoicacid/"&amp;Ligand[[#This Row],[name]]&amp;".png","◆")</f>
        <v>◆</v>
      </c>
      <c r="F8" s="14">
        <v>6</v>
      </c>
      <c r="G8" s="14">
        <v>-0.5</v>
      </c>
      <c r="H8" s="6" t="b">
        <v>0</v>
      </c>
      <c r="I8" s="6" t="b">
        <v>0</v>
      </c>
      <c r="J8" s="6" t="b">
        <v>1</v>
      </c>
      <c r="K8" s="6">
        <v>6</v>
      </c>
      <c r="L8" s="6">
        <v>7</v>
      </c>
      <c r="M8" s="6">
        <v>0</v>
      </c>
      <c r="N8" s="6">
        <v>0</v>
      </c>
      <c r="O8" s="6">
        <v>0</v>
      </c>
      <c r="P8" s="6">
        <v>0</v>
      </c>
      <c r="Q8" s="6">
        <v>3</v>
      </c>
      <c r="R8" s="6">
        <v>0</v>
      </c>
      <c r="S8" s="6">
        <v>1</v>
      </c>
      <c r="T8" s="6">
        <v>0</v>
      </c>
      <c r="U8" s="6">
        <v>0</v>
      </c>
      <c r="V8" s="6">
        <v>0</v>
      </c>
    </row>
    <row r="9" spans="1:22" x14ac:dyDescent="0.3">
      <c r="A9" s="6" t="s">
        <v>25</v>
      </c>
      <c r="B9" s="6" t="s">
        <v>45</v>
      </c>
      <c r="E9" s="13" t="str">
        <f>HYPERLINK("./aminoicacid/"&amp;Ligand[[#This Row],[name]]&amp;".png","◆")</f>
        <v>◆</v>
      </c>
      <c r="F9" s="14"/>
      <c r="G9" s="14">
        <v>-1.8</v>
      </c>
      <c r="H9" s="6" t="b">
        <v>1</v>
      </c>
      <c r="I9" s="6" t="b">
        <v>0</v>
      </c>
      <c r="J9" s="6" t="b">
        <v>0</v>
      </c>
      <c r="K9" s="6">
        <v>6</v>
      </c>
      <c r="L9" s="6">
        <v>11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1</v>
      </c>
      <c r="T9" s="6">
        <v>0</v>
      </c>
      <c r="U9" s="6">
        <v>0</v>
      </c>
      <c r="V9" s="6">
        <v>0</v>
      </c>
    </row>
    <row r="10" spans="1:22" x14ac:dyDescent="0.3">
      <c r="A10" s="6" t="s">
        <v>16</v>
      </c>
      <c r="B10" s="6" t="s">
        <v>34</v>
      </c>
      <c r="E10" s="13" t="str">
        <f>HYPERLINK("./aminoicacid/"&amp;Ligand[[#This Row],[name]]&amp;".png","◆")</f>
        <v>◆</v>
      </c>
      <c r="F10" s="14">
        <v>10.53</v>
      </c>
      <c r="G10" s="14">
        <v>3</v>
      </c>
      <c r="H10" s="6" t="b">
        <v>0</v>
      </c>
      <c r="I10" s="6" t="b">
        <v>0</v>
      </c>
      <c r="J10" s="6" t="b">
        <v>1</v>
      </c>
      <c r="K10" s="6">
        <v>6</v>
      </c>
      <c r="L10" s="6">
        <v>12</v>
      </c>
      <c r="M10" s="6">
        <v>0</v>
      </c>
      <c r="N10" s="6">
        <v>0</v>
      </c>
      <c r="O10" s="6">
        <v>0</v>
      </c>
      <c r="P10" s="6">
        <v>0</v>
      </c>
      <c r="Q10" s="6">
        <v>2</v>
      </c>
      <c r="R10" s="6">
        <v>0</v>
      </c>
      <c r="S10" s="6">
        <v>1</v>
      </c>
      <c r="T10" s="6">
        <v>0</v>
      </c>
      <c r="U10" s="6">
        <v>0</v>
      </c>
      <c r="V10" s="6">
        <v>0</v>
      </c>
    </row>
    <row r="11" spans="1:22" x14ac:dyDescent="0.3">
      <c r="A11" s="6" t="s">
        <v>26</v>
      </c>
      <c r="B11" s="6" t="s">
        <v>46</v>
      </c>
      <c r="E11" s="13" t="str">
        <f>HYPERLINK("./aminoicacid/"&amp;Ligand[[#This Row],[name]]&amp;".png","◆")</f>
        <v>◆</v>
      </c>
      <c r="F11" s="14"/>
      <c r="G11" s="14">
        <v>-1.8</v>
      </c>
      <c r="H11" s="6" t="b">
        <v>1</v>
      </c>
      <c r="I11" s="6" t="b">
        <v>0</v>
      </c>
      <c r="J11" s="6" t="b">
        <v>0</v>
      </c>
      <c r="K11" s="6">
        <v>6</v>
      </c>
      <c r="L11" s="6">
        <v>11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1</v>
      </c>
      <c r="T11" s="6">
        <v>0</v>
      </c>
      <c r="U11" s="6">
        <v>0</v>
      </c>
      <c r="V11" s="6">
        <v>0</v>
      </c>
    </row>
    <row r="12" spans="1:22" x14ac:dyDescent="0.3">
      <c r="A12" s="6" t="s">
        <v>27</v>
      </c>
      <c r="B12" s="6" t="s">
        <v>47</v>
      </c>
      <c r="E12" s="13" t="str">
        <f>HYPERLINK("./aminoicacid/"&amp;Ligand[[#This Row],[name]]&amp;".png","◆")</f>
        <v>◆</v>
      </c>
      <c r="F12" s="14"/>
      <c r="G12" s="14">
        <v>-1.3</v>
      </c>
      <c r="H12" s="6" t="b">
        <v>1</v>
      </c>
      <c r="I12" s="6" t="b">
        <v>0</v>
      </c>
      <c r="J12" s="6" t="b">
        <v>0</v>
      </c>
      <c r="K12" s="6">
        <v>5</v>
      </c>
      <c r="L12" s="6">
        <v>9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0</v>
      </c>
      <c r="S12" s="6">
        <v>1</v>
      </c>
      <c r="T12" s="6">
        <v>0</v>
      </c>
      <c r="U12" s="6">
        <v>1</v>
      </c>
      <c r="V12" s="6">
        <v>0</v>
      </c>
    </row>
    <row r="13" spans="1:22" x14ac:dyDescent="0.3">
      <c r="A13" s="6" t="s">
        <v>21</v>
      </c>
      <c r="B13" s="6" t="s">
        <v>39</v>
      </c>
      <c r="E13" s="13" t="str">
        <f>HYPERLINK("./aminoicacid/"&amp;Ligand[[#This Row],[name]]&amp;".png","◆")</f>
        <v>◆</v>
      </c>
      <c r="F13" s="14"/>
      <c r="G13" s="14">
        <v>0.2</v>
      </c>
      <c r="H13" s="6" t="b">
        <v>0</v>
      </c>
      <c r="I13" s="6" t="b">
        <v>0</v>
      </c>
      <c r="J13" s="6" t="b">
        <v>0</v>
      </c>
      <c r="K13" s="6">
        <v>4</v>
      </c>
      <c r="L13" s="6">
        <v>6</v>
      </c>
      <c r="M13" s="6">
        <v>0</v>
      </c>
      <c r="N13" s="6">
        <v>0</v>
      </c>
      <c r="O13" s="6">
        <v>0</v>
      </c>
      <c r="P13" s="6">
        <v>0</v>
      </c>
      <c r="Q13" s="6">
        <v>2</v>
      </c>
      <c r="R13" s="6">
        <v>0</v>
      </c>
      <c r="S13" s="6">
        <v>2</v>
      </c>
      <c r="T13" s="6">
        <v>0</v>
      </c>
      <c r="U13" s="6">
        <v>0</v>
      </c>
      <c r="V13" s="6">
        <v>0</v>
      </c>
    </row>
    <row r="14" spans="1:22" x14ac:dyDescent="0.3">
      <c r="A14" s="6" t="s">
        <v>24</v>
      </c>
      <c r="B14" s="6" t="s">
        <v>43</v>
      </c>
      <c r="E14" s="13" t="str">
        <f>HYPERLINK("./aminoicacid/"&amp;Ligand[[#This Row],[name]]&amp;".png","◆")</f>
        <v>◆</v>
      </c>
      <c r="F14" s="14"/>
      <c r="G14" s="14">
        <v>0</v>
      </c>
      <c r="H14" s="6" t="b">
        <v>0</v>
      </c>
      <c r="I14" s="6" t="b">
        <v>0</v>
      </c>
      <c r="J14" s="6" t="b">
        <v>0</v>
      </c>
      <c r="K14" s="6">
        <v>5</v>
      </c>
      <c r="L14" s="6">
        <v>7</v>
      </c>
      <c r="M14" s="6">
        <v>0</v>
      </c>
      <c r="N14" s="6">
        <v>0</v>
      </c>
      <c r="O14" s="6">
        <v>0</v>
      </c>
      <c r="P14" s="6">
        <v>0</v>
      </c>
      <c r="Q14" s="6">
        <v>1</v>
      </c>
      <c r="R14" s="6">
        <v>0</v>
      </c>
      <c r="S14" s="6">
        <v>1</v>
      </c>
      <c r="T14" s="6">
        <v>0</v>
      </c>
      <c r="U14" s="6">
        <v>0</v>
      </c>
      <c r="V14" s="6">
        <v>0</v>
      </c>
    </row>
    <row r="15" spans="1:22" x14ac:dyDescent="0.3">
      <c r="A15" s="6" t="s">
        <v>22</v>
      </c>
      <c r="B15" s="6" t="s">
        <v>40</v>
      </c>
      <c r="E15" s="13" t="str">
        <f>HYPERLINK("./aminoicacid/"&amp;Ligand[[#This Row],[name]]&amp;".png","◆")</f>
        <v>◆</v>
      </c>
      <c r="F15" s="14"/>
      <c r="G15" s="14">
        <v>0.2</v>
      </c>
      <c r="H15" s="6" t="b">
        <v>0</v>
      </c>
      <c r="I15" s="6" t="b">
        <v>0</v>
      </c>
      <c r="J15" s="6" t="b">
        <v>0</v>
      </c>
      <c r="K15" s="6">
        <v>5</v>
      </c>
      <c r="L15" s="6">
        <v>8</v>
      </c>
      <c r="M15" s="6">
        <v>0</v>
      </c>
      <c r="N15" s="6">
        <v>0</v>
      </c>
      <c r="O15" s="6">
        <v>0</v>
      </c>
      <c r="P15" s="6">
        <v>0</v>
      </c>
      <c r="Q15" s="6">
        <v>2</v>
      </c>
      <c r="R15" s="6">
        <v>0</v>
      </c>
      <c r="S15" s="6">
        <v>2</v>
      </c>
      <c r="T15" s="6">
        <v>0</v>
      </c>
      <c r="U15" s="6">
        <v>0</v>
      </c>
      <c r="V15" s="6">
        <v>0</v>
      </c>
    </row>
    <row r="16" spans="1:22" x14ac:dyDescent="0.3">
      <c r="A16" s="6" t="s">
        <v>14</v>
      </c>
      <c r="B16" s="6" t="s">
        <v>32</v>
      </c>
      <c r="E16" s="13" t="str">
        <f>HYPERLINK("./aminoicacid/"&amp;Ligand[[#This Row],[name]]&amp;".png","◆")</f>
        <v>◆</v>
      </c>
      <c r="F16" s="14">
        <v>12.48</v>
      </c>
      <c r="G16" s="14">
        <v>3</v>
      </c>
      <c r="H16" s="6" t="b">
        <v>0</v>
      </c>
      <c r="I16" s="6" t="b">
        <v>0</v>
      </c>
      <c r="J16" s="6" t="b">
        <v>1</v>
      </c>
      <c r="K16" s="6">
        <v>6</v>
      </c>
      <c r="L16" s="6">
        <v>12</v>
      </c>
      <c r="M16" s="6">
        <v>0</v>
      </c>
      <c r="N16" s="6">
        <v>0</v>
      </c>
      <c r="O16" s="6">
        <v>0</v>
      </c>
      <c r="P16" s="6">
        <v>0</v>
      </c>
      <c r="Q16" s="6">
        <v>4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</row>
    <row r="17" spans="1:22" x14ac:dyDescent="0.3">
      <c r="A17" s="6" t="s">
        <v>19</v>
      </c>
      <c r="B17" s="6" t="s">
        <v>37</v>
      </c>
      <c r="E17" s="13" t="str">
        <f>HYPERLINK("./aminoicacid/"&amp;Ligand[[#This Row],[name]]&amp;".png","◆")</f>
        <v>◆</v>
      </c>
      <c r="F17" s="14"/>
      <c r="G17" s="14">
        <v>0.3</v>
      </c>
      <c r="H17" s="6" t="b">
        <v>0</v>
      </c>
      <c r="I17" s="6" t="b">
        <v>0</v>
      </c>
      <c r="J17" s="6" t="b">
        <v>0</v>
      </c>
      <c r="K17" s="6">
        <v>3</v>
      </c>
      <c r="L17" s="6">
        <v>5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6">
        <v>2</v>
      </c>
      <c r="T17" s="6">
        <v>0</v>
      </c>
      <c r="U17" s="6">
        <v>0</v>
      </c>
      <c r="V17" s="6">
        <v>0</v>
      </c>
    </row>
    <row r="18" spans="1:22" x14ac:dyDescent="0.3">
      <c r="A18" s="6" t="s">
        <v>20</v>
      </c>
      <c r="B18" s="6" t="s">
        <v>38</v>
      </c>
      <c r="E18" s="13" t="str">
        <f>HYPERLINK("./aminoicacid/"&amp;Ligand[[#This Row],[name]]&amp;".png","◆")</f>
        <v>◆</v>
      </c>
      <c r="F18" s="14"/>
      <c r="G18" s="14">
        <v>-0.4</v>
      </c>
      <c r="H18" s="6" t="b">
        <v>0</v>
      </c>
      <c r="I18" s="6" t="b">
        <v>0</v>
      </c>
      <c r="J18" s="6" t="b">
        <v>0</v>
      </c>
      <c r="K18" s="6">
        <v>4</v>
      </c>
      <c r="L18" s="6">
        <v>7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0</v>
      </c>
      <c r="S18" s="6">
        <v>2</v>
      </c>
      <c r="T18" s="6">
        <v>0</v>
      </c>
      <c r="U18" s="6">
        <v>0</v>
      </c>
      <c r="V18" s="6">
        <v>0</v>
      </c>
    </row>
    <row r="19" spans="1:22" x14ac:dyDescent="0.3">
      <c r="A19" s="6" t="s">
        <v>31</v>
      </c>
      <c r="B19" s="6" t="s">
        <v>51</v>
      </c>
      <c r="E19" s="13" t="str">
        <f>HYPERLINK("./aminoicacid/"&amp;Ligand[[#This Row],[name]]&amp;".png","◆")</f>
        <v>◆</v>
      </c>
      <c r="F19" s="14"/>
      <c r="G19" s="14">
        <v>-1.5</v>
      </c>
      <c r="H19" s="6" t="b">
        <v>1</v>
      </c>
      <c r="I19" s="6" t="b">
        <v>0</v>
      </c>
      <c r="J19" s="6" t="b">
        <v>0</v>
      </c>
      <c r="K19" s="6">
        <v>5</v>
      </c>
      <c r="L19" s="6">
        <v>9</v>
      </c>
      <c r="M19" s="6">
        <v>0</v>
      </c>
      <c r="N19" s="6">
        <v>0</v>
      </c>
      <c r="O19" s="6">
        <v>0</v>
      </c>
      <c r="P19" s="6">
        <v>0</v>
      </c>
      <c r="Q19" s="6">
        <v>1</v>
      </c>
      <c r="R19" s="6">
        <v>0</v>
      </c>
      <c r="S19" s="6">
        <v>1</v>
      </c>
      <c r="T19" s="6">
        <v>0</v>
      </c>
      <c r="U19" s="6">
        <v>0</v>
      </c>
      <c r="V19" s="6">
        <v>0</v>
      </c>
    </row>
    <row r="20" spans="1:22" x14ac:dyDescent="0.3">
      <c r="A20" s="6" t="s">
        <v>29</v>
      </c>
      <c r="B20" s="6" t="s">
        <v>49</v>
      </c>
      <c r="D20" s="6">
        <v>5500</v>
      </c>
      <c r="E20" s="13" t="str">
        <f>HYPERLINK("./aminoicacid/"&amp;Ligand[[#This Row],[name]]&amp;".png","◆")</f>
        <v>◆</v>
      </c>
      <c r="F20" s="14"/>
      <c r="G20" s="14">
        <v>-3.4</v>
      </c>
      <c r="H20" s="6" t="b">
        <v>1</v>
      </c>
      <c r="I20" s="6" t="b">
        <v>0</v>
      </c>
      <c r="J20" s="6" t="b">
        <v>0</v>
      </c>
      <c r="K20" s="6">
        <v>11</v>
      </c>
      <c r="L20" s="6">
        <v>10</v>
      </c>
      <c r="M20" s="6">
        <v>0</v>
      </c>
      <c r="N20" s="6">
        <v>0</v>
      </c>
      <c r="O20" s="6">
        <v>0</v>
      </c>
      <c r="P20" s="6">
        <v>0</v>
      </c>
      <c r="Q20" s="6">
        <v>2</v>
      </c>
      <c r="R20" s="6">
        <v>0</v>
      </c>
      <c r="S20" s="6">
        <v>1</v>
      </c>
      <c r="T20" s="6">
        <v>0</v>
      </c>
      <c r="U20" s="6">
        <v>0</v>
      </c>
      <c r="V20" s="6">
        <v>0</v>
      </c>
    </row>
    <row r="21" spans="1:22" x14ac:dyDescent="0.3">
      <c r="A21" s="6" t="s">
        <v>30</v>
      </c>
      <c r="B21" s="6" t="s">
        <v>50</v>
      </c>
      <c r="D21" s="6">
        <v>1490</v>
      </c>
      <c r="E21" s="13" t="str">
        <f>HYPERLINK("./aminoicacid/"&amp;Ligand[[#This Row],[name]]&amp;".png","◆")</f>
        <v>◆</v>
      </c>
      <c r="F21" s="14">
        <v>10.07</v>
      </c>
      <c r="G21" s="14">
        <v>-2.2999999999999998</v>
      </c>
      <c r="H21" s="6" t="b">
        <v>0</v>
      </c>
      <c r="I21" s="6" t="b">
        <v>0</v>
      </c>
      <c r="J21" s="6" t="b">
        <v>0</v>
      </c>
      <c r="K21" s="6">
        <v>9</v>
      </c>
      <c r="L21" s="6">
        <v>9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2</v>
      </c>
      <c r="T21" s="6">
        <v>0</v>
      </c>
      <c r="U21" s="6">
        <v>0</v>
      </c>
      <c r="V21" s="6">
        <v>0</v>
      </c>
    </row>
    <row r="22" spans="1:22" x14ac:dyDescent="0.3">
      <c r="A22" s="6" t="s">
        <v>210</v>
      </c>
      <c r="B22" s="6" t="s">
        <v>229</v>
      </c>
      <c r="E22" s="13" t="str">
        <f>HYPERLINK("./aminoicacid/"&amp;Ligand[[#This Row],[name]]&amp;".png","◆")</f>
        <v>◆</v>
      </c>
      <c r="F22" s="14"/>
      <c r="G22" s="14">
        <v>-0.5</v>
      </c>
      <c r="H22" s="6" t="b">
        <v>1</v>
      </c>
      <c r="I22" s="6" t="b">
        <v>0</v>
      </c>
      <c r="J22" s="6" t="b">
        <v>0</v>
      </c>
      <c r="K22" s="6">
        <v>3</v>
      </c>
      <c r="L22" s="6">
        <v>5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1</v>
      </c>
      <c r="T22" s="6">
        <v>0</v>
      </c>
      <c r="U22" s="6">
        <v>0</v>
      </c>
      <c r="V22" s="6">
        <v>0</v>
      </c>
    </row>
    <row r="23" spans="1:22" x14ac:dyDescent="0.3">
      <c r="A23" s="6" t="s">
        <v>211</v>
      </c>
      <c r="B23" s="6" t="s">
        <v>230</v>
      </c>
      <c r="D23" s="6">
        <v>125</v>
      </c>
      <c r="E23" s="13" t="str">
        <f>HYPERLINK("./aminoicacid/"&amp;Ligand[[#This Row],[name]]&amp;".png","◆")</f>
        <v>◆</v>
      </c>
      <c r="F23" s="14"/>
      <c r="G23" s="14">
        <v>-1</v>
      </c>
      <c r="H23" s="6" t="b">
        <v>0</v>
      </c>
      <c r="I23" s="6" t="b">
        <v>0</v>
      </c>
      <c r="J23" s="6" t="b">
        <v>0</v>
      </c>
      <c r="K23" s="6">
        <v>3</v>
      </c>
      <c r="L23" s="6">
        <v>5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0</v>
      </c>
      <c r="S23" s="6">
        <v>1</v>
      </c>
      <c r="T23" s="6">
        <v>0</v>
      </c>
      <c r="U23" s="6">
        <v>1</v>
      </c>
      <c r="V23" s="6">
        <v>0</v>
      </c>
    </row>
    <row r="24" spans="1:22" x14ac:dyDescent="0.3">
      <c r="A24" s="6" t="s">
        <v>212</v>
      </c>
      <c r="B24" s="6" t="s">
        <v>231</v>
      </c>
      <c r="E24" s="13" t="str">
        <f>HYPERLINK("./aminoicacid/"&amp;Ligand[[#This Row],[name]]&amp;".png","◆")</f>
        <v>◆</v>
      </c>
      <c r="F24" s="14"/>
      <c r="G24" s="14">
        <v>3</v>
      </c>
      <c r="H24" s="6" t="b">
        <v>0</v>
      </c>
      <c r="I24" s="6" t="b">
        <v>0</v>
      </c>
      <c r="J24" s="6" t="b">
        <v>0</v>
      </c>
      <c r="K24" s="6">
        <v>4</v>
      </c>
      <c r="L24" s="6">
        <v>5</v>
      </c>
      <c r="M24" s="6">
        <v>0</v>
      </c>
      <c r="N24" s="6">
        <v>0</v>
      </c>
      <c r="O24" s="6">
        <v>0</v>
      </c>
      <c r="P24" s="6">
        <v>0</v>
      </c>
      <c r="Q24" s="6">
        <v>1</v>
      </c>
      <c r="R24" s="6">
        <v>0</v>
      </c>
      <c r="S24" s="6">
        <v>3</v>
      </c>
      <c r="T24" s="6">
        <v>0</v>
      </c>
      <c r="U24" s="6">
        <v>0</v>
      </c>
      <c r="V24" s="6">
        <v>0</v>
      </c>
    </row>
    <row r="25" spans="1:22" x14ac:dyDescent="0.3">
      <c r="A25" s="6" t="s">
        <v>213</v>
      </c>
      <c r="B25" s="6" t="s">
        <v>232</v>
      </c>
      <c r="E25" s="13" t="str">
        <f>HYPERLINK("./aminoicacid/"&amp;Ligand[[#This Row],[name]]&amp;".png","◆")</f>
        <v>◆</v>
      </c>
      <c r="F25" s="14"/>
      <c r="G25" s="14">
        <v>3</v>
      </c>
      <c r="H25" s="6" t="b">
        <v>0</v>
      </c>
      <c r="I25" s="6" t="b">
        <v>0</v>
      </c>
      <c r="J25" s="6" t="b">
        <v>0</v>
      </c>
      <c r="K25" s="6">
        <v>5</v>
      </c>
      <c r="L25" s="6">
        <v>7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3</v>
      </c>
      <c r="T25" s="6">
        <v>0</v>
      </c>
      <c r="U25" s="6">
        <v>0</v>
      </c>
      <c r="V25" s="6">
        <v>0</v>
      </c>
    </row>
    <row r="26" spans="1:22" x14ac:dyDescent="0.3">
      <c r="A26" s="6" t="s">
        <v>214</v>
      </c>
      <c r="B26" s="6" t="s">
        <v>233</v>
      </c>
      <c r="E26" s="13" t="str">
        <f>HYPERLINK("./aminoicacid/"&amp;Ligand[[#This Row],[name]]&amp;".png","◆")</f>
        <v>◆</v>
      </c>
      <c r="F26" s="14"/>
      <c r="G26" s="14">
        <v>-2.5</v>
      </c>
      <c r="H26" s="6" t="b">
        <v>1</v>
      </c>
      <c r="I26" s="6" t="b">
        <v>0</v>
      </c>
      <c r="J26" s="6" t="b">
        <v>0</v>
      </c>
      <c r="K26" s="6">
        <v>9</v>
      </c>
      <c r="L26" s="6">
        <v>9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1</v>
      </c>
      <c r="T26" s="6">
        <v>0</v>
      </c>
      <c r="U26" s="6">
        <v>0</v>
      </c>
      <c r="V26" s="6">
        <v>0</v>
      </c>
    </row>
    <row r="27" spans="1:22" x14ac:dyDescent="0.3">
      <c r="A27" s="6" t="s">
        <v>215</v>
      </c>
      <c r="B27" s="6" t="s">
        <v>234</v>
      </c>
      <c r="E27" s="13" t="str">
        <f>HYPERLINK("./aminoicacid/"&amp;Ligand[[#This Row],[name]]&amp;".png","◆")</f>
        <v>◆</v>
      </c>
      <c r="F27" s="14"/>
      <c r="G27" s="14">
        <v>-0.5</v>
      </c>
      <c r="H27" s="6" t="b">
        <v>0</v>
      </c>
      <c r="I27" s="6" t="b">
        <v>0</v>
      </c>
      <c r="J27" s="6" t="b">
        <v>1</v>
      </c>
      <c r="K27" s="6">
        <v>6</v>
      </c>
      <c r="L27" s="6">
        <v>7</v>
      </c>
      <c r="M27" s="6">
        <v>0</v>
      </c>
      <c r="N27" s="6">
        <v>0</v>
      </c>
      <c r="O27" s="6">
        <v>0</v>
      </c>
      <c r="P27" s="6">
        <v>0</v>
      </c>
      <c r="Q27" s="6">
        <v>3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</row>
    <row r="28" spans="1:22" x14ac:dyDescent="0.3">
      <c r="A28" s="6" t="s">
        <v>216</v>
      </c>
      <c r="B28" s="6" t="s">
        <v>235</v>
      </c>
      <c r="E28" s="13" t="str">
        <f>HYPERLINK("./aminoicacid/"&amp;Ligand[[#This Row],[name]]&amp;".png","◆")</f>
        <v>◆</v>
      </c>
      <c r="F28" s="14"/>
      <c r="G28" s="14">
        <v>-1.8</v>
      </c>
      <c r="H28" s="6" t="b">
        <v>1</v>
      </c>
      <c r="I28" s="6" t="b">
        <v>0</v>
      </c>
      <c r="J28" s="6" t="b">
        <v>0</v>
      </c>
      <c r="K28" s="6">
        <v>6</v>
      </c>
      <c r="L28" s="6">
        <v>11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  <c r="S28" s="6">
        <v>1</v>
      </c>
      <c r="T28" s="6">
        <v>0</v>
      </c>
      <c r="U28" s="6">
        <v>0</v>
      </c>
      <c r="V28" s="6">
        <v>0</v>
      </c>
    </row>
    <row r="29" spans="1:22" x14ac:dyDescent="0.3">
      <c r="A29" s="6" t="s">
        <v>217</v>
      </c>
      <c r="B29" s="6" t="s">
        <v>236</v>
      </c>
      <c r="E29" s="13" t="str">
        <f>HYPERLINK("./aminoicacid/"&amp;Ligand[[#This Row],[name]]&amp;".png","◆")</f>
        <v>◆</v>
      </c>
      <c r="F29" s="14"/>
      <c r="G29" s="14">
        <v>3</v>
      </c>
      <c r="H29" s="6" t="b">
        <v>0</v>
      </c>
      <c r="I29" s="6" t="b">
        <v>0</v>
      </c>
      <c r="J29" s="6" t="b">
        <v>1</v>
      </c>
      <c r="K29" s="6">
        <v>5</v>
      </c>
      <c r="L29" s="6">
        <v>10</v>
      </c>
      <c r="M29" s="6">
        <v>0</v>
      </c>
      <c r="N29" s="6">
        <v>0</v>
      </c>
      <c r="O29" s="6">
        <v>0</v>
      </c>
      <c r="P29" s="6">
        <v>0</v>
      </c>
      <c r="Q29" s="6">
        <v>2</v>
      </c>
      <c r="R29" s="6">
        <v>0</v>
      </c>
      <c r="S29" s="6">
        <v>1</v>
      </c>
      <c r="T29" s="6">
        <v>0</v>
      </c>
      <c r="U29" s="6">
        <v>0</v>
      </c>
      <c r="V29" s="6">
        <v>0</v>
      </c>
    </row>
    <row r="30" spans="1:22" x14ac:dyDescent="0.3">
      <c r="A30" s="6" t="s">
        <v>218</v>
      </c>
      <c r="B30" s="6" t="s">
        <v>237</v>
      </c>
      <c r="E30" s="13" t="str">
        <f>HYPERLINK("./aminoicacid/"&amp;Ligand[[#This Row],[name]]&amp;".png","◆")</f>
        <v>◆</v>
      </c>
      <c r="F30" s="14"/>
      <c r="G30" s="14">
        <v>-1.8</v>
      </c>
      <c r="H30" s="6" t="b">
        <v>1</v>
      </c>
      <c r="I30" s="6" t="b">
        <v>0</v>
      </c>
      <c r="J30" s="6" t="b">
        <v>0</v>
      </c>
      <c r="K30" s="6">
        <v>6</v>
      </c>
      <c r="L30" s="6">
        <v>11</v>
      </c>
      <c r="M30" s="6">
        <v>0</v>
      </c>
      <c r="N30" s="6">
        <v>0</v>
      </c>
      <c r="O30" s="6">
        <v>0</v>
      </c>
      <c r="P30" s="6">
        <v>0</v>
      </c>
      <c r="Q30" s="6">
        <v>1</v>
      </c>
      <c r="R30" s="6">
        <v>0</v>
      </c>
      <c r="S30" s="6">
        <v>1</v>
      </c>
      <c r="T30" s="6">
        <v>0</v>
      </c>
      <c r="U30" s="6">
        <v>0</v>
      </c>
      <c r="V30" s="6">
        <v>0</v>
      </c>
    </row>
    <row r="31" spans="1:22" x14ac:dyDescent="0.3">
      <c r="A31" s="6" t="s">
        <v>219</v>
      </c>
      <c r="B31" s="6" t="s">
        <v>238</v>
      </c>
      <c r="E31" s="13" t="str">
        <f>HYPERLINK("./aminoicacid/"&amp;Ligand[[#This Row],[name]]&amp;".png","◆")</f>
        <v>◆</v>
      </c>
      <c r="F31" s="14"/>
      <c r="G31" s="14">
        <v>-1.3</v>
      </c>
      <c r="H31" s="6" t="b">
        <v>1</v>
      </c>
      <c r="I31" s="6" t="b">
        <v>0</v>
      </c>
      <c r="J31" s="6" t="b">
        <v>0</v>
      </c>
      <c r="K31" s="6">
        <v>5</v>
      </c>
      <c r="L31" s="6">
        <v>9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0</v>
      </c>
      <c r="S31" s="6">
        <v>1</v>
      </c>
      <c r="T31" s="6">
        <v>0</v>
      </c>
      <c r="U31" s="6">
        <v>1</v>
      </c>
      <c r="V31" s="6">
        <v>0</v>
      </c>
    </row>
    <row r="32" spans="1:22" x14ac:dyDescent="0.3">
      <c r="A32" s="6" t="s">
        <v>220</v>
      </c>
      <c r="B32" s="6" t="s">
        <v>239</v>
      </c>
      <c r="E32" s="13" t="str">
        <f>HYPERLINK("./aminoicacid/"&amp;Ligand[[#This Row],[name]]&amp;".png","◆")</f>
        <v>◆</v>
      </c>
      <c r="F32" s="14"/>
      <c r="G32" s="14">
        <v>0.2</v>
      </c>
      <c r="H32" s="6" t="b">
        <v>0</v>
      </c>
      <c r="I32" s="6" t="b">
        <v>0</v>
      </c>
      <c r="J32" s="6" t="b">
        <v>0</v>
      </c>
      <c r="K32" s="6">
        <v>4</v>
      </c>
      <c r="L32" s="6">
        <v>6</v>
      </c>
      <c r="M32" s="6">
        <v>0</v>
      </c>
      <c r="N32" s="6">
        <v>0</v>
      </c>
      <c r="O32" s="6">
        <v>0</v>
      </c>
      <c r="P32" s="6">
        <v>0</v>
      </c>
      <c r="Q32" s="6">
        <v>2</v>
      </c>
      <c r="R32" s="6">
        <v>0</v>
      </c>
      <c r="S32" s="6">
        <v>2</v>
      </c>
      <c r="T32" s="6">
        <v>0</v>
      </c>
      <c r="U32" s="6">
        <v>0</v>
      </c>
      <c r="V32" s="6">
        <v>0</v>
      </c>
    </row>
    <row r="33" spans="1:22" x14ac:dyDescent="0.3">
      <c r="A33" s="6" t="s">
        <v>221</v>
      </c>
      <c r="B33" s="6" t="s">
        <v>240</v>
      </c>
      <c r="E33" s="13" t="str">
        <f>HYPERLINK("./aminoicacid/"&amp;Ligand[[#This Row],[name]]&amp;".png","◆")</f>
        <v>◆</v>
      </c>
      <c r="F33" s="14"/>
      <c r="G33" s="14">
        <v>0</v>
      </c>
      <c r="H33" s="6" t="b">
        <v>0</v>
      </c>
      <c r="I33" s="6" t="b">
        <v>0</v>
      </c>
      <c r="J33" s="6" t="b">
        <v>0</v>
      </c>
      <c r="K33" s="6">
        <v>5</v>
      </c>
      <c r="L33" s="6">
        <v>7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1</v>
      </c>
      <c r="T33" s="6">
        <v>0</v>
      </c>
      <c r="U33" s="6">
        <v>0</v>
      </c>
      <c r="V33" s="6">
        <v>0</v>
      </c>
    </row>
    <row r="34" spans="1:22" x14ac:dyDescent="0.3">
      <c r="A34" s="6" t="s">
        <v>222</v>
      </c>
      <c r="B34" s="6" t="s">
        <v>241</v>
      </c>
      <c r="E34" s="13" t="str">
        <f>HYPERLINK("./aminoicacid/"&amp;Ligand[[#This Row],[name]]&amp;".png","◆")</f>
        <v>◆</v>
      </c>
      <c r="F34" s="14"/>
      <c r="G34" s="14">
        <v>0.2</v>
      </c>
      <c r="H34" s="6" t="b">
        <v>0</v>
      </c>
      <c r="I34" s="6" t="b">
        <v>0</v>
      </c>
      <c r="J34" s="6" t="b">
        <v>0</v>
      </c>
      <c r="K34" s="6">
        <v>5</v>
      </c>
      <c r="L34" s="6">
        <v>8</v>
      </c>
      <c r="M34" s="6">
        <v>0</v>
      </c>
      <c r="N34" s="6">
        <v>0</v>
      </c>
      <c r="O34" s="6">
        <v>0</v>
      </c>
      <c r="P34" s="6">
        <v>0</v>
      </c>
      <c r="Q34" s="6">
        <v>2</v>
      </c>
      <c r="R34" s="6">
        <v>0</v>
      </c>
      <c r="S34" s="6">
        <v>2</v>
      </c>
      <c r="T34" s="6">
        <v>0</v>
      </c>
      <c r="U34" s="6">
        <v>0</v>
      </c>
      <c r="V34" s="6">
        <v>0</v>
      </c>
    </row>
    <row r="35" spans="1:22" x14ac:dyDescent="0.3">
      <c r="A35" s="6" t="s">
        <v>223</v>
      </c>
      <c r="B35" s="6" t="s">
        <v>242</v>
      </c>
      <c r="E35" s="13" t="str">
        <f>HYPERLINK("./aminoicacid/"&amp;Ligand[[#This Row],[name]]&amp;".png","◆")</f>
        <v>◆</v>
      </c>
      <c r="F35" s="14"/>
      <c r="G35" s="14">
        <v>3</v>
      </c>
      <c r="H35" s="6" t="b">
        <v>0</v>
      </c>
      <c r="I35" s="6" t="b">
        <v>0</v>
      </c>
      <c r="J35" s="6" t="b">
        <v>1</v>
      </c>
      <c r="K35" s="6">
        <v>6</v>
      </c>
      <c r="L35" s="6">
        <v>12</v>
      </c>
      <c r="M35" s="6">
        <v>0</v>
      </c>
      <c r="N35" s="6">
        <v>0</v>
      </c>
      <c r="O35" s="6">
        <v>0</v>
      </c>
      <c r="P35" s="6">
        <v>0</v>
      </c>
      <c r="Q35" s="6">
        <v>4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</row>
    <row r="36" spans="1:22" x14ac:dyDescent="0.3">
      <c r="A36" s="6" t="s">
        <v>224</v>
      </c>
      <c r="B36" s="6" t="s">
        <v>243</v>
      </c>
      <c r="E36" s="13" t="str">
        <f>HYPERLINK("./aminoicacid/"&amp;Ligand[[#This Row],[name]]&amp;".png","◆")</f>
        <v>◆</v>
      </c>
      <c r="F36" s="14"/>
      <c r="G36" s="14">
        <v>0.3</v>
      </c>
      <c r="H36" s="6" t="b">
        <v>0</v>
      </c>
      <c r="I36" s="6" t="b">
        <v>0</v>
      </c>
      <c r="J36" s="6" t="b">
        <v>0</v>
      </c>
      <c r="K36" s="6">
        <v>3</v>
      </c>
      <c r="L36" s="6">
        <v>5</v>
      </c>
      <c r="M36" s="6">
        <v>0</v>
      </c>
      <c r="N36" s="6">
        <v>0</v>
      </c>
      <c r="O36" s="6">
        <v>0</v>
      </c>
      <c r="P36" s="6">
        <v>0</v>
      </c>
      <c r="Q36" s="6">
        <v>1</v>
      </c>
      <c r="R36" s="6">
        <v>0</v>
      </c>
      <c r="S36" s="6">
        <v>2</v>
      </c>
      <c r="T36" s="6">
        <v>0</v>
      </c>
      <c r="U36" s="6">
        <v>0</v>
      </c>
      <c r="V36" s="6">
        <v>0</v>
      </c>
    </row>
    <row r="37" spans="1:22" x14ac:dyDescent="0.3">
      <c r="A37" s="6" t="s">
        <v>225</v>
      </c>
      <c r="B37" s="6" t="s">
        <v>244</v>
      </c>
      <c r="E37" s="13" t="str">
        <f>HYPERLINK("./aminoicacid/"&amp;Ligand[[#This Row],[name]]&amp;".png","◆")</f>
        <v>◆</v>
      </c>
      <c r="F37" s="14"/>
      <c r="G37" s="14">
        <v>-0.4</v>
      </c>
      <c r="H37" s="6" t="b">
        <v>0</v>
      </c>
      <c r="I37" s="6" t="b">
        <v>0</v>
      </c>
      <c r="J37" s="6" t="b">
        <v>0</v>
      </c>
      <c r="K37" s="6">
        <v>4</v>
      </c>
      <c r="L37" s="6">
        <v>7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2</v>
      </c>
      <c r="T37" s="6">
        <v>0</v>
      </c>
      <c r="U37" s="6">
        <v>0</v>
      </c>
      <c r="V37" s="6">
        <v>0</v>
      </c>
    </row>
    <row r="38" spans="1:22" x14ac:dyDescent="0.3">
      <c r="A38" s="6" t="s">
        <v>226</v>
      </c>
      <c r="B38" s="6" t="s">
        <v>245</v>
      </c>
      <c r="E38" s="13" t="str">
        <f>HYPERLINK("./aminoicacid/"&amp;Ligand[[#This Row],[name]]&amp;".png","◆")</f>
        <v>◆</v>
      </c>
      <c r="F38" s="14"/>
      <c r="G38" s="14">
        <v>-1.5</v>
      </c>
      <c r="H38" s="6" t="b">
        <v>1</v>
      </c>
      <c r="I38" s="6" t="b">
        <v>0</v>
      </c>
      <c r="J38" s="6" t="b">
        <v>0</v>
      </c>
      <c r="K38" s="6">
        <v>5</v>
      </c>
      <c r="L38" s="6">
        <v>9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</row>
    <row r="39" spans="1:22" x14ac:dyDescent="0.3">
      <c r="A39" s="6" t="s">
        <v>227</v>
      </c>
      <c r="B39" s="6" t="s">
        <v>246</v>
      </c>
      <c r="D39" s="6">
        <v>5500</v>
      </c>
      <c r="E39" s="13" t="str">
        <f>HYPERLINK("./aminoicacid/"&amp;Ligand[[#This Row],[name]]&amp;".png","◆")</f>
        <v>◆</v>
      </c>
      <c r="F39" s="14"/>
      <c r="G39" s="14">
        <v>-3.4</v>
      </c>
      <c r="H39" s="6" t="b">
        <v>1</v>
      </c>
      <c r="I39" s="6" t="b">
        <v>0</v>
      </c>
      <c r="J39" s="6" t="b">
        <v>0</v>
      </c>
      <c r="K39" s="6">
        <v>11</v>
      </c>
      <c r="L39" s="6">
        <v>10</v>
      </c>
      <c r="M39" s="6">
        <v>0</v>
      </c>
      <c r="N39" s="6">
        <v>0</v>
      </c>
      <c r="O39" s="6">
        <v>0</v>
      </c>
      <c r="P39" s="6">
        <v>0</v>
      </c>
      <c r="Q39" s="6">
        <v>2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</row>
    <row r="40" spans="1:22" x14ac:dyDescent="0.3">
      <c r="A40" s="6" t="s">
        <v>228</v>
      </c>
      <c r="B40" s="6" t="s">
        <v>247</v>
      </c>
      <c r="D40" s="6">
        <v>1490</v>
      </c>
      <c r="E40" s="13" t="str">
        <f>HYPERLINK("./aminoicacid/"&amp;Ligand[[#This Row],[name]]&amp;".png","◆")</f>
        <v>◆</v>
      </c>
      <c r="F40" s="14"/>
      <c r="G40" s="14">
        <v>-2.2999999999999998</v>
      </c>
      <c r="H40" s="6" t="b">
        <v>0</v>
      </c>
      <c r="I40" s="6" t="b">
        <v>0</v>
      </c>
      <c r="J40" s="6" t="b">
        <v>0</v>
      </c>
      <c r="K40" s="6">
        <v>9</v>
      </c>
      <c r="L40" s="6">
        <v>9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2</v>
      </c>
      <c r="T40" s="6">
        <v>0</v>
      </c>
      <c r="U40" s="6">
        <v>0</v>
      </c>
      <c r="V40" s="6">
        <v>0</v>
      </c>
    </row>
    <row r="41" spans="1:22" x14ac:dyDescent="0.3">
      <c r="A41" s="6" t="s">
        <v>73</v>
      </c>
      <c r="B41" s="6" t="s">
        <v>73</v>
      </c>
      <c r="E41" s="13" t="str">
        <f>HYPERLINK("./aminoicacid/"&amp;Ligand[[#This Row],[name]]&amp;".png","◆")</f>
        <v>◆</v>
      </c>
      <c r="F41" s="14"/>
      <c r="G41" s="14"/>
      <c r="H41" s="6" t="b">
        <v>0</v>
      </c>
      <c r="I41" s="6" t="b">
        <v>0</v>
      </c>
      <c r="J41" s="6" t="b">
        <v>0</v>
      </c>
      <c r="K41" s="6">
        <v>4</v>
      </c>
      <c r="L41" s="6">
        <v>7</v>
      </c>
      <c r="M41" s="6">
        <v>0</v>
      </c>
      <c r="N41" s="6">
        <v>0</v>
      </c>
      <c r="O41" s="6">
        <v>0</v>
      </c>
      <c r="P41" s="6">
        <v>0</v>
      </c>
      <c r="Q41" s="6">
        <v>1</v>
      </c>
      <c r="R41" s="6">
        <v>0</v>
      </c>
      <c r="S41" s="6">
        <v>1</v>
      </c>
      <c r="T41" s="6">
        <v>0</v>
      </c>
      <c r="U41" s="6">
        <v>0</v>
      </c>
      <c r="V41" s="6">
        <v>0</v>
      </c>
    </row>
    <row r="42" spans="1:22" x14ac:dyDescent="0.3">
      <c r="A42" s="6" t="s">
        <v>161</v>
      </c>
      <c r="B42" s="6" t="s">
        <v>138</v>
      </c>
      <c r="E42" s="13" t="str">
        <f>HYPERLINK("./aminoicacid/"&amp;Ligand[[#This Row],[name]]&amp;".png","◆")</f>
        <v>◆</v>
      </c>
      <c r="F42" s="14"/>
      <c r="G42" s="14"/>
      <c r="H42" s="6" t="b">
        <v>0</v>
      </c>
      <c r="I42" s="6" t="b">
        <v>0</v>
      </c>
      <c r="J42" s="6" t="b">
        <v>1</v>
      </c>
      <c r="K42" s="6">
        <v>14</v>
      </c>
      <c r="L42" s="6">
        <v>25</v>
      </c>
      <c r="M42" s="6">
        <v>0</v>
      </c>
      <c r="N42" s="6">
        <v>0</v>
      </c>
      <c r="O42" s="6">
        <v>0</v>
      </c>
      <c r="P42" s="6">
        <v>0</v>
      </c>
      <c r="Q42" s="6">
        <v>5</v>
      </c>
      <c r="R42" s="6">
        <v>0</v>
      </c>
      <c r="S42" s="6">
        <v>5</v>
      </c>
      <c r="T42" s="6">
        <v>0</v>
      </c>
      <c r="U42" s="6">
        <v>0</v>
      </c>
      <c r="V42" s="6">
        <v>0</v>
      </c>
    </row>
    <row r="43" spans="1:22" x14ac:dyDescent="0.3">
      <c r="A43" s="6" t="s">
        <v>162</v>
      </c>
      <c r="B43" s="6" t="s">
        <v>151</v>
      </c>
      <c r="E43" s="13" t="str">
        <f>HYPERLINK("./aminoicacid/"&amp;Ligand[[#This Row],[name]]&amp;".png","◆")</f>
        <v>◆</v>
      </c>
      <c r="F43" s="14"/>
      <c r="G43" s="14"/>
      <c r="H43" s="6" t="b">
        <v>0</v>
      </c>
      <c r="I43" s="6" t="b">
        <v>0</v>
      </c>
      <c r="J43" s="6" t="b">
        <v>1</v>
      </c>
      <c r="K43" s="6">
        <v>39</v>
      </c>
      <c r="L43" s="6">
        <v>53</v>
      </c>
      <c r="M43" s="6">
        <v>0</v>
      </c>
      <c r="N43" s="6">
        <v>0</v>
      </c>
      <c r="O43" s="6">
        <v>0</v>
      </c>
      <c r="P43" s="6">
        <v>0</v>
      </c>
      <c r="Q43" s="6">
        <v>7</v>
      </c>
      <c r="R43" s="6">
        <v>0</v>
      </c>
      <c r="S43" s="6">
        <v>10</v>
      </c>
      <c r="T43" s="6">
        <v>1</v>
      </c>
      <c r="U43" s="6">
        <v>0</v>
      </c>
      <c r="V43" s="6">
        <v>0</v>
      </c>
    </row>
    <row r="44" spans="1:22" x14ac:dyDescent="0.3">
      <c r="A44" s="6" t="s">
        <v>566</v>
      </c>
      <c r="B44" s="6" t="s">
        <v>567</v>
      </c>
      <c r="E44" s="16" t="str">
        <f>HYPERLINK("./aminoicacid/"&amp;Ligand[[#This Row],[name]]&amp;".png","◆")</f>
        <v>◆</v>
      </c>
      <c r="F44" s="14"/>
      <c r="G44" s="14"/>
      <c r="H44" s="6" t="b">
        <v>0</v>
      </c>
      <c r="I44" s="6" t="b">
        <v>0</v>
      </c>
      <c r="J44" s="6" t="b">
        <v>1</v>
      </c>
      <c r="K44" s="6">
        <v>68</v>
      </c>
      <c r="L44" s="6">
        <v>85</v>
      </c>
      <c r="M44" s="6">
        <v>0</v>
      </c>
      <c r="N44" s="6">
        <v>0</v>
      </c>
      <c r="O44" s="6">
        <v>0</v>
      </c>
      <c r="P44" s="6">
        <v>0</v>
      </c>
      <c r="Q44" s="6">
        <v>9</v>
      </c>
      <c r="R44" s="6">
        <v>0</v>
      </c>
      <c r="S44" s="6">
        <v>19</v>
      </c>
      <c r="T44" s="6">
        <v>0</v>
      </c>
      <c r="U44" s="6">
        <v>4</v>
      </c>
      <c r="V44" s="6">
        <v>0</v>
      </c>
    </row>
    <row r="45" spans="1:22" x14ac:dyDescent="0.3">
      <c r="A45" s="6" t="s">
        <v>163</v>
      </c>
      <c r="B45" s="6" t="s">
        <v>152</v>
      </c>
      <c r="E45" s="13" t="str">
        <f>HYPERLINK("./aminoicacid/"&amp;Ligand[[#This Row],[name]]&amp;".png","◆")</f>
        <v>◆</v>
      </c>
      <c r="F45" s="14"/>
      <c r="G45" s="14"/>
      <c r="H45" s="6" t="b">
        <v>0</v>
      </c>
      <c r="I45" s="6" t="b">
        <v>0</v>
      </c>
      <c r="J45" s="6" t="b">
        <v>1</v>
      </c>
      <c r="K45" s="6">
        <v>8</v>
      </c>
      <c r="L45" s="6">
        <v>13</v>
      </c>
      <c r="M45" s="6">
        <v>0</v>
      </c>
      <c r="N45" s="6">
        <v>0</v>
      </c>
      <c r="O45" s="6">
        <v>0</v>
      </c>
      <c r="P45" s="6">
        <v>0</v>
      </c>
      <c r="Q45" s="6">
        <v>5</v>
      </c>
      <c r="R45" s="6">
        <v>0</v>
      </c>
      <c r="S45" s="6">
        <v>2</v>
      </c>
      <c r="T45" s="6">
        <v>0</v>
      </c>
      <c r="U45" s="6">
        <v>0</v>
      </c>
      <c r="V45" s="6">
        <v>0</v>
      </c>
    </row>
    <row r="46" spans="1:22" x14ac:dyDescent="0.3">
      <c r="A46" s="6" t="s">
        <v>164</v>
      </c>
      <c r="B46" s="6" t="s">
        <v>153</v>
      </c>
      <c r="E46" s="13" t="str">
        <f>HYPERLINK("./aminoicacid/"&amp;Ligand[[#This Row],[name]]&amp;".png","◆")</f>
        <v>◆</v>
      </c>
      <c r="F46" s="14"/>
      <c r="G46" s="14"/>
      <c r="H46" s="6" t="b">
        <v>0</v>
      </c>
      <c r="I46" s="6" t="b">
        <v>0</v>
      </c>
      <c r="J46" s="6" t="b">
        <v>1</v>
      </c>
      <c r="K46" s="6">
        <v>33</v>
      </c>
      <c r="L46" s="6">
        <v>41</v>
      </c>
      <c r="M46" s="6">
        <v>0</v>
      </c>
      <c r="N46" s="6">
        <v>0</v>
      </c>
      <c r="O46" s="6">
        <v>0</v>
      </c>
      <c r="P46" s="6">
        <v>0</v>
      </c>
      <c r="Q46" s="6">
        <v>7</v>
      </c>
      <c r="R46" s="6">
        <v>0</v>
      </c>
      <c r="S46" s="6">
        <v>7</v>
      </c>
      <c r="T46" s="6">
        <v>1</v>
      </c>
      <c r="U46" s="6">
        <v>0</v>
      </c>
      <c r="V46" s="6">
        <v>0</v>
      </c>
    </row>
    <row r="47" spans="1:22" x14ac:dyDescent="0.3">
      <c r="A47" s="6" t="s">
        <v>165</v>
      </c>
      <c r="B47" s="6" t="s">
        <v>154</v>
      </c>
      <c r="E47" s="13" t="str">
        <f>HYPERLINK("./aminoicacid/"&amp;Ligand[[#This Row],[name]]&amp;".png","◆")</f>
        <v>◆</v>
      </c>
      <c r="F47" s="14"/>
      <c r="G47" s="14"/>
      <c r="H47" s="6" t="b">
        <v>0</v>
      </c>
      <c r="I47" s="6" t="b">
        <v>0</v>
      </c>
      <c r="J47" s="6" t="b">
        <v>0</v>
      </c>
      <c r="K47" s="6">
        <v>9</v>
      </c>
      <c r="L47" s="6">
        <v>9</v>
      </c>
      <c r="M47" s="6">
        <v>0</v>
      </c>
      <c r="N47" s="6">
        <v>0</v>
      </c>
      <c r="O47" s="6">
        <v>0</v>
      </c>
      <c r="P47" s="6">
        <v>0</v>
      </c>
      <c r="Q47" s="6">
        <v>1</v>
      </c>
      <c r="R47" s="6">
        <v>0</v>
      </c>
      <c r="S47" s="6">
        <v>5</v>
      </c>
      <c r="T47" s="6">
        <v>0</v>
      </c>
      <c r="U47" s="6">
        <v>1</v>
      </c>
      <c r="V47" s="6">
        <v>0</v>
      </c>
    </row>
    <row r="48" spans="1:22" x14ac:dyDescent="0.3">
      <c r="A48" s="6" t="s">
        <v>166</v>
      </c>
      <c r="B48" s="6" t="s">
        <v>155</v>
      </c>
      <c r="E48" s="13" t="str">
        <f>HYPERLINK("./aminoicacid/"&amp;Ligand[[#This Row],[name]]&amp;".png","◆")</f>
        <v>◆</v>
      </c>
      <c r="F48" s="14"/>
      <c r="G48" s="14"/>
      <c r="H48" s="6" t="b">
        <v>0</v>
      </c>
      <c r="I48" s="6" t="b">
        <v>0</v>
      </c>
      <c r="J48" s="6" t="b">
        <v>0</v>
      </c>
      <c r="K48" s="6">
        <v>12</v>
      </c>
      <c r="L48" s="6">
        <v>22</v>
      </c>
      <c r="M48" s="6">
        <v>0</v>
      </c>
      <c r="N48" s="6">
        <v>0</v>
      </c>
      <c r="O48" s="6">
        <v>0</v>
      </c>
      <c r="P48" s="6">
        <v>0</v>
      </c>
      <c r="Q48" s="6">
        <v>2</v>
      </c>
      <c r="R48" s="6">
        <v>0</v>
      </c>
      <c r="S48" s="6">
        <v>6</v>
      </c>
      <c r="T48" s="6">
        <v>1</v>
      </c>
      <c r="U48" s="6">
        <v>2</v>
      </c>
      <c r="V48" s="6">
        <v>0</v>
      </c>
    </row>
    <row r="49" spans="1:22" x14ac:dyDescent="0.3">
      <c r="A49" s="6" t="s">
        <v>167</v>
      </c>
      <c r="B49" s="6" t="s">
        <v>156</v>
      </c>
      <c r="E49" s="13" t="str">
        <f>HYPERLINK("./aminoicacid/"&amp;Ligand[[#This Row],[name]]&amp;".png","◆")</f>
        <v>◆</v>
      </c>
      <c r="F49" s="14"/>
      <c r="G49" s="14"/>
      <c r="H49" s="6" t="b">
        <v>0</v>
      </c>
      <c r="I49" s="6" t="b">
        <v>0</v>
      </c>
      <c r="J49" s="6" t="b">
        <v>0</v>
      </c>
      <c r="K49" s="6">
        <v>16</v>
      </c>
      <c r="L49" s="6">
        <v>25</v>
      </c>
      <c r="M49" s="6">
        <v>0</v>
      </c>
      <c r="N49" s="6">
        <v>0</v>
      </c>
      <c r="O49" s="6">
        <v>0</v>
      </c>
      <c r="P49" s="6">
        <v>0</v>
      </c>
      <c r="Q49" s="6">
        <v>3</v>
      </c>
      <c r="R49" s="6">
        <v>0</v>
      </c>
      <c r="S49" s="6">
        <v>7</v>
      </c>
      <c r="T49" s="6">
        <v>1</v>
      </c>
      <c r="U49" s="6">
        <v>1</v>
      </c>
      <c r="V49" s="6">
        <v>0</v>
      </c>
    </row>
    <row r="50" spans="1:22" x14ac:dyDescent="0.3">
      <c r="A50" s="6" t="s">
        <v>70</v>
      </c>
      <c r="B50" s="6" t="s">
        <v>70</v>
      </c>
      <c r="E50" s="13" t="str">
        <f>HYPERLINK("./aminoicacid/"&amp;Ligand[[#This Row],[name]]&amp;".png","◆")</f>
        <v>◆</v>
      </c>
      <c r="F50" s="14"/>
      <c r="G50" s="14"/>
      <c r="H50" s="6" t="b">
        <v>0</v>
      </c>
      <c r="I50" s="6" t="b">
        <v>0</v>
      </c>
      <c r="J50" s="6" t="b">
        <v>0</v>
      </c>
      <c r="K50" s="6">
        <v>6</v>
      </c>
      <c r="L50" s="6">
        <v>11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1</v>
      </c>
      <c r="T50" s="6">
        <v>0</v>
      </c>
      <c r="U50" s="6">
        <v>0</v>
      </c>
      <c r="V50" s="6">
        <v>0</v>
      </c>
    </row>
    <row r="51" spans="1:22" x14ac:dyDescent="0.3">
      <c r="A51" s="6" t="s">
        <v>71</v>
      </c>
      <c r="B51" s="6" t="s">
        <v>71</v>
      </c>
      <c r="E51" s="13" t="str">
        <f>HYPERLINK("./aminoicacid/"&amp;Ligand[[#This Row],[name]]&amp;".png","◆")</f>
        <v>◆</v>
      </c>
      <c r="F51" s="14"/>
      <c r="G51" s="14"/>
      <c r="H51" s="6" t="b">
        <v>1</v>
      </c>
      <c r="I51" s="6" t="b">
        <v>0</v>
      </c>
      <c r="J51" s="6" t="b">
        <v>0</v>
      </c>
      <c r="K51" s="6">
        <v>3</v>
      </c>
      <c r="L51" s="6">
        <v>5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1</v>
      </c>
      <c r="T51" s="6">
        <v>0</v>
      </c>
      <c r="U51" s="6">
        <v>0</v>
      </c>
      <c r="V51" s="6">
        <v>0</v>
      </c>
    </row>
    <row r="52" spans="1:22" x14ac:dyDescent="0.3">
      <c r="A52" s="6" t="s">
        <v>72</v>
      </c>
      <c r="B52" s="6" t="s">
        <v>72</v>
      </c>
      <c r="E52" s="13" t="str">
        <f>HYPERLINK("./aminoicacid/"&amp;Ligand[[#This Row],[name]]&amp;".png","◆")</f>
        <v>◆</v>
      </c>
      <c r="F52" s="14"/>
      <c r="G52" s="14"/>
      <c r="H52" s="6" t="b">
        <v>0</v>
      </c>
      <c r="I52" s="6" t="b">
        <v>0</v>
      </c>
      <c r="J52" s="6" t="b">
        <v>1</v>
      </c>
      <c r="K52" s="6">
        <v>7</v>
      </c>
      <c r="L52" s="6">
        <v>14</v>
      </c>
      <c r="M52" s="6">
        <v>0</v>
      </c>
      <c r="N52" s="6">
        <v>0</v>
      </c>
      <c r="O52" s="6">
        <v>0</v>
      </c>
      <c r="P52" s="6">
        <v>0</v>
      </c>
      <c r="Q52" s="6">
        <v>4</v>
      </c>
      <c r="R52" s="6">
        <v>0</v>
      </c>
      <c r="S52" s="6">
        <v>1</v>
      </c>
      <c r="T52" s="6">
        <v>0</v>
      </c>
      <c r="U52" s="6">
        <v>0</v>
      </c>
      <c r="V52" s="6">
        <v>0</v>
      </c>
    </row>
    <row r="53" spans="1:22" x14ac:dyDescent="0.3">
      <c r="A53" s="6" t="s">
        <v>139</v>
      </c>
      <c r="B53" s="6" t="s">
        <v>139</v>
      </c>
      <c r="E53" s="13" t="str">
        <f>HYPERLINK("./aminoicacid/"&amp;Ligand[[#This Row],[name]]&amp;".png","◆")</f>
        <v>◆</v>
      </c>
      <c r="F53" s="14"/>
      <c r="G53" s="14"/>
      <c r="H53" s="6" t="b">
        <v>0</v>
      </c>
      <c r="I53" s="6" t="b">
        <v>0</v>
      </c>
      <c r="J53" s="6" t="b">
        <v>1</v>
      </c>
      <c r="K53" s="6">
        <v>4</v>
      </c>
      <c r="L53" s="6">
        <v>8</v>
      </c>
      <c r="M53" s="6">
        <v>0</v>
      </c>
      <c r="N53" s="6">
        <v>0</v>
      </c>
      <c r="O53" s="6">
        <v>0</v>
      </c>
      <c r="P53" s="6">
        <v>0</v>
      </c>
      <c r="Q53" s="6">
        <v>2</v>
      </c>
      <c r="R53" s="6">
        <v>0</v>
      </c>
      <c r="S53" s="6">
        <v>1</v>
      </c>
      <c r="T53" s="6">
        <v>0</v>
      </c>
      <c r="U53" s="6">
        <v>0</v>
      </c>
      <c r="V53" s="6">
        <v>0</v>
      </c>
    </row>
    <row r="54" spans="1:22" x14ac:dyDescent="0.3">
      <c r="A54" s="6" t="s">
        <v>297</v>
      </c>
      <c r="B54" s="6" t="s">
        <v>298</v>
      </c>
      <c r="E54" s="13" t="str">
        <f>HYPERLINK("./aminoicacid/"&amp;Ligand[[#This Row],[name]]&amp;".png","◆")</f>
        <v>◆</v>
      </c>
      <c r="F54" s="14"/>
      <c r="G54" s="14"/>
      <c r="H54" s="6" t="b">
        <v>0</v>
      </c>
      <c r="I54" s="6" t="b">
        <v>0</v>
      </c>
      <c r="J54" s="6" t="b">
        <v>1</v>
      </c>
      <c r="K54" s="6">
        <v>162</v>
      </c>
      <c r="L54" s="6">
        <v>317</v>
      </c>
      <c r="M54" s="6">
        <v>0</v>
      </c>
      <c r="N54" s="6">
        <v>0</v>
      </c>
      <c r="O54" s="6">
        <v>0</v>
      </c>
      <c r="P54" s="6">
        <v>0</v>
      </c>
      <c r="Q54" s="6">
        <v>5</v>
      </c>
      <c r="R54" s="6">
        <v>0</v>
      </c>
      <c r="S54" s="6">
        <v>80</v>
      </c>
      <c r="T54" s="6">
        <v>0</v>
      </c>
      <c r="U54" s="6">
        <v>0</v>
      </c>
      <c r="V54" s="6">
        <v>0</v>
      </c>
    </row>
    <row r="55" spans="1:22" x14ac:dyDescent="0.3">
      <c r="A55" s="6" t="s">
        <v>290</v>
      </c>
      <c r="B55" s="6" t="s">
        <v>299</v>
      </c>
      <c r="E55" s="13" t="str">
        <f>HYPERLINK("./aminoicacid/"&amp;Ligand[[#This Row],[name]]&amp;".png","◆")</f>
        <v>◆</v>
      </c>
      <c r="F55" s="14"/>
      <c r="G55" s="14"/>
      <c r="H55" s="6" t="b">
        <v>0</v>
      </c>
      <c r="I55" s="6" t="b">
        <v>0</v>
      </c>
      <c r="J55" s="6" t="b">
        <v>1</v>
      </c>
      <c r="K55" s="6">
        <v>189</v>
      </c>
      <c r="L55" s="6">
        <v>345</v>
      </c>
      <c r="M55" s="6">
        <v>0</v>
      </c>
      <c r="N55" s="6">
        <v>0</v>
      </c>
      <c r="O55" s="6">
        <v>0</v>
      </c>
      <c r="P55" s="6">
        <v>0</v>
      </c>
      <c r="Q55" s="6">
        <v>7</v>
      </c>
      <c r="R55" s="6">
        <v>0</v>
      </c>
      <c r="S55" s="6">
        <v>85</v>
      </c>
      <c r="T55" s="6">
        <v>1</v>
      </c>
      <c r="U55" s="6">
        <v>0</v>
      </c>
      <c r="V55" s="6">
        <v>0</v>
      </c>
    </row>
    <row r="56" spans="1:22" x14ac:dyDescent="0.3">
      <c r="A56" s="6" t="s">
        <v>314</v>
      </c>
      <c r="B56" s="6" t="s">
        <v>315</v>
      </c>
      <c r="E56" s="15" t="str">
        <f>HYPERLINK("./aminoicacid/"&amp;Ligand[[#This Row],[name]]&amp;".png","◆")</f>
        <v>◆</v>
      </c>
      <c r="F56" s="14"/>
      <c r="G56" s="14"/>
      <c r="H56" s="6" t="b">
        <v>0</v>
      </c>
      <c r="I56" s="6" t="b">
        <v>0</v>
      </c>
      <c r="J56" s="6" t="b">
        <v>1</v>
      </c>
      <c r="K56" s="6">
        <v>14</v>
      </c>
      <c r="L56" s="6">
        <v>19</v>
      </c>
      <c r="M56" s="6">
        <v>0</v>
      </c>
      <c r="N56" s="6">
        <v>0</v>
      </c>
      <c r="O56" s="6">
        <v>0</v>
      </c>
      <c r="P56" s="6">
        <v>0</v>
      </c>
      <c r="Q56" s="6">
        <v>3</v>
      </c>
      <c r="R56" s="6">
        <v>0</v>
      </c>
      <c r="S56" s="6">
        <v>2</v>
      </c>
      <c r="T56" s="6">
        <v>0</v>
      </c>
      <c r="U56" s="6">
        <v>2</v>
      </c>
      <c r="V56" s="6">
        <v>0</v>
      </c>
    </row>
    <row r="57" spans="1:22" x14ac:dyDescent="0.3">
      <c r="A57" s="6" t="s">
        <v>316</v>
      </c>
      <c r="B57" s="6" t="s">
        <v>317</v>
      </c>
      <c r="E57" s="15" t="str">
        <f>HYPERLINK("./aminoicacid/"&amp;Ligand[[#This Row],[name]]&amp;".png","◆")</f>
        <v>◆</v>
      </c>
      <c r="F57" s="14"/>
      <c r="G57" s="14"/>
      <c r="H57" s="6" t="b">
        <v>0</v>
      </c>
      <c r="I57" s="6" t="b">
        <v>0</v>
      </c>
      <c r="J57" s="6" t="b">
        <v>1</v>
      </c>
      <c r="K57" s="6">
        <v>18</v>
      </c>
      <c r="L57" s="6">
        <v>33</v>
      </c>
      <c r="M57" s="6">
        <v>0</v>
      </c>
      <c r="N57" s="6">
        <v>0</v>
      </c>
      <c r="O57" s="6">
        <v>0</v>
      </c>
      <c r="P57" s="6">
        <v>0</v>
      </c>
      <c r="Q57" s="6">
        <v>3</v>
      </c>
      <c r="R57" s="6">
        <v>0</v>
      </c>
      <c r="S57" s="6">
        <v>6</v>
      </c>
      <c r="T57" s="6">
        <v>1</v>
      </c>
      <c r="U57" s="6">
        <v>2</v>
      </c>
      <c r="V57" s="6">
        <v>0</v>
      </c>
    </row>
    <row r="58" spans="1:22" x14ac:dyDescent="0.3">
      <c r="A58" s="6" t="s">
        <v>487</v>
      </c>
      <c r="B58" s="6" t="s">
        <v>488</v>
      </c>
      <c r="E58" s="15" t="str">
        <f>HYPERLINK("./aminoicacid/"&amp;Ligand[[#This Row],[name]]&amp;".png","◆")</f>
        <v>◆</v>
      </c>
      <c r="F58" s="14"/>
      <c r="G58" s="14"/>
      <c r="H58" s="6" t="b">
        <v>0</v>
      </c>
      <c r="I58" s="6" t="b">
        <v>0</v>
      </c>
      <c r="J58" s="6" t="b">
        <v>0</v>
      </c>
      <c r="K58" s="6">
        <v>16</v>
      </c>
      <c r="L58" s="6">
        <v>26</v>
      </c>
      <c r="M58" s="6">
        <v>0</v>
      </c>
      <c r="N58" s="6">
        <v>0</v>
      </c>
      <c r="O58" s="6">
        <v>0</v>
      </c>
      <c r="P58" s="6">
        <v>0</v>
      </c>
      <c r="Q58" s="6">
        <v>4</v>
      </c>
      <c r="R58" s="6">
        <v>0</v>
      </c>
      <c r="S58" s="6">
        <v>3</v>
      </c>
      <c r="T58" s="6">
        <v>0</v>
      </c>
      <c r="U58" s="6">
        <v>1</v>
      </c>
      <c r="V58" s="6">
        <v>0</v>
      </c>
    </row>
    <row r="59" spans="1:22" x14ac:dyDescent="0.3">
      <c r="A59" s="6" t="s">
        <v>531</v>
      </c>
      <c r="B59" s="6" t="s">
        <v>532</v>
      </c>
      <c r="E59" s="15" t="str">
        <f>HYPERLINK("./aminoicacid/"&amp;Ligand[[#This Row],[name]]&amp;".png","◆")</f>
        <v>◆</v>
      </c>
      <c r="F59" s="14"/>
      <c r="G59" s="14"/>
      <c r="H59" s="13" t="b">
        <v>1</v>
      </c>
      <c r="I59" s="6" t="b">
        <v>0</v>
      </c>
      <c r="J59" s="6" t="b">
        <v>0</v>
      </c>
      <c r="K59" s="6">
        <v>8</v>
      </c>
      <c r="L59" s="6">
        <v>15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2</v>
      </c>
      <c r="T59" s="6">
        <v>0</v>
      </c>
      <c r="U59" s="6">
        <v>0</v>
      </c>
      <c r="V59" s="6">
        <v>0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6E53-C29A-42E9-8F90-8F5D559A3860}">
  <dimension ref="A1:O16"/>
  <sheetViews>
    <sheetView zoomScale="85" zoomScaleNormal="85" workbookViewId="0">
      <selection activeCell="A17" sqref="A17"/>
    </sheetView>
  </sheetViews>
  <sheetFormatPr defaultColWidth="8.81640625" defaultRowHeight="17.399999999999999" x14ac:dyDescent="0.3"/>
  <cols>
    <col min="1" max="3" width="9.90625" style="3" customWidth="1"/>
    <col min="4" max="16384" width="8.81640625" style="3"/>
  </cols>
  <sheetData>
    <row r="1" spans="1:15" x14ac:dyDescent="0.3">
      <c r="A1" s="2" t="s">
        <v>59</v>
      </c>
      <c r="B1" s="2" t="s">
        <v>58</v>
      </c>
      <c r="C1" s="2" t="s">
        <v>306</v>
      </c>
      <c r="D1" s="4" t="s">
        <v>0</v>
      </c>
      <c r="E1" s="4" t="s">
        <v>1</v>
      </c>
      <c r="F1" s="4" t="s">
        <v>2</v>
      </c>
      <c r="G1" s="4" t="s">
        <v>10</v>
      </c>
      <c r="H1" s="4" t="s">
        <v>5</v>
      </c>
      <c r="I1" s="5" t="s">
        <v>11</v>
      </c>
      <c r="J1" s="4" t="s">
        <v>3</v>
      </c>
      <c r="K1" s="4" t="s">
        <v>6</v>
      </c>
      <c r="L1" s="4" t="s">
        <v>4</v>
      </c>
      <c r="M1" s="4" t="s">
        <v>8</v>
      </c>
      <c r="N1" s="4" t="s">
        <v>9</v>
      </c>
      <c r="O1" s="4" t="s">
        <v>7</v>
      </c>
    </row>
    <row r="2" spans="1:15" x14ac:dyDescent="0.3">
      <c r="A2" s="2" t="s">
        <v>52</v>
      </c>
      <c r="B2" s="2"/>
      <c r="C2" s="2"/>
      <c r="D2" s="2">
        <v>0</v>
      </c>
      <c r="E2" s="2">
        <v>2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3">
      <c r="A3" s="2" t="s">
        <v>56</v>
      </c>
      <c r="B3" s="2"/>
      <c r="C3" s="2">
        <v>2.34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</row>
    <row r="4" spans="1:15" x14ac:dyDescent="0.3">
      <c r="A4" s="2" t="s">
        <v>15</v>
      </c>
      <c r="B4" s="2"/>
      <c r="C4" s="2">
        <v>9.69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3">
      <c r="A5" s="2" t="s">
        <v>53</v>
      </c>
      <c r="B5" s="2"/>
      <c r="C5" s="2"/>
      <c r="D5" s="2">
        <v>2</v>
      </c>
      <c r="E5" s="2">
        <v>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</row>
    <row r="6" spans="1:15" x14ac:dyDescent="0.3">
      <c r="A6" s="2" t="s">
        <v>194</v>
      </c>
      <c r="B6" s="2"/>
      <c r="C6" s="2"/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3">
      <c r="A7" s="2" t="s">
        <v>195</v>
      </c>
      <c r="B7" s="2"/>
      <c r="C7" s="2"/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3">
      <c r="A8" s="2" t="s">
        <v>534</v>
      </c>
      <c r="B8" s="2"/>
      <c r="C8" s="2"/>
      <c r="D8" s="2">
        <v>10</v>
      </c>
      <c r="E8" s="2">
        <v>17</v>
      </c>
      <c r="F8" s="2">
        <v>0</v>
      </c>
      <c r="G8" s="2">
        <v>0</v>
      </c>
      <c r="H8" s="2">
        <v>0</v>
      </c>
      <c r="I8" s="2">
        <v>0</v>
      </c>
      <c r="J8" s="2">
        <v>4</v>
      </c>
      <c r="K8" s="2">
        <v>0</v>
      </c>
      <c r="L8" s="2">
        <v>3</v>
      </c>
      <c r="M8" s="2">
        <v>0</v>
      </c>
      <c r="N8" s="2">
        <v>0</v>
      </c>
      <c r="O8" s="2">
        <v>0</v>
      </c>
    </row>
    <row r="9" spans="1:15" x14ac:dyDescent="0.3">
      <c r="A9" s="2" t="s">
        <v>536</v>
      </c>
      <c r="B9" s="2"/>
      <c r="C9" s="2"/>
      <c r="D9" s="2">
        <v>14</v>
      </c>
      <c r="E9" s="2">
        <v>25</v>
      </c>
      <c r="F9" s="2">
        <v>0</v>
      </c>
      <c r="G9" s="2">
        <v>0</v>
      </c>
      <c r="H9" s="2">
        <v>0</v>
      </c>
      <c r="I9" s="2">
        <v>0</v>
      </c>
      <c r="J9" s="2">
        <v>4</v>
      </c>
      <c r="K9" s="2">
        <v>0</v>
      </c>
      <c r="L9" s="2">
        <v>5</v>
      </c>
      <c r="M9" s="2">
        <v>0</v>
      </c>
      <c r="N9" s="2">
        <v>0</v>
      </c>
      <c r="O9" s="2">
        <v>0</v>
      </c>
    </row>
    <row r="10" spans="1:15" x14ac:dyDescent="0.3">
      <c r="A10" s="2" t="s">
        <v>538</v>
      </c>
      <c r="B10" s="2"/>
      <c r="C10" s="2"/>
      <c r="D10" s="2">
        <v>64</v>
      </c>
      <c r="E10" s="2">
        <v>77</v>
      </c>
      <c r="F10" s="2">
        <v>0</v>
      </c>
      <c r="G10" s="2">
        <v>0</v>
      </c>
      <c r="H10" s="2">
        <v>0</v>
      </c>
      <c r="I10" s="2">
        <v>0</v>
      </c>
      <c r="J10" s="2">
        <v>8</v>
      </c>
      <c r="K10" s="2">
        <v>0</v>
      </c>
      <c r="L10" s="2">
        <v>17</v>
      </c>
      <c r="M10" s="2">
        <v>0</v>
      </c>
      <c r="N10" s="2">
        <v>4</v>
      </c>
      <c r="O10" s="2">
        <v>0</v>
      </c>
    </row>
    <row r="11" spans="1:15" x14ac:dyDescent="0.3">
      <c r="A11" s="2" t="s">
        <v>540</v>
      </c>
      <c r="B11" s="2"/>
      <c r="C11" s="2"/>
      <c r="D11" s="2">
        <v>68</v>
      </c>
      <c r="E11" s="2">
        <v>85</v>
      </c>
      <c r="F11" s="2">
        <v>0</v>
      </c>
      <c r="G11" s="2">
        <v>0</v>
      </c>
      <c r="H11" s="2">
        <v>0</v>
      </c>
      <c r="I11" s="2">
        <v>0</v>
      </c>
      <c r="J11" s="2">
        <v>8</v>
      </c>
      <c r="K11" s="2">
        <v>0</v>
      </c>
      <c r="L11" s="2">
        <v>19</v>
      </c>
      <c r="M11" s="2">
        <v>0</v>
      </c>
      <c r="N11" s="2">
        <v>4</v>
      </c>
      <c r="O11" s="2">
        <v>0</v>
      </c>
    </row>
    <row r="12" spans="1:15" x14ac:dyDescent="0.3">
      <c r="A12" s="2" t="s">
        <v>841</v>
      </c>
      <c r="B12" s="2"/>
      <c r="C12" s="2"/>
      <c r="D12" s="2">
        <v>35</v>
      </c>
      <c r="E12" s="2">
        <v>45</v>
      </c>
      <c r="F12" s="2">
        <v>0</v>
      </c>
      <c r="G12" s="2">
        <v>0</v>
      </c>
      <c r="H12" s="2">
        <v>0</v>
      </c>
      <c r="I12" s="2">
        <v>0</v>
      </c>
      <c r="J12" s="2">
        <v>6</v>
      </c>
      <c r="K12" s="2">
        <v>0</v>
      </c>
      <c r="L12" s="2">
        <v>8</v>
      </c>
      <c r="M12" s="2">
        <v>1</v>
      </c>
      <c r="N12" s="2">
        <v>0</v>
      </c>
      <c r="O12" s="2">
        <v>0</v>
      </c>
    </row>
    <row r="13" spans="1:15" x14ac:dyDescent="0.3">
      <c r="A13" s="2" t="s">
        <v>843</v>
      </c>
      <c r="B13" s="2"/>
      <c r="C13" s="2"/>
      <c r="D13" s="2">
        <v>39</v>
      </c>
      <c r="E13" s="2">
        <v>53</v>
      </c>
      <c r="F13" s="2">
        <v>0</v>
      </c>
      <c r="G13" s="2">
        <v>0</v>
      </c>
      <c r="H13" s="2">
        <v>0</v>
      </c>
      <c r="I13" s="2">
        <v>0</v>
      </c>
      <c r="J13" s="2">
        <v>6</v>
      </c>
      <c r="K13" s="2">
        <v>0</v>
      </c>
      <c r="L13" s="2">
        <v>10</v>
      </c>
      <c r="M13" s="2">
        <v>1</v>
      </c>
      <c r="N13" s="2">
        <v>0</v>
      </c>
      <c r="O13" s="2">
        <v>0</v>
      </c>
    </row>
    <row r="14" spans="1:15" x14ac:dyDescent="0.3">
      <c r="A14" s="2" t="s">
        <v>852</v>
      </c>
      <c r="B14" s="2"/>
      <c r="C14" s="2"/>
      <c r="D14" s="2">
        <v>4</v>
      </c>
      <c r="E14" s="2">
        <v>10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2</v>
      </c>
      <c r="M14" s="2">
        <v>0</v>
      </c>
      <c r="N14" s="2">
        <v>0</v>
      </c>
      <c r="O14" s="2">
        <v>0</v>
      </c>
    </row>
    <row r="15" spans="1:15" x14ac:dyDescent="0.3">
      <c r="A15" s="2" t="s">
        <v>874</v>
      </c>
      <c r="B15" s="2"/>
      <c r="C15" s="2"/>
      <c r="D15" s="2">
        <v>8</v>
      </c>
      <c r="E15" s="2">
        <v>8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3</v>
      </c>
      <c r="M15" s="2">
        <v>0</v>
      </c>
      <c r="N15" s="2">
        <v>0</v>
      </c>
      <c r="O15" s="2">
        <v>0</v>
      </c>
    </row>
    <row r="16" spans="1:15" x14ac:dyDescent="0.3">
      <c r="A16" s="2" t="s">
        <v>900</v>
      </c>
      <c r="B16" s="2"/>
      <c r="C16" s="2"/>
      <c r="D16" s="2">
        <v>14</v>
      </c>
      <c r="E16" s="2">
        <v>22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5</v>
      </c>
      <c r="M16" s="2">
        <v>1</v>
      </c>
      <c r="N16" s="2">
        <v>2</v>
      </c>
      <c r="O16" s="2">
        <v>0</v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4D38-CB9C-405B-B04E-9716972FA132}">
  <dimension ref="A1:O3"/>
  <sheetViews>
    <sheetView zoomScale="85" zoomScaleNormal="85" workbookViewId="0">
      <selection activeCell="D25" sqref="D25"/>
    </sheetView>
  </sheetViews>
  <sheetFormatPr defaultColWidth="8.81640625" defaultRowHeight="14.4" x14ac:dyDescent="0.3"/>
  <cols>
    <col min="1" max="2" width="8.81640625" style="1"/>
    <col min="3" max="3" width="16.90625" style="1" bestFit="1" customWidth="1"/>
    <col min="4" max="4" width="18" style="1" bestFit="1" customWidth="1"/>
    <col min="5" max="5" width="16.90625" style="1" bestFit="1" customWidth="1"/>
    <col min="6" max="15" width="18" style="1" bestFit="1" customWidth="1"/>
    <col min="16" max="16384" width="8.81640625" style="1"/>
  </cols>
  <sheetData>
    <row r="1" spans="1:15" x14ac:dyDescent="0.3">
      <c r="A1" s="1" t="s">
        <v>59</v>
      </c>
      <c r="B1" s="1" t="s">
        <v>58</v>
      </c>
      <c r="C1" s="1" t="s">
        <v>0</v>
      </c>
      <c r="D1" s="1" t="s">
        <v>1</v>
      </c>
      <c r="E1" s="1" t="s">
        <v>2</v>
      </c>
      <c r="F1" s="1" t="s">
        <v>10</v>
      </c>
      <c r="G1" s="1" t="s">
        <v>5</v>
      </c>
      <c r="H1" s="1" t="s">
        <v>11</v>
      </c>
      <c r="I1" s="1" t="s">
        <v>3</v>
      </c>
      <c r="J1" s="1" t="s">
        <v>6</v>
      </c>
      <c r="K1" s="1" t="s">
        <v>4</v>
      </c>
      <c r="L1" s="1" t="s">
        <v>8</v>
      </c>
      <c r="M1" s="1" t="s">
        <v>9</v>
      </c>
      <c r="N1" s="1" t="s">
        <v>7</v>
      </c>
      <c r="O1" s="1" t="s">
        <v>7</v>
      </c>
    </row>
    <row r="2" spans="1:15" x14ac:dyDescent="0.3">
      <c r="A2" s="1" t="s">
        <v>63</v>
      </c>
      <c r="C2" s="12">
        <v>12.0107</v>
      </c>
      <c r="D2" s="12">
        <v>1.0079400000000001</v>
      </c>
      <c r="E2" s="12">
        <v>10.811</v>
      </c>
      <c r="F2" s="12">
        <v>35.453000000000003</v>
      </c>
      <c r="G2" s="12">
        <v>18.998403162999999</v>
      </c>
      <c r="H2" s="12">
        <v>39.098300000000002</v>
      </c>
      <c r="I2" s="12">
        <v>14.0067</v>
      </c>
      <c r="J2" s="12">
        <v>22.989769280000001</v>
      </c>
      <c r="K2" s="12">
        <v>15.9994</v>
      </c>
      <c r="L2" s="12">
        <v>30.973761998000001</v>
      </c>
      <c r="M2" s="12">
        <v>32.064999999999998</v>
      </c>
      <c r="N2" s="12">
        <v>28.0855</v>
      </c>
      <c r="O2" s="12">
        <v>28.0855</v>
      </c>
    </row>
    <row r="3" spans="1:15" x14ac:dyDescent="0.3">
      <c r="A3" s="1" t="s">
        <v>64</v>
      </c>
      <c r="C3" s="12">
        <v>12</v>
      </c>
      <c r="D3" s="12">
        <v>1.00782503223</v>
      </c>
      <c r="E3" s="12">
        <v>11.009305360000001</v>
      </c>
      <c r="F3" s="12">
        <v>34.968852681999998</v>
      </c>
      <c r="G3" s="12">
        <v>18.99840316273</v>
      </c>
      <c r="H3" s="12">
        <v>38.9637064864</v>
      </c>
      <c r="I3" s="12">
        <v>14.003074004429999</v>
      </c>
      <c r="J3" s="12">
        <v>22.989769282000001</v>
      </c>
      <c r="K3" s="12">
        <v>15.99491461957</v>
      </c>
      <c r="L3" s="12">
        <v>30.973761998419999</v>
      </c>
      <c r="M3" s="12">
        <v>31.9720711744</v>
      </c>
      <c r="N3" s="12">
        <v>27.976926534650001</v>
      </c>
      <c r="O3" s="12">
        <v>27.976926534650001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08CF08-5237-4B98-A522-0ECD1B2178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3</vt:i4>
      </vt:variant>
    </vt:vector>
  </HeadingPairs>
  <TitlesOfParts>
    <vt:vector size="10" baseType="lpstr">
      <vt:lpstr>DB08_peptide</vt:lpstr>
      <vt:lpstr>input-&gt;</vt:lpstr>
      <vt:lpstr>sequence</vt:lpstr>
      <vt:lpstr>ligand</vt:lpstr>
      <vt:lpstr>aminoacid</vt:lpstr>
      <vt:lpstr>terminal</vt:lpstr>
      <vt:lpstr>weight</vt:lpstr>
      <vt:lpstr>filepath</vt:lpstr>
      <vt:lpstr>ligand!LigandName</vt:lpstr>
      <vt:lpstr>LigandName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</dc:creator>
  <cp:lastModifiedBy>須藤 宏城</cp:lastModifiedBy>
  <dcterms:created xsi:type="dcterms:W3CDTF">2021-03-12T08:08:40Z</dcterms:created>
  <dcterms:modified xsi:type="dcterms:W3CDTF">2025-12-19T02:32:04Z</dcterms:modified>
</cp:coreProperties>
</file>