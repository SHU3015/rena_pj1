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queryTables/queryTable1.xml" ContentType="application/vnd.openxmlformats-officedocument.spreadsheetml.queryTable+xml"/>
  <Override PartName="/xl/tables/table7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マイドライブ\共有用\オリゴ管理\データベース\"/>
    </mc:Choice>
  </mc:AlternateContent>
  <xr:revisionPtr revIDLastSave="0" documentId="13_ncr:1_{C326DD20-5CCF-4A7A-B4DC-A00A98AEDF91}" xr6:coauthVersionLast="47" xr6:coauthVersionMax="47" xr10:uidLastSave="{00000000-0000-0000-0000-000000000000}"/>
  <bookViews>
    <workbookView xWindow="6195" yWindow="1245" windowWidth="21600" windowHeight="14520" xr2:uid="{00000000-000D-0000-FFFF-FFFF00000000}"/>
  </bookViews>
  <sheets>
    <sheet name="DB07_baseline" sheetId="7" r:id="rId1"/>
    <sheet name="-&gt;Input" sheetId="8" r:id="rId2"/>
    <sheet name="converter" sheetId="1" r:id="rId3"/>
    <sheet name="ref_data-&gt;" sheetId="3" r:id="rId4"/>
    <sheet name="DB16_baseline_for_PB" sheetId="9" r:id="rId5"/>
    <sheet name="calcd_DB17_baselinesequence" sheetId="10" r:id="rId6"/>
  </sheets>
  <definedNames>
    <definedName name="ExternalData_2" localSheetId="4" hidden="1">DB16_baseline_for_PB!$A$1:$K$19</definedName>
    <definedName name="ExternalData_3" localSheetId="5" hidden="1">'calcd_DB17_baselinesequence'!$A$1:$Q$20</definedName>
    <definedName name="filepath">'ref_data-&gt;'!$F$1</definedName>
    <definedName name="idname">'ref_data-&gt;'!$C$1</definedName>
    <definedName name="path">'ref_data-&gt;'!$F$1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0" i="7" l="1"/>
  <c r="C20" i="7" s="1" a="1"/>
  <c r="C20" i="7" s="1"/>
  <c r="A20" i="1"/>
  <c r="G20" i="1"/>
  <c r="I20" i="1" s="1" a="1"/>
  <c r="I20" i="1" s="1"/>
  <c r="J20" i="1" s="1"/>
  <c r="H20" i="1"/>
  <c r="B19" i="7"/>
  <c r="C19" i="7" s="1" a="1"/>
  <c r="C19" i="7" s="1"/>
  <c r="B17" i="7"/>
  <c r="C17" i="7" s="1" a="1"/>
  <c r="C17" i="7" s="1"/>
  <c r="B18" i="7"/>
  <c r="C18" i="7" s="1" a="1"/>
  <c r="C18" i="7" s="1"/>
  <c r="C19" i="1"/>
  <c r="C18" i="1"/>
  <c r="C17" i="1"/>
  <c r="A17" i="1"/>
  <c r="A18" i="1"/>
  <c r="A19" i="1"/>
  <c r="G17" i="1"/>
  <c r="I17" i="1" s="1" a="1"/>
  <c r="I17" i="1" s="1"/>
  <c r="J17" i="1" s="1"/>
  <c r="G18" i="1"/>
  <c r="I18" i="1" s="1" a="1"/>
  <c r="I18" i="1" s="1"/>
  <c r="J18" i="1" s="1"/>
  <c r="G19" i="1"/>
  <c r="I19" i="1" s="1" a="1"/>
  <c r="I19" i="1" s="1"/>
  <c r="J19" i="1" s="1"/>
  <c r="H17" i="1"/>
  <c r="H18" i="1"/>
  <c r="H19" i="1"/>
  <c r="B2" i="7"/>
  <c r="C2" i="7" s="1" a="1"/>
  <c r="C2" i="7" s="1"/>
  <c r="B3" i="7"/>
  <c r="F3" i="7" s="1" a="1"/>
  <c r="F3" i="7" s="1"/>
  <c r="B4" i="7"/>
  <c r="L4" i="7" s="1" a="1"/>
  <c r="L4" i="7" s="1"/>
  <c r="B5" i="7"/>
  <c r="K5" i="7" s="1" a="1"/>
  <c r="K5" i="7" s="1"/>
  <c r="B6" i="7"/>
  <c r="C6" i="7" s="1" a="1"/>
  <c r="C6" i="7" s="1"/>
  <c r="B7" i="7"/>
  <c r="C7" i="7" s="1" a="1"/>
  <c r="C7" i="7" s="1"/>
  <c r="B8" i="7"/>
  <c r="I8" i="7" s="1" a="1"/>
  <c r="I8" i="7" s="1"/>
  <c r="B9" i="7"/>
  <c r="C9" i="7" s="1" a="1"/>
  <c r="C9" i="7" s="1"/>
  <c r="B10" i="7"/>
  <c r="C10" i="7" s="1" a="1"/>
  <c r="C10" i="7" s="1"/>
  <c r="B11" i="7"/>
  <c r="C11" i="7" s="1" a="1"/>
  <c r="C11" i="7" s="1"/>
  <c r="B12" i="7"/>
  <c r="L12" i="7" s="1" a="1"/>
  <c r="L12" i="7" s="1"/>
  <c r="B13" i="7"/>
  <c r="C13" i="7" s="1" a="1"/>
  <c r="C13" i="7" s="1"/>
  <c r="B14" i="7"/>
  <c r="K14" i="7" s="1" a="1"/>
  <c r="K14" i="7" s="1"/>
  <c r="B15" i="7"/>
  <c r="J15" i="7" s="1" a="1"/>
  <c r="J15" i="7" s="1"/>
  <c r="B16" i="7"/>
  <c r="I16" i="7" s="1" a="1"/>
  <c r="I16" i="7" s="1"/>
  <c r="A2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G11" i="1"/>
  <c r="I11" i="1" s="1" a="1"/>
  <c r="I11" i="1" s="1"/>
  <c r="J11" i="1" s="1"/>
  <c r="H11" i="1"/>
  <c r="G9" i="1"/>
  <c r="I9" i="1" s="1" a="1"/>
  <c r="I9" i="1" s="1"/>
  <c r="J9" i="1" s="1"/>
  <c r="H9" i="1"/>
  <c r="G7" i="1"/>
  <c r="I7" i="1" s="1" a="1"/>
  <c r="I7" i="1" s="1"/>
  <c r="J7" i="1" s="1"/>
  <c r="H7" i="1"/>
  <c r="G5" i="1"/>
  <c r="I5" i="1" s="1" a="1"/>
  <c r="I5" i="1" s="1"/>
  <c r="J5" i="1" s="1"/>
  <c r="H5" i="1"/>
  <c r="G3" i="1"/>
  <c r="I3" i="1" s="1" a="1"/>
  <c r="I3" i="1" s="1"/>
  <c r="J3" i="1" s="1"/>
  <c r="H3" i="1"/>
  <c r="C1" i="3" a="1"/>
  <c r="C1" i="3" s="1"/>
  <c r="F1" i="3" a="1"/>
  <c r="F1" i="3" s="1"/>
  <c r="C14" i="7" l="1" a="1"/>
  <c r="C14" i="7" s="1"/>
  <c r="C8" i="7" a="1"/>
  <c r="C8" i="7" s="1"/>
  <c r="E3" i="7" a="1"/>
  <c r="E3" i="7" s="1"/>
  <c r="J20" i="7" a="1"/>
  <c r="J20" i="7" s="1"/>
  <c r="F20" i="7" a="1"/>
  <c r="F20" i="7" s="1"/>
  <c r="I20" i="7" a="1"/>
  <c r="I20" i="7" s="1"/>
  <c r="E20" i="7" a="1"/>
  <c r="E20" i="7" s="1"/>
  <c r="L20" i="7" a="1"/>
  <c r="L20" i="7" s="1"/>
  <c r="H20" i="7" a="1"/>
  <c r="H20" i="7" s="1"/>
  <c r="D20" i="7" a="1"/>
  <c r="D20" i="7" s="1"/>
  <c r="K20" i="7" a="1"/>
  <c r="K20" i="7" s="1"/>
  <c r="G20" i="7" a="1"/>
  <c r="G20" i="7" s="1"/>
  <c r="L18" i="7" a="1"/>
  <c r="L18" i="7" s="1"/>
  <c r="F2" i="7" a="1"/>
  <c r="F2" i="7" s="1"/>
  <c r="C12" i="7" a="1"/>
  <c r="C12" i="7" s="1"/>
  <c r="J14" i="7" a="1"/>
  <c r="J14" i="7" s="1"/>
  <c r="H18" i="7" a="1"/>
  <c r="H18" i="7" s="1"/>
  <c r="D12" i="7" a="1"/>
  <c r="D12" i="7" s="1"/>
  <c r="J6" i="7" a="1"/>
  <c r="J6" i="7" s="1"/>
  <c r="D17" i="7" a="1"/>
  <c r="D17" i="7" s="1"/>
  <c r="D11" i="7" a="1"/>
  <c r="D11" i="7" s="1"/>
  <c r="L11" i="7" a="1"/>
  <c r="L11" i="7" s="1"/>
  <c r="D10" i="7" a="1"/>
  <c r="D10" i="7" s="1"/>
  <c r="E10" i="7" a="1"/>
  <c r="E10" i="7" s="1"/>
  <c r="I19" i="7" a="1"/>
  <c r="I19" i="7" s="1"/>
  <c r="H14" i="7" a="1"/>
  <c r="H14" i="7" s="1"/>
  <c r="J19" i="7" a="1"/>
  <c r="J19" i="7" s="1"/>
  <c r="F19" i="7" a="1"/>
  <c r="F19" i="7" s="1"/>
  <c r="E19" i="7" a="1"/>
  <c r="E19" i="7" s="1"/>
  <c r="E9" i="7" a="1"/>
  <c r="E9" i="7" s="1"/>
  <c r="G16" i="7" a="1"/>
  <c r="G16" i="7" s="1"/>
  <c r="H8" i="7" a="1"/>
  <c r="H8" i="7" s="1"/>
  <c r="D6" i="7" a="1"/>
  <c r="D6" i="7" s="1"/>
  <c r="E2" i="7" a="1"/>
  <c r="E2" i="7" s="1"/>
  <c r="G9" i="7" a="1"/>
  <c r="G9" i="7" s="1"/>
  <c r="H6" i="7" a="1"/>
  <c r="H6" i="7" s="1"/>
  <c r="L10" i="7" a="1"/>
  <c r="L10" i="7" s="1"/>
  <c r="F18" i="7" a="1"/>
  <c r="F18" i="7" s="1"/>
  <c r="C16" i="7" a="1"/>
  <c r="C16" i="7" s="1"/>
  <c r="D4" i="7" a="1"/>
  <c r="D4" i="7" s="1"/>
  <c r="F16" i="7" a="1"/>
  <c r="F16" i="7" s="1"/>
  <c r="G8" i="7" a="1"/>
  <c r="G8" i="7" s="1"/>
  <c r="I15" i="7" a="1"/>
  <c r="I15" i="7" s="1"/>
  <c r="L3" i="7" a="1"/>
  <c r="L3" i="7" s="1"/>
  <c r="L17" i="7" a="1"/>
  <c r="L17" i="7" s="1"/>
  <c r="L19" i="7" a="1"/>
  <c r="L19" i="7" s="1"/>
  <c r="H19" i="7" a="1"/>
  <c r="H19" i="7" s="1"/>
  <c r="D19" i="7" a="1"/>
  <c r="D19" i="7" s="1"/>
  <c r="G15" i="7" a="1"/>
  <c r="G15" i="7" s="1"/>
  <c r="C15" i="7" a="1"/>
  <c r="C15" i="7" s="1"/>
  <c r="D3" i="7" a="1"/>
  <c r="D3" i="7" s="1"/>
  <c r="F10" i="7" a="1"/>
  <c r="F10" i="7" s="1"/>
  <c r="G7" i="7" a="1"/>
  <c r="G7" i="7" s="1"/>
  <c r="I14" i="7" a="1"/>
  <c r="I14" i="7" s="1"/>
  <c r="L2" i="7" a="1"/>
  <c r="L2" i="7" s="1"/>
  <c r="J18" i="7" a="1"/>
  <c r="J18" i="7" s="1"/>
  <c r="F17" i="7" a="1"/>
  <c r="F17" i="7" s="1"/>
  <c r="H7" i="7" a="1"/>
  <c r="H7" i="7" s="1"/>
  <c r="D2" i="7" a="1"/>
  <c r="D2" i="7" s="1"/>
  <c r="F9" i="7" a="1"/>
  <c r="F9" i="7" s="1"/>
  <c r="H16" i="7" a="1"/>
  <c r="H16" i="7" s="1"/>
  <c r="I7" i="7" a="1"/>
  <c r="I7" i="7" s="1"/>
  <c r="D18" i="7" a="1"/>
  <c r="D18" i="7" s="1"/>
  <c r="K19" i="7" a="1"/>
  <c r="K19" i="7" s="1"/>
  <c r="G19" i="7" a="1"/>
  <c r="G19" i="7" s="1"/>
  <c r="H17" i="7" a="1"/>
  <c r="H17" i="7" s="1"/>
  <c r="E11" i="7" a="1"/>
  <c r="E11" i="7" s="1"/>
  <c r="F8" i="7" a="1"/>
  <c r="F8" i="7" s="1"/>
  <c r="H15" i="7" a="1"/>
  <c r="H15" i="7" s="1"/>
  <c r="I6" i="7" a="1"/>
  <c r="I6" i="7" s="1"/>
  <c r="J17" i="7" a="1"/>
  <c r="J17" i="7" s="1"/>
  <c r="J13" i="7" a="1"/>
  <c r="J13" i="7" s="1"/>
  <c r="J5" i="7" a="1"/>
  <c r="J5" i="7" s="1"/>
  <c r="K4" i="7" a="1"/>
  <c r="K4" i="7" s="1"/>
  <c r="D9" i="7" a="1"/>
  <c r="D9" i="7" s="1"/>
  <c r="E16" i="7" a="1"/>
  <c r="E16" i="7" s="1"/>
  <c r="E8" i="7" a="1"/>
  <c r="E8" i="7" s="1"/>
  <c r="F15" i="7" a="1"/>
  <c r="F15" i="7" s="1"/>
  <c r="F7" i="7" a="1"/>
  <c r="F7" i="7" s="1"/>
  <c r="G14" i="7" a="1"/>
  <c r="G14" i="7" s="1"/>
  <c r="G6" i="7" a="1"/>
  <c r="G6" i="7" s="1"/>
  <c r="H13" i="7" a="1"/>
  <c r="H13" i="7" s="1"/>
  <c r="H5" i="7" a="1"/>
  <c r="H5" i="7" s="1"/>
  <c r="I12" i="7" a="1"/>
  <c r="I12" i="7" s="1"/>
  <c r="I4" i="7" a="1"/>
  <c r="I4" i="7" s="1"/>
  <c r="J11" i="7" a="1"/>
  <c r="J11" i="7" s="1"/>
  <c r="J3" i="7" a="1"/>
  <c r="J3" i="7" s="1"/>
  <c r="K10" i="7" a="1"/>
  <c r="K10" i="7" s="1"/>
  <c r="K2" i="7" a="1"/>
  <c r="K2" i="7" s="1"/>
  <c r="L9" i="7" a="1"/>
  <c r="L9" i="7" s="1"/>
  <c r="K12" i="7" a="1"/>
  <c r="K12" i="7" s="1"/>
  <c r="I5" i="7" a="1"/>
  <c r="I5" i="7" s="1"/>
  <c r="K11" i="7" a="1"/>
  <c r="K11" i="7" s="1"/>
  <c r="C4" i="7" a="1"/>
  <c r="C4" i="7" s="1"/>
  <c r="C3" i="7" a="1"/>
  <c r="C3" i="7" s="1"/>
  <c r="D16" i="7" a="1"/>
  <c r="D16" i="7" s="1"/>
  <c r="D8" i="7" a="1"/>
  <c r="D8" i="7" s="1"/>
  <c r="E15" i="7" a="1"/>
  <c r="E15" i="7" s="1"/>
  <c r="E7" i="7" a="1"/>
  <c r="E7" i="7" s="1"/>
  <c r="F14" i="7" a="1"/>
  <c r="F14" i="7" s="1"/>
  <c r="F6" i="7" a="1"/>
  <c r="F6" i="7" s="1"/>
  <c r="G13" i="7" a="1"/>
  <c r="G13" i="7" s="1"/>
  <c r="G5" i="7" a="1"/>
  <c r="G5" i="7" s="1"/>
  <c r="H12" i="7" a="1"/>
  <c r="H12" i="7" s="1"/>
  <c r="H4" i="7" a="1"/>
  <c r="H4" i="7" s="1"/>
  <c r="I11" i="7" a="1"/>
  <c r="I11" i="7" s="1"/>
  <c r="I3" i="7" a="1"/>
  <c r="I3" i="7" s="1"/>
  <c r="J10" i="7" a="1"/>
  <c r="J10" i="7" s="1"/>
  <c r="J2" i="7" a="1"/>
  <c r="J2" i="7" s="1"/>
  <c r="K9" i="7" a="1"/>
  <c r="K9" i="7" s="1"/>
  <c r="L16" i="7" a="1"/>
  <c r="L16" i="7" s="1"/>
  <c r="L8" i="7" a="1"/>
  <c r="L8" i="7" s="1"/>
  <c r="K18" i="7" a="1"/>
  <c r="K18" i="7" s="1"/>
  <c r="I18" i="7" a="1"/>
  <c r="I18" i="7" s="1"/>
  <c r="G18" i="7" a="1"/>
  <c r="G18" i="7" s="1"/>
  <c r="E18" i="7" a="1"/>
  <c r="E18" i="7" s="1"/>
  <c r="J4" i="7" a="1"/>
  <c r="J4" i="7" s="1"/>
  <c r="D15" i="7" a="1"/>
  <c r="D15" i="7" s="1"/>
  <c r="D7" i="7" a="1"/>
  <c r="D7" i="7" s="1"/>
  <c r="E14" i="7" a="1"/>
  <c r="E14" i="7" s="1"/>
  <c r="E6" i="7" a="1"/>
  <c r="E6" i="7" s="1"/>
  <c r="F13" i="7" a="1"/>
  <c r="F13" i="7" s="1"/>
  <c r="F5" i="7" a="1"/>
  <c r="F5" i="7" s="1"/>
  <c r="G12" i="7" a="1"/>
  <c r="G12" i="7" s="1"/>
  <c r="G4" i="7" a="1"/>
  <c r="G4" i="7" s="1"/>
  <c r="H11" i="7" a="1"/>
  <c r="H11" i="7" s="1"/>
  <c r="H3" i="7" a="1"/>
  <c r="H3" i="7" s="1"/>
  <c r="I10" i="7" a="1"/>
  <c r="I10" i="7" s="1"/>
  <c r="I2" i="7" a="1"/>
  <c r="I2" i="7" s="1"/>
  <c r="J9" i="7" a="1"/>
  <c r="J9" i="7" s="1"/>
  <c r="K16" i="7" a="1"/>
  <c r="K16" i="7" s="1"/>
  <c r="K8" i="7" a="1"/>
  <c r="K8" i="7" s="1"/>
  <c r="L15" i="7" a="1"/>
  <c r="L15" i="7" s="1"/>
  <c r="L7" i="7" a="1"/>
  <c r="L7" i="7" s="1"/>
  <c r="D14" i="7" a="1"/>
  <c r="D14" i="7" s="1"/>
  <c r="E13" i="7" a="1"/>
  <c r="E13" i="7" s="1"/>
  <c r="E5" i="7" a="1"/>
  <c r="E5" i="7" s="1"/>
  <c r="F12" i="7" a="1"/>
  <c r="F12" i="7" s="1"/>
  <c r="F4" i="7" a="1"/>
  <c r="F4" i="7" s="1"/>
  <c r="G11" i="7" a="1"/>
  <c r="G11" i="7" s="1"/>
  <c r="G3" i="7" a="1"/>
  <c r="G3" i="7" s="1"/>
  <c r="H10" i="7" a="1"/>
  <c r="H10" i="7" s="1"/>
  <c r="H2" i="7" a="1"/>
  <c r="H2" i="7" s="1"/>
  <c r="I9" i="7" a="1"/>
  <c r="I9" i="7" s="1"/>
  <c r="J16" i="7" a="1"/>
  <c r="J16" i="7" s="1"/>
  <c r="J8" i="7" a="1"/>
  <c r="J8" i="7" s="1"/>
  <c r="K15" i="7" a="1"/>
  <c r="K15" i="7" s="1"/>
  <c r="K7" i="7" a="1"/>
  <c r="K7" i="7" s="1"/>
  <c r="L14" i="7" a="1"/>
  <c r="L14" i="7" s="1"/>
  <c r="L6" i="7" a="1"/>
  <c r="L6" i="7" s="1"/>
  <c r="K17" i="7" a="1"/>
  <c r="K17" i="7" s="1"/>
  <c r="I17" i="7" a="1"/>
  <c r="I17" i="7" s="1"/>
  <c r="G17" i="7" a="1"/>
  <c r="G17" i="7" s="1"/>
  <c r="E17" i="7" a="1"/>
  <c r="E17" i="7" s="1"/>
  <c r="C5" i="7" a="1"/>
  <c r="C5" i="7" s="1"/>
  <c r="I13" i="7" a="1"/>
  <c r="I13" i="7" s="1"/>
  <c r="J12" i="7" a="1"/>
  <c r="J12" i="7" s="1"/>
  <c r="K3" i="7" a="1"/>
  <c r="K3" i="7" s="1"/>
  <c r="D13" i="7" a="1"/>
  <c r="D13" i="7" s="1"/>
  <c r="D5" i="7" a="1"/>
  <c r="D5" i="7" s="1"/>
  <c r="E12" i="7" a="1"/>
  <c r="E12" i="7" s="1"/>
  <c r="E4" i="7" a="1"/>
  <c r="E4" i="7" s="1"/>
  <c r="F11" i="7" a="1"/>
  <c r="F11" i="7" s="1"/>
  <c r="G10" i="7" a="1"/>
  <c r="G10" i="7" s="1"/>
  <c r="G2" i="7" a="1"/>
  <c r="G2" i="7" s="1"/>
  <c r="H9" i="7" a="1"/>
  <c r="H9" i="7" s="1"/>
  <c r="J7" i="7" a="1"/>
  <c r="J7" i="7" s="1"/>
  <c r="K6" i="7" a="1"/>
  <c r="K6" i="7" s="1"/>
  <c r="L13" i="7" a="1"/>
  <c r="L13" i="7" s="1"/>
  <c r="L5" i="7" a="1"/>
  <c r="L5" i="7" s="1"/>
  <c r="K13" i="7" a="1"/>
  <c r="K13" i="7" s="1"/>
  <c r="G4" i="1"/>
  <c r="H4" i="1"/>
  <c r="H2" i="1"/>
  <c r="G10" i="1"/>
  <c r="G12" i="1"/>
  <c r="G13" i="1"/>
  <c r="C13" i="1" s="1" a="1"/>
  <c r="C13" i="1" s="1"/>
  <c r="G14" i="1"/>
  <c r="C14" i="1" s="1" a="1"/>
  <c r="C14" i="1" s="1"/>
  <c r="G15" i="1"/>
  <c r="C15" i="1" s="1" a="1"/>
  <c r="C15" i="1" s="1"/>
  <c r="G16" i="1"/>
  <c r="C16" i="1" s="1" a="1"/>
  <c r="C16" i="1" s="1"/>
  <c r="H10" i="1"/>
  <c r="H12" i="1"/>
  <c r="H13" i="1"/>
  <c r="H14" i="1"/>
  <c r="H15" i="1"/>
  <c r="H16" i="1"/>
  <c r="I16" i="1" l="1" a="1"/>
  <c r="I16" i="1" s="1"/>
  <c r="J16" i="1" s="1"/>
  <c r="I4" i="1" a="1"/>
  <c r="I4" i="1" s="1"/>
  <c r="J4" i="1" s="1"/>
  <c r="I12" i="1" a="1"/>
  <c r="I12" i="1" s="1"/>
  <c r="J12" i="1" s="1"/>
  <c r="I10" i="1" a="1"/>
  <c r="I10" i="1" s="1"/>
  <c r="J10" i="1" s="1"/>
  <c r="I15" i="1" a="1"/>
  <c r="I15" i="1" s="1"/>
  <c r="J15" i="1" s="1"/>
  <c r="I14" i="1" a="1"/>
  <c r="I14" i="1" s="1"/>
  <c r="J14" i="1" s="1"/>
  <c r="I13" i="1" a="1"/>
  <c r="I13" i="1" s="1"/>
  <c r="J13" i="1" s="1"/>
  <c r="G8" i="1"/>
  <c r="H8" i="1"/>
  <c r="H6" i="1"/>
  <c r="G6" i="1"/>
  <c r="I6" i="1" s="1" a="1"/>
  <c r="I6" i="1" s="1"/>
  <c r="G2" i="1"/>
  <c r="I8" i="1" l="1" a="1"/>
  <c r="I8" i="1" s="1"/>
  <c r="J8" i="1" s="1"/>
  <c r="I2" i="1" a="1"/>
  <c r="I2" i="1" s="1"/>
  <c r="J2" i="1" s="1"/>
  <c r="J6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6C33A0B-3CD7-4BD8-B6B0-44DA92B82574}" keepAlive="1" name="クエリ - calcd_DB17_baselinesequence" description="ブック内の 'calcd_DB17_baselinesequence' クエリへの接続です。" type="5" refreshedVersion="8" background="1" refreshOnLoad="1" saveData="1">
    <dbPr connection="Provider=Microsoft.Mashup.OleDb.1;Data Source=$Workbook$;Location=calcd_DB17_baselinesequence;Extended Properties=&quot;&quot;" command="SELECT * FROM [calcd_DB17_baselinesequence]"/>
  </connection>
  <connection id="2" xr16:uid="{4E56C2A2-FA72-4C9C-BFC1-EF3C357A2291}" keepAlive="1" name="クエリ - DB16_baseline_for_PB" description="ブック内の 'DB16_baseline_for_PB' クエリへの接続です。" type="5" refreshedVersion="8" background="1" refreshOnLoad="1" saveData="1">
    <dbPr connection="Provider=Microsoft.Mashup.OleDb.1;Data Source=$Workbook$;Location=DB16_baseline_for_PB;Extended Properties=&quot;&quot;" command="SELECT * FROM [DB16_baseline_for_PB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<sst xmlns="http://schemas.openxmlformats.org/spreadsheetml/2006/main" count="586" uniqueCount="227">
  <si>
    <t>num</t>
  </si>
  <si>
    <t>name</t>
  </si>
  <si>
    <t>baselinename</t>
  </si>
  <si>
    <t>baseline</t>
  </si>
  <si>
    <t>sugar_wing</t>
  </si>
  <si>
    <t>sugar_gap</t>
  </si>
  <si>
    <t>link_wing</t>
  </si>
  <si>
    <t>link_gap</t>
  </si>
  <si>
    <t>wing5</t>
  </si>
  <si>
    <t>wing3</t>
  </si>
  <si>
    <t>CTAGTTCACTGAATGC</t>
  </si>
  <si>
    <t>ASO</t>
  </si>
  <si>
    <t>LNA</t>
  </si>
  <si>
    <t>DNA</t>
  </si>
  <si>
    <t>PS</t>
  </si>
  <si>
    <t>OMe</t>
  </si>
  <si>
    <t>RNA</t>
  </si>
  <si>
    <t>PO</t>
  </si>
  <si>
    <t>MOE</t>
  </si>
  <si>
    <t>BNA(NC-Me)</t>
  </si>
  <si>
    <t>TCATGGCTGCAGCT</t>
  </si>
  <si>
    <t>GGGTCAGCTGCCAATGCTAG</t>
  </si>
  <si>
    <t>GCATTGGTATTCA</t>
  </si>
  <si>
    <t>Full</t>
  </si>
  <si>
    <t>配列名</t>
  </si>
  <si>
    <t>Baseline</t>
  </si>
  <si>
    <t>length</t>
  </si>
  <si>
    <t>Folder</t>
  </si>
  <si>
    <t>根拠情報</t>
  </si>
  <si>
    <t>確認者</t>
  </si>
  <si>
    <t>入力日</t>
  </si>
  <si>
    <t>◆</t>
  </si>
  <si>
    <t>DNA/DNA対応</t>
  </si>
  <si>
    <t>岡本・高木・布施</t>
  </si>
  <si>
    <t>GTATTGCTGAGGA</t>
  </si>
  <si>
    <t>INGOT</t>
  </si>
  <si>
    <t>GCATTCTAATAGCAGC</t>
  </si>
  <si>
    <t>薬学会発表用スライド</t>
  </si>
  <si>
    <t>GACACCAGGGAGAGACAG</t>
  </si>
  <si>
    <t>ENA</t>
  </si>
  <si>
    <t>cEt</t>
  </si>
  <si>
    <t>scpBNA</t>
  </si>
  <si>
    <t>AmNA</t>
  </si>
  <si>
    <t>F</t>
  </si>
  <si>
    <t>PMO</t>
  </si>
  <si>
    <t>InvDNA</t>
  </si>
  <si>
    <t>PB</t>
  </si>
  <si>
    <t>si_as</t>
  </si>
  <si>
    <t>si_so</t>
  </si>
  <si>
    <t>確認済</t>
  </si>
  <si>
    <t>ID</t>
  </si>
  <si>
    <t>sequence</t>
    <phoneticPr fontId="1"/>
  </si>
  <si>
    <t>id_sequence</t>
    <phoneticPr fontId="1"/>
  </si>
  <si>
    <t>SO</t>
    <phoneticPr fontId="1"/>
  </si>
  <si>
    <t>note</t>
    <phoneticPr fontId="1"/>
  </si>
  <si>
    <t>手動調整？</t>
    <rPh sb="0" eb="2">
      <t>シュドウ</t>
    </rPh>
    <rPh sb="2" eb="4">
      <t>チョウセイ</t>
    </rPh>
    <phoneticPr fontId="1"/>
  </si>
  <si>
    <t>len</t>
    <phoneticPr fontId="1"/>
  </si>
  <si>
    <t>記入者</t>
  </si>
  <si>
    <t>岡本</t>
  </si>
  <si>
    <t>malat1-hm</t>
  </si>
  <si>
    <t>malat1</t>
  </si>
  <si>
    <t>Bace1</t>
  </si>
  <si>
    <t>SYNGAP1-24</t>
  </si>
  <si>
    <t>AGAAATGGAGAGGGAGAG</t>
  </si>
  <si>
    <t>INGOT資料</t>
  </si>
  <si>
    <t>SYNGAP1-5</t>
  </si>
  <si>
    <t>Apob</t>
  </si>
  <si>
    <t>PTEN</t>
  </si>
  <si>
    <t>malat1(INGOT)</t>
  </si>
  <si>
    <t>TCTACAGAAGCAAGGTGT</t>
  </si>
  <si>
    <t>GGCCAAACCAGGACATAT</t>
  </si>
  <si>
    <t>ID</t>
    <phoneticPr fontId="1"/>
  </si>
  <si>
    <t>Name</t>
    <phoneticPr fontId="1"/>
  </si>
  <si>
    <t>type_modification</t>
    <phoneticPr fontId="1"/>
  </si>
  <si>
    <t>Name</t>
  </si>
  <si>
    <t>note</t>
  </si>
  <si>
    <t>id_sequence</t>
  </si>
  <si>
    <t>len</t>
  </si>
  <si>
    <t>type_modification</t>
  </si>
  <si>
    <t>sequence_ns</t>
  </si>
  <si>
    <t>sequence_gd</t>
  </si>
  <si>
    <t>手動調整？</t>
  </si>
  <si>
    <t/>
  </si>
  <si>
    <t>A*G*A*A*A*T*G*G*A*G*A*G*G*G*A*G*A*G</t>
  </si>
  <si>
    <t>a*g*a*a*a*t*g*g*a*g*a*g*g*g*a*g*a*g</t>
  </si>
  <si>
    <t>A(M)*G(M)*A(M)*A(M)*A(M)*T(M)*G(M)*G(M)*A(M)*G(M)*A(M)*G(M)*G(M)*G(M)*A(M)*G(M)*A(M)*G(M)</t>
  </si>
  <si>
    <t>A(m)*G(m)*A(m)*A(m)*A(m)*T(m)*G(m)*G(m)*A(m)*G(m)*A(m)*G(m)*G(m)*G(m)*A(m)*G(m)*A(m)*G(m)</t>
  </si>
  <si>
    <t>G*A*C*A*C*C*A*G*G*G*A*G*A*G*A*C*A*G</t>
  </si>
  <si>
    <t>g*a*c*a*c*c*a*g*g*g*a*g*a*g*a*c*a*g</t>
  </si>
  <si>
    <t>G(M)*A(M)*mC(M)*A(M)*mC(M)*mC(M)*A(M)*G(M)*G(M)*G(M)*A(M)*G(M)*A(M)*G(M)*A(M)*mC(M)*A(M)*G(M)</t>
  </si>
  <si>
    <t>G(m)*A(m)*5(m)*A(m)*5(m)*5(m)*A(m)*G(m)*G(m)*G(m)*A(m)*G(m)*A(m)*G(m)*A(m)*5(m)*A(m)*G(m)</t>
  </si>
  <si>
    <t>T(M)*mC(M)*T(M)*A(M)*mC(M)*A(M)*G(M)*A(M)*A(M)*G(M)*mC(M)*A(M)*A(M)*G(M)*G(M)*T(M)*G(M)*T(M)</t>
  </si>
  <si>
    <t>T(m)*5(m)*T(m)*A(m)*5(m)*A(m)*G(m)*A(m)*A(m)*G(m)*5(m)*A(m)*A(m)*G(m)*G(m)*T(m)*G(m)*T(m)</t>
  </si>
  <si>
    <t>G(M)*G(M)*mC(M)*mC(M)*A(M)*A(M)*A(M)*mC(M)*mC(M)*A(M)*G(M)*G(M)*A(M)*mC(M)*A(M)*T(M)*A(M)*T(M)</t>
  </si>
  <si>
    <t>G(m)*G(m)*5(m)*5(m)*A(m)*A(m)*A(m)*5(m)*5(m)*A(m)*G(m)*G(m)*A(m)*5(m)*A(m)*T(m)*A(m)*T(m)</t>
  </si>
  <si>
    <t>num</t>
    <phoneticPr fontId="1"/>
  </si>
  <si>
    <t>name</t>
    <phoneticPr fontId="1"/>
  </si>
  <si>
    <t>手動調整</t>
    <rPh sb="0" eb="2">
      <t>シュドウ</t>
    </rPh>
    <rPh sb="2" eb="4">
      <t>チョウセイ</t>
    </rPh>
    <phoneticPr fontId="1"/>
  </si>
  <si>
    <t>sequence_ns</t>
    <phoneticPr fontId="1"/>
  </si>
  <si>
    <t>sequence_gd</t>
    <phoneticPr fontId="1"/>
  </si>
  <si>
    <t>確認者</t>
    <rPh sb="0" eb="3">
      <t>カクニンシャ</t>
    </rPh>
    <phoneticPr fontId="1"/>
  </si>
  <si>
    <t>確認日</t>
    <rPh sb="0" eb="2">
      <t>カクニン</t>
    </rPh>
    <rPh sb="2" eb="3">
      <t>ビ</t>
    </rPh>
    <phoneticPr fontId="1"/>
  </si>
  <si>
    <t>手動変更者</t>
    <rPh sb="0" eb="2">
      <t>シュドウ</t>
    </rPh>
    <rPh sb="2" eb="4">
      <t>ヘンコウ</t>
    </rPh>
    <rPh sb="4" eb="5">
      <t>シャ</t>
    </rPh>
    <phoneticPr fontId="1"/>
  </si>
  <si>
    <t>wing5</t>
    <phoneticPr fontId="1"/>
  </si>
  <si>
    <t>wing3</t>
    <phoneticPr fontId="1"/>
  </si>
  <si>
    <t>link_gap</t>
    <phoneticPr fontId="1"/>
  </si>
  <si>
    <t>link_wing</t>
    <phoneticPr fontId="1"/>
  </si>
  <si>
    <t>sugar_gap</t>
    <phoneticPr fontId="1"/>
  </si>
  <si>
    <t>sugar_wing</t>
    <phoneticPr fontId="1"/>
  </si>
  <si>
    <t>手動NS配列</t>
    <rPh sb="0" eb="2">
      <t>シュドウ</t>
    </rPh>
    <rPh sb="4" eb="6">
      <t>ハイレツ</t>
    </rPh>
    <phoneticPr fontId="1"/>
  </si>
  <si>
    <t>手動GD配列</t>
    <rPh sb="0" eb="2">
      <t>シュドウ</t>
    </rPh>
    <rPh sb="4" eb="6">
      <t>ハイレツ</t>
    </rPh>
    <phoneticPr fontId="1"/>
  </si>
  <si>
    <t>T16</t>
  </si>
  <si>
    <t>TTTTTTTTTTTTTTTT</t>
  </si>
  <si>
    <t>自明</t>
  </si>
  <si>
    <t>植原</t>
  </si>
  <si>
    <t>T*T*T*T*T*T*T*T*T*T*T*T*T*T*T*T</t>
  </si>
  <si>
    <t>t*t*t*t*t*t*t*t*t*t*t*t*t*t*t*t</t>
  </si>
  <si>
    <t>G(L)*T(L)*A*T*T*G*C*T*G*A*G(L)*G(L)*A(L)</t>
  </si>
  <si>
    <t>G(L)*T(L)*a*t*t*g*c*t*g*a*G(L)*G(L)*A(L)</t>
  </si>
  <si>
    <t>16-00-01</t>
  </si>
  <si>
    <t>16-00-02</t>
  </si>
  <si>
    <t>16-00-03</t>
  </si>
  <si>
    <t>16-00-04</t>
  </si>
  <si>
    <t>16-00-05</t>
  </si>
  <si>
    <t>16-00-06</t>
  </si>
  <si>
    <t>16-00-07</t>
  </si>
  <si>
    <t>16-00-08</t>
  </si>
  <si>
    <t>16-00-09</t>
  </si>
  <si>
    <t>16-00-0A</t>
  </si>
  <si>
    <t>16-00-0B</t>
  </si>
  <si>
    <t>16-00-0C</t>
  </si>
  <si>
    <t>ACGTACGT</t>
  </si>
  <si>
    <t>16-00-0D</t>
  </si>
  <si>
    <t>ACGT</t>
  </si>
  <si>
    <t>16-00-0E</t>
  </si>
  <si>
    <t>TGT</t>
  </si>
  <si>
    <t>16-00-0F</t>
  </si>
  <si>
    <t>GT</t>
  </si>
  <si>
    <t>16-00-03 Bace1</t>
  </si>
  <si>
    <t>16-00-04 SYNGAP1-24</t>
  </si>
  <si>
    <t>16-00-05 SYNGAP1-5</t>
  </si>
  <si>
    <t>16-00-0B T16</t>
  </si>
  <si>
    <t>16-00-0C ACGTACGT</t>
  </si>
  <si>
    <t>16-00-0D ACGT</t>
  </si>
  <si>
    <t>16-00-0E TGT</t>
  </si>
  <si>
    <t>16-00-0F GT</t>
  </si>
  <si>
    <t>SYNGAP1-24(All-DNA)</t>
    <phoneticPr fontId="1"/>
  </si>
  <si>
    <t>SYNGAP1-5(All-DNA)</t>
    <phoneticPr fontId="1"/>
  </si>
  <si>
    <t>T16(All-DNA)</t>
    <phoneticPr fontId="1"/>
  </si>
  <si>
    <t>Bace1(All-DNA)</t>
    <phoneticPr fontId="1"/>
  </si>
  <si>
    <t>Bace1 gapmer</t>
    <phoneticPr fontId="1"/>
  </si>
  <si>
    <t>SYNGAP1-24(Full MOE)</t>
    <phoneticPr fontId="1"/>
  </si>
  <si>
    <t>SYNGAP1-5(Full MOE)</t>
    <phoneticPr fontId="1"/>
  </si>
  <si>
    <t>Bace1(All-DNA)</t>
  </si>
  <si>
    <t>G*T*A*T*T*G*C*T*G*A*G*G*A</t>
  </si>
  <si>
    <t>g*t*a*t*t*g*c*t*g*a*g*g*a</t>
  </si>
  <si>
    <t>Bace1 gapmer</t>
  </si>
  <si>
    <t>SYNGAP1-24(All-DNA)</t>
  </si>
  <si>
    <t>SYNGAP1-24(Full MOE)</t>
  </si>
  <si>
    <t>SYNGAP1-5(All-DNA)</t>
  </si>
  <si>
    <t>SYNGAP1-5(Full MOE)</t>
  </si>
  <si>
    <t>T*C*T*A*C*A*G*A*A*G*C*A*A*G*G*T*G*T</t>
  </si>
  <si>
    <t>t*c*t*a*c*a*g*a*a*g*c*a*a*g*g*t*g*t</t>
  </si>
  <si>
    <t>G*G*C*C*A*A*A*C*C*A*G*G*A*C*A*T*A*T</t>
  </si>
  <si>
    <t>g*g*c*c*a*a*a*c*c*a*g*g*a*c*a*t*a*t</t>
  </si>
  <si>
    <t>T16(All-DNA)</t>
  </si>
  <si>
    <t>T*G*T</t>
  </si>
  <si>
    <t>t*g*t</t>
  </si>
  <si>
    <t>G*T</t>
  </si>
  <si>
    <t>g*t</t>
  </si>
  <si>
    <t>17-00-01</t>
  </si>
  <si>
    <t>17-00-02</t>
  </si>
  <si>
    <t>17-00-03</t>
  </si>
  <si>
    <t>17-00-04</t>
  </si>
  <si>
    <t>17-00-05</t>
  </si>
  <si>
    <t>17-00-06</t>
  </si>
  <si>
    <t>17-00-07</t>
  </si>
  <si>
    <t>17-00-08</t>
  </si>
  <si>
    <t>17-00-09</t>
  </si>
  <si>
    <t>17-00-0A</t>
  </si>
  <si>
    <t>17-00-0B</t>
  </si>
  <si>
    <t>17-00-0C</t>
  </si>
  <si>
    <t>17-00-0D</t>
  </si>
  <si>
    <t>17-00-0E</t>
  </si>
  <si>
    <t>17-00-0F</t>
  </si>
  <si>
    <t>CAGTCAGT</t>
  </si>
  <si>
    <t>CAGT</t>
  </si>
  <si>
    <t>C*A*G*T*C*A*G*T</t>
  </si>
  <si>
    <t>c*a*g*t*c*a*g*t</t>
  </si>
  <si>
    <t>C*A*G*T</t>
  </si>
  <si>
    <t>c*a*g*t</t>
  </si>
  <si>
    <t>16-00-0G</t>
  </si>
  <si>
    <t>AT</t>
  </si>
  <si>
    <t>16-00-0H</t>
  </si>
  <si>
    <t>CT</t>
  </si>
  <si>
    <t>16-00-0I</t>
  </si>
  <si>
    <t>TT</t>
  </si>
  <si>
    <t>16-00-0G AT</t>
  </si>
  <si>
    <t>16-00-0H CT</t>
  </si>
  <si>
    <t>16-00-0I TT</t>
  </si>
  <si>
    <t>17-00-0G</t>
  </si>
  <si>
    <t>A*T</t>
  </si>
  <si>
    <t>a*t</t>
  </si>
  <si>
    <t>17-00-0H</t>
  </si>
  <si>
    <t>C*T</t>
  </si>
  <si>
    <t>c*t</t>
  </si>
  <si>
    <t>17-00-0I</t>
  </si>
  <si>
    <t>T*T</t>
  </si>
  <si>
    <t>t*t</t>
  </si>
  <si>
    <t>16-00-02 malat1</t>
  </si>
  <si>
    <t>Malat1-ASO</t>
    <phoneticPr fontId="1"/>
  </si>
  <si>
    <t>17-00-0J</t>
  </si>
  <si>
    <t>Malat1-ASO</t>
  </si>
  <si>
    <t>mC(L)*T(L)*A(L)*G*T*T*C*A*C*T*G*A*A*T(L)*G(L)*mC(L)</t>
  </si>
  <si>
    <t>5(L)*T(L)*A(L)*g*t*t*c*a*c*t*g*a*a*T(L)*G(L)*5(L)</t>
  </si>
  <si>
    <t>mecp2-33</t>
  </si>
  <si>
    <t>mecp2-52</t>
  </si>
  <si>
    <t>16-00-09 mecp2-33</t>
  </si>
  <si>
    <t>16-00-0A mecp2-52</t>
  </si>
  <si>
    <t>mecp2-33(All-DNA)</t>
    <phoneticPr fontId="1"/>
  </si>
  <si>
    <t>mecp2-33(Full MOE)</t>
    <phoneticPr fontId="1"/>
  </si>
  <si>
    <t>mecp2-52(All-DNA)</t>
    <phoneticPr fontId="1"/>
  </si>
  <si>
    <t>mecp2-52(Full MOE)</t>
    <phoneticPr fontId="1"/>
  </si>
  <si>
    <t>mecp2-33(All-DNA)</t>
  </si>
  <si>
    <t>mecp2-33(Full MOE)</t>
  </si>
  <si>
    <t>mecp2-52(All-DNA)</t>
  </si>
  <si>
    <t>mecp2-52(Full MOE)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</si>
</sst>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5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0.5"/>
      <color theme="1"/>
      <name val="メイリオ"/>
      <family val="3"/>
      <charset val="128"/>
    </font>
    <font>
      <sz val="10.5"/>
      <color rgb="FFFFFF00"/>
      <name val="メイリオ"/>
      <family val="3"/>
      <charset val="128"/>
    </font>
    <font>
      <sz val="10.5"/>
      <color theme="0"/>
      <name val="メイリオ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2" fillId="0" borderId="0" xfId="0" applyFont="1" applyAlignment="1"/>
    <xf numFmtId="0" fontId="4" fillId="0" borderId="0" xfId="0" applyFont="1">
      <alignment vertical="center"/>
    </xf>
    <xf numFmtId="0" fontId="2" fillId="0" borderId="0" xfId="0" applyFont="1" applyAlignment="1">
      <alignment horizontal="left" vertical="center"/>
    </xf>
    <xf numFmtId="14" fontId="2" fillId="0" borderId="0" xfId="0" applyNumberFormat="1" applyFont="1">
      <alignment vertical="center"/>
    </xf>
    <xf numFmtId="176" fontId="2" fillId="0" borderId="0" xfId="0" applyNumberFormat="1" applyFont="1">
      <alignment vertical="center"/>
    </xf>
  </cellXfs>
  <cellStyles count="1">
    <cellStyle name="標準" xfId="0" builtinId="0"/>
  </cellStyles>
  <dxfs count="74"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  <numFmt numFmtId="19" formatCode="yyyy/m/d"/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  <numFmt numFmtId="0" formatCode="General"/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  <numFmt numFmtId="0" formatCode="General"/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  <numFmt numFmtId="0" formatCode="General"/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  <numFmt numFmtId="0" formatCode="General"/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  <numFmt numFmtId="0" formatCode="General"/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  <numFmt numFmtId="0" formatCode="General"/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0.5"/>
        <name val="メイリオ"/>
        <family val="3"/>
        <charset val="128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outline val="0"/>
        <shadow val="0"/>
        <u val="none"/>
        <vertAlign val="baseline"/>
        <sz val="10.5"/>
        <name val="メイリオ"/>
        <family val="3"/>
        <charset val="128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.5"/>
        <name val="メイリオ"/>
        <family val="3"/>
        <charset val="128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outline val="0"/>
        <shadow val="0"/>
        <u val="none"/>
        <vertAlign val="baseline"/>
        <sz val="10.5"/>
        <name val="メイリオ"/>
        <family val="3"/>
        <charset val="128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outline val="0"/>
        <shadow val="0"/>
        <u val="none"/>
        <vertAlign val="baseline"/>
        <sz val="10.5"/>
        <name val="メイリオ"/>
        <family val="3"/>
        <charset val="128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.5"/>
        <name val="メイリオ"/>
        <family val="3"/>
        <charset val="128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outline val="0"/>
        <shadow val="0"/>
        <u val="none"/>
        <vertAlign val="baseline"/>
        <sz val="10.5"/>
        <name val="メイリオ"/>
        <family val="3"/>
        <charset val="128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outline val="0"/>
        <shadow val="0"/>
        <u val="none"/>
        <vertAlign val="baseline"/>
        <sz val="10.5"/>
        <name val="メイリオ"/>
        <family val="3"/>
        <charset val="128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outline val="0"/>
        <shadow val="0"/>
        <u val="none"/>
        <vertAlign val="baseline"/>
        <sz val="10.5"/>
        <name val="メイリオ"/>
        <family val="3"/>
        <charset val="128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  <numFmt numFmtId="0" formatCode="General"/>
    </dxf>
    <dxf>
      <font>
        <b val="0"/>
        <i val="0"/>
        <strike val="0"/>
        <outline val="0"/>
        <shadow val="0"/>
        <u val="none"/>
        <vertAlign val="baseline"/>
        <sz val="10.5"/>
        <name val="メイリオ"/>
        <family val="3"/>
        <charset val="128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outline val="0"/>
        <shadow val="0"/>
        <u val="none"/>
        <vertAlign val="baseline"/>
        <sz val="10.5"/>
        <name val="メイリオ"/>
        <family val="3"/>
        <charset val="128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  <numFmt numFmtId="19" formatCode="yyyy/m/d"/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  <numFmt numFmtId="19" formatCode="yyyy/m/d"/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  <numFmt numFmtId="176" formatCode="yyyy/mm/dd"/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  <numFmt numFmtId="0" formatCode="General"/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  <numFmt numFmtId="0" formatCode="General"/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  <numFmt numFmtId="0" formatCode="General"/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  <numFmt numFmtId="0" formatCode="General"/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  <numFmt numFmtId="0" formatCode="General"/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  <numFmt numFmtId="0" formatCode="General"/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  <numFmt numFmtId="0" formatCode="General"/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  <numFmt numFmtId="0" formatCode="General"/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  <numFmt numFmtId="0" formatCode="General"/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  <numFmt numFmtId="0" formatCode="General"/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  <numFmt numFmtId="0" formatCode="General"/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refreshOnLoad="1" connectionId="2" xr16:uid="{68B88C01-A8F7-4320-9B0A-F244E74AF2F6}" autoFormatId="20" applyNumberFormats="0" applyBorderFormats="0" applyFontFormats="0" applyPatternFormats="0" applyAlignmentFormats="0" applyWidthHeightFormats="0">
  <queryTableRefresh nextId="12">
    <queryTableFields count="11">
      <queryTableField id="1" name="ID" tableColumnId="1"/>
      <queryTableField id="2" name="num" tableColumnId="2"/>
      <queryTableField id="3" name="配列名" tableColumnId="3"/>
      <queryTableField id="4" name="Baseline" tableColumnId="4"/>
      <queryTableField id="5" name="length" tableColumnId="5"/>
      <queryTableField id="6" name="Folder" tableColumnId="6"/>
      <queryTableField id="7" name="確認済" tableColumnId="7"/>
      <queryTableField id="8" name="根拠情報" tableColumnId="8"/>
      <queryTableField id="9" name="記入者" tableColumnId="9"/>
      <queryTableField id="10" name="確認者" tableColumnId="10"/>
      <queryTableField id="11" name="入力日" tableColumnId="1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refreshOnLoad="1" connectionId="1" xr16:uid="{70FBF421-5438-49C0-9304-B3C07F5D27F0}" autoFormatId="20" applyNumberFormats="0" applyBorderFormats="0" applyFontFormats="0" applyPatternFormats="0" applyAlignmentFormats="0" applyWidthHeightFormats="0">
  <queryTableRefresh nextId="18">
    <queryTableFields count="17">
      <queryTableField id="1" name="ID" tableColumnId="1"/>
      <queryTableField id="2" name="Name" tableColumnId="2"/>
      <queryTableField id="3" name="note" tableColumnId="3"/>
      <queryTableField id="4" name="id_sequence" tableColumnId="4"/>
      <queryTableField id="5" name="baselinename" tableColumnId="5"/>
      <queryTableField id="6" name="baseline" tableColumnId="6"/>
      <queryTableField id="7" name="len" tableColumnId="7"/>
      <queryTableField id="8" name="type_modification" tableColumnId="8"/>
      <queryTableField id="9" name="sugar_wing" tableColumnId="9"/>
      <queryTableField id="10" name="sugar_gap" tableColumnId="10"/>
      <queryTableField id="11" name="link_wing" tableColumnId="11"/>
      <queryTableField id="12" name="link_gap" tableColumnId="12"/>
      <queryTableField id="13" name="wing5" tableColumnId="13"/>
      <queryTableField id="14" name="wing3" tableColumnId="14"/>
      <queryTableField id="15" name="sequence_ns" tableColumnId="15"/>
      <queryTableField id="16" name="sequence_gd" tableColumnId="16"/>
      <queryTableField id="17" name="手動調整？" tableColumnId="17"/>
    </queryTableFields>
  </queryTableRefresh>
</queryTable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C7D106F-4206-486E-8258-E06ECDF4404F}" name="DB17_baselinesequence" displayName="DB17_baselinesequence" ref="A1:Q20" totalsRowShown="0" headerRowDxfId="73" dataDxfId="72">
  <autoFilter ref="A1:Q20" xr:uid="{FC7D106F-4206-486E-8258-E06ECDF4404F}"/>
  <tableColumns count="17">
    <tableColumn id="1" xr3:uid="{5F86BD8A-1EC4-46C5-B554-80957991FFAD}" name="num" dataDxfId="71"/>
    <tableColumn id="2" xr3:uid="{6F73FF62-482E-485B-A3C4-BC0E29D125C7}" name="ID" dataDxfId="70">
      <calculatedColumnFormula>"17-"&amp;LEFT(RIGHTB(REPT(0,4)&amp;_xlfn.BASE(DB17_baselinesequence[[#This Row],[num]],36),4),2)&amp;"-"&amp;RIGHT(RIGHTB(REPT(0,4)&amp;_xlfn.BASE(DB17_baselinesequence[[#This Row],[num]],36),4),2)</calculatedColumnFormula>
    </tableColumn>
    <tableColumn id="9" xr3:uid="{7F66A5F9-1919-4373-ADE4-6EDD7C155BC2}" name="name" dataDxfId="69">
      <calculatedColumnFormula array="1">VLOOKUP(DB17_baselinesequence[[#This Row],[ID]],calcd_DB17_baselinesequence[],COLUMN(calcd_DB17_baselinesequence[Name]),FALSE)</calculatedColumnFormula>
    </tableColumn>
    <tableColumn id="8" xr3:uid="{5CC1D951-809D-4583-ADF4-4A131E092A85}" name="手動調整" dataDxfId="68">
      <calculatedColumnFormula array="1">VLOOKUP(DB17_baselinesequence[[#This Row],[ID]],calcd_DB17_baselinesequence[],COLUMN(calcd_DB17_baselinesequence[手動調整？]),FALSE)</calculatedColumnFormula>
    </tableColumn>
    <tableColumn id="7" xr3:uid="{00EF0A48-FF9B-46F4-8778-D3414F439D0D}" name="sugar_wing" dataDxfId="67">
      <calculatedColumnFormula array="1">VLOOKUP(DB17_baselinesequence[[#This Row],[ID]],calcd_DB17_baselinesequence[],COLUMN(calcd_DB17_baselinesequence[sugar_wing]),FALSE)</calculatedColumnFormula>
    </tableColumn>
    <tableColumn id="6" xr3:uid="{A1FFDE25-3112-4ED1-BE29-D50B24AB18B6}" name="sugar_gap" dataDxfId="66">
      <calculatedColumnFormula array="1">VLOOKUP(DB17_baselinesequence[[#This Row],[ID]],calcd_DB17_baselinesequence[],COLUMN(calcd_DB17_baselinesequence[sugar_gap]),FALSE)</calculatedColumnFormula>
    </tableColumn>
    <tableColumn id="5" xr3:uid="{A53B13A1-5BB2-43C8-B455-82D20FFF1BC8}" name="link_wing" dataDxfId="65">
      <calculatedColumnFormula array="1">VLOOKUP(DB17_baselinesequence[[#This Row],[ID]],calcd_DB17_baselinesequence[],COLUMN(calcd_DB17_baselinesequence[link_wing]),FALSE)</calculatedColumnFormula>
    </tableColumn>
    <tableColumn id="4" xr3:uid="{A6272A26-F3A6-4D98-AA05-94B234DFF267}" name="link_gap" dataDxfId="64">
      <calculatedColumnFormula array="1">VLOOKUP(DB17_baselinesequence[[#This Row],[ID]],calcd_DB17_baselinesequence[],COLUMN(calcd_DB17_baselinesequence[link_gap]),FALSE)</calculatedColumnFormula>
    </tableColumn>
    <tableColumn id="15" xr3:uid="{E665188D-9228-49DC-97CC-248D5836F660}" name="wing5" dataDxfId="63">
      <calculatedColumnFormula array="1">VLOOKUP(DB17_baselinesequence[[#This Row],[ID]],calcd_DB17_baselinesequence[],COLUMN(calcd_DB17_baselinesequence[wing5]),FALSE)</calculatedColumnFormula>
    </tableColumn>
    <tableColumn id="14" xr3:uid="{72C7DE1A-F3E4-47F4-B7D7-149D0B262EF9}" name="wing3" dataDxfId="62">
      <calculatedColumnFormula array="1">VLOOKUP(DB17_baselinesequence[[#This Row],[ID]],calcd_DB17_baselinesequence[],COLUMN(calcd_DB17_baselinesequence[wing3]),FALSE)</calculatedColumnFormula>
    </tableColumn>
    <tableColumn id="3" xr3:uid="{3FB2E863-6362-438C-AADB-D52FA4438B29}" name="sequence_ns" dataDxfId="61">
      <calculatedColumnFormula array="1">VLOOKUP(DB17_baselinesequence[[#This Row],[ID]],calcd_DB17_baselinesequence[],COLUMN(calcd_DB17_baselinesequence[sequence_ns]),FALSE)</calculatedColumnFormula>
    </tableColumn>
    <tableColumn id="13" xr3:uid="{9B11042A-3F04-4D11-83B0-21C2ABCC8A21}" name="sequence_gd" dataDxfId="60">
      <calculatedColumnFormula array="1">VLOOKUP(DB17_baselinesequence[[#This Row],[ID]],calcd_DB17_baselinesequence[],COLUMN(calcd_DB17_baselinesequence[sequence_gd]),FALSE)</calculatedColumnFormula>
    </tableColumn>
    <tableColumn id="12" xr3:uid="{2930C218-29CD-460D-A2BA-D188DB62672D}" name="確認日" dataDxfId="59"/>
    <tableColumn id="11" xr3:uid="{24A28E15-B939-4E82-9A52-1D04B9ACA939}" name="確認者" dataDxfId="58"/>
    <tableColumn id="17" xr3:uid="{5CC7028E-715E-49EF-B7A4-E1F681BCE5F2}" name="手動NS配列" dataDxfId="57"/>
    <tableColumn id="16" xr3:uid="{B012537A-3B56-4458-BA51-21703FD0E48F}" name="手動GD配列" dataDxfId="56"/>
    <tableColumn id="10" xr3:uid="{18B2F95E-111D-43BB-BBA1-97DAE6FC7F80}" name="手動変更者" dataDxfId="5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onverter_fm06_to07" displayName="converter_fm06_to07" ref="A1:Q20" totalsRowShown="0" headerRowDxfId="54" dataDxfId="53">
  <autoFilter ref="A1:Q20" xr:uid="{00000000-0009-0000-0100-000001000000}"/>
  <tableColumns count="17">
    <tableColumn id="17" xr3:uid="{C59C4797-D652-4819-9BAA-9A4F84D68603}" name="ID" dataDxfId="52">
      <calculatedColumnFormula>"17-"&amp;LEFT(RIGHTB(REPT(0,4)&amp;_xlfn.BASE(converter_fm06_to07[[#This Row],[num]],36),4),2)&amp;"-"&amp;RIGHT(RIGHTB(REPT(0,4)&amp;_xlfn.BASE(converter_fm06_to07[[#This Row],[num]],36),4),2)</calculatedColumnFormula>
    </tableColumn>
    <tableColumn id="1" xr3:uid="{00000000-0010-0000-0000-000001000000}" name="num" dataDxfId="51"/>
    <tableColumn id="11" xr3:uid="{54464EE8-809F-4AB3-92A1-C0E61FC3AD03}" name="Name" dataDxfId="50"/>
    <tableColumn id="12" xr3:uid="{972E60EC-8859-4233-8403-F143C58DF66D}" name="note" dataDxfId="49"/>
    <tableColumn id="15" xr3:uid="{2A5F7BF8-2287-4D15-A99F-BD6A2ED28784}" name="手動調整？" dataDxfId="48"/>
    <tableColumn id="14" xr3:uid="{E4CFA7C2-EA98-4BC5-80A7-BA5096EA6C8A}" name="sequence" dataDxfId="47"/>
    <tableColumn id="2" xr3:uid="{00000000-0010-0000-0000-000002000000}" name="id_sequence" dataDxfId="46">
      <calculatedColumnFormula>LEFT(converter_fm06_to07[[#This Row],[sequence]],8)</calculatedColumnFormula>
    </tableColumn>
    <tableColumn id="3" xr3:uid="{00000000-0010-0000-0000-000003000000}" name="baselinename" dataDxfId="45">
      <calculatedColumnFormula>IF(converter_fm06_to07[[#This Row],[sequence]]="","",RIGHT(converter_fm06_to07[[#This Row],[sequence]],LEN(converter_fm06_to07[[#This Row],[sequence]])-9))</calculatedColumnFormula>
    </tableColumn>
    <tableColumn id="4" xr3:uid="{00000000-0010-0000-0000-000004000000}" name="baseline" dataDxfId="44">
      <calculatedColumnFormula array="1">VLOOKUP(converter_fm06_to07[[#This Row],[id_sequence]],DB16_baseline_for_PB[],COLUMN(DB16_baseline_for_PB[Baseline]),FALSE)</calculatedColumnFormula>
    </tableColumn>
    <tableColumn id="16" xr3:uid="{F64F6F71-91A9-4C3F-8D1C-FFE9B210F796}" name="len" dataDxfId="43">
      <calculatedColumnFormula>LEN(converter_fm06_to07[[#This Row],[baseline]])</calculatedColumnFormula>
    </tableColumn>
    <tableColumn id="5" xr3:uid="{00000000-0010-0000-0000-000005000000}" name="type_modification" dataDxfId="42"/>
    <tableColumn id="6" xr3:uid="{00000000-0010-0000-0000-000006000000}" name="sugar_wing" dataDxfId="41"/>
    <tableColumn id="7" xr3:uid="{00000000-0010-0000-0000-000007000000}" name="sugar_gap" dataDxfId="40"/>
    <tableColumn id="10" xr3:uid="{00000000-0010-0000-0000-00000A000000}" name="link_wing" dataDxfId="39"/>
    <tableColumn id="13" xr3:uid="{00000000-0010-0000-0000-00000D000000}" name="link_gap" dataDxfId="38"/>
    <tableColumn id="8" xr3:uid="{00000000-0010-0000-0000-000008000000}" name="wing5" dataDxfId="37"/>
    <tableColumn id="9" xr3:uid="{00000000-0010-0000-0000-000009000000}" name="wing3" dataDxfId="3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sugar" displayName="table_sugar" ref="A1:A14" totalsRowShown="0" headerRowDxfId="35" dataDxfId="34">
  <autoFilter ref="A1:A14" xr:uid="{00000000-0009-0000-0100-000003000000}"/>
  <tableColumns count="1">
    <tableColumn id="1" xr3:uid="{00000000-0010-0000-0200-000001000000}" name="name" dataDxfId="3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linker" displayName="table_linker" ref="A16:A19" totalsRowShown="0" headerRowDxfId="32" dataDxfId="31">
  <autoFilter ref="A16:A19" xr:uid="{00000000-0009-0000-0100-000004000000}"/>
  <tableColumns count="1">
    <tableColumn id="1" xr3:uid="{00000000-0010-0000-0300-000001000000}" name="name" dataDxfId="3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type" displayName="table_type" ref="A21:A26" totalsRowShown="0" headerRowDxfId="29" dataDxfId="28">
  <autoFilter ref="A21:A26" xr:uid="{00000000-0009-0000-0100-000005000000}"/>
  <tableColumns count="1">
    <tableColumn id="1" xr3:uid="{00000000-0010-0000-0400-000001000000}" name="name" dataDxfId="27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9C84F71-BF17-4341-97DD-F17AD7FFB721}" name="DB16_baseline_for_PB" displayName="DB16_baseline_for_PB" ref="A1:K19" tableType="queryTable" totalsRowShown="0" headerRowDxfId="26" dataDxfId="25">
  <autoFilter ref="A1:K19" xr:uid="{69C84F71-BF17-4341-97DD-F17AD7FFB721}"/>
  <tableColumns count="11">
    <tableColumn id="1" xr3:uid="{53CFEAF3-319E-4AF1-A83F-CFF328A3D90B}" uniqueName="1" name="ID" queryTableFieldId="1" dataDxfId="10"/>
    <tableColumn id="2" xr3:uid="{006E6B6E-BA58-4B2E-B93E-E09139BE00C6}" uniqueName="2" name="num" queryTableFieldId="2" dataDxfId="9"/>
    <tableColumn id="3" xr3:uid="{88CB608F-F5A1-4637-82D6-B27696D09CB0}" uniqueName="3" name="配列名" queryTableFieldId="3" dataDxfId="8"/>
    <tableColumn id="4" xr3:uid="{AFDF4405-38BB-45D2-A9D2-95B636B871A8}" uniqueName="4" name="Baseline" queryTableFieldId="4" dataDxfId="7"/>
    <tableColumn id="5" xr3:uid="{E6F9D948-D798-413C-98E3-0766208AD0C7}" uniqueName="5" name="length" queryTableFieldId="5" dataDxfId="6"/>
    <tableColumn id="6" xr3:uid="{828F7C2D-899D-4E3A-BFF7-EE29854FECB6}" uniqueName="6" name="Folder" queryTableFieldId="6" dataDxfId="5"/>
    <tableColumn id="7" xr3:uid="{0CB4CC16-6183-49CF-9F7C-E4ABC31F7305}" uniqueName="7" name="確認済" queryTableFieldId="7" dataDxfId="4"/>
    <tableColumn id="8" xr3:uid="{710F825A-A644-40EF-8776-32B08E3BFDBE}" uniqueName="8" name="根拠情報" queryTableFieldId="8" dataDxfId="3"/>
    <tableColumn id="9" xr3:uid="{43016625-4DA8-4404-8A46-F32389C088D6}" uniqueName="9" name="記入者" queryTableFieldId="9" dataDxfId="2"/>
    <tableColumn id="10" xr3:uid="{5562B063-E3E9-4054-B5C6-828B89955354}" uniqueName="10" name="確認者" queryTableFieldId="10" dataDxfId="1"/>
    <tableColumn id="11" xr3:uid="{4E58DFF0-D01B-4705-958F-8BDBD5C003C6}" uniqueName="11" name="入力日" queryTableFieldId="11" dataDxfId="0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0C46C6E-4BC1-41C9-9EF3-7AD506092836}" name="calcd_DB17_baselinesequence" displayName="calcd_DB17_baselinesequence" ref="A1:Q20" tableType="queryTable" totalsRowShown="0">
  <autoFilter ref="A1:Q20" xr:uid="{70C46C6E-4BC1-41C9-9EF3-7AD506092836}"/>
  <tableColumns count="17">
    <tableColumn id="1" xr3:uid="{2FD24435-3821-4CE9-8CD7-3FA4DCE4D833}" uniqueName="1" name="ID" queryTableFieldId="1" dataDxfId="24"/>
    <tableColumn id="2" xr3:uid="{47945D71-ACAD-4F7C-929B-EA8ACB18948B}" uniqueName="2" name="Name" queryTableFieldId="2" dataDxfId="23"/>
    <tableColumn id="3" xr3:uid="{D4C13F34-2FC8-407D-B15E-0D61EC1AFC57}" uniqueName="3" name="note" queryTableFieldId="3" dataDxfId="22"/>
    <tableColumn id="4" xr3:uid="{798D840E-34FC-49FB-BE7A-1BDD0BF2BE26}" uniqueName="4" name="id_sequence" queryTableFieldId="4" dataDxfId="21"/>
    <tableColumn id="5" xr3:uid="{8A3A131B-2F3D-4E50-8237-AEAA6FE32FF3}" uniqueName="5" name="baselinename" queryTableFieldId="5" dataDxfId="20"/>
    <tableColumn id="6" xr3:uid="{FCDED049-CC61-461E-AC90-B59EA4AAE321}" uniqueName="6" name="baseline" queryTableFieldId="6" dataDxfId="19"/>
    <tableColumn id="7" xr3:uid="{CFA11671-EFFB-42D0-9073-6486011C1BCA}" uniqueName="7" name="len" queryTableFieldId="7"/>
    <tableColumn id="8" xr3:uid="{7EE9C871-43FE-436B-8E3C-56DBBBF900B0}" uniqueName="8" name="type_modification" queryTableFieldId="8" dataDxfId="18"/>
    <tableColumn id="9" xr3:uid="{412FC5CF-E41B-450E-AABB-3F4A4D1BED54}" uniqueName="9" name="sugar_wing" queryTableFieldId="9" dataDxfId="17"/>
    <tableColumn id="10" xr3:uid="{48E1C878-4327-458D-82C9-518B711CD49B}" uniqueName="10" name="sugar_gap" queryTableFieldId="10" dataDxfId="16"/>
    <tableColumn id="11" xr3:uid="{D2FEE97B-2851-4374-A1E2-813A520FB2DA}" uniqueName="11" name="link_wing" queryTableFieldId="11" dataDxfId="15"/>
    <tableColumn id="12" xr3:uid="{71671675-7E3F-431C-9CA7-939390F5681E}" uniqueName="12" name="link_gap" queryTableFieldId="12" dataDxfId="14"/>
    <tableColumn id="13" xr3:uid="{B2583EA2-1FDB-4B56-A693-AAC18008A973}" uniqueName="13" name="wing5" queryTableFieldId="13"/>
    <tableColumn id="14" xr3:uid="{0BE012F6-DCF3-49C7-8755-47F192B8BF86}" uniqueName="14" name="wing3" queryTableFieldId="14"/>
    <tableColumn id="15" xr3:uid="{DA6DCF41-497E-454A-AF9C-05380758360E}" uniqueName="15" name="sequence_ns" queryTableFieldId="15" dataDxfId="13"/>
    <tableColumn id="16" xr3:uid="{69BB9348-F14C-4446-AA20-F365AC26983D}" uniqueName="16" name="sequence_gd" queryTableFieldId="16" dataDxfId="12"/>
    <tableColumn id="17" xr3:uid="{C36A8CE4-7302-4ABB-A88A-C258231CCC23}" uniqueName="17" name="手動調整？" queryTableFieldId="17" dataDxfId="1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B4A9C-409F-4231-9290-6A72E913F09D}">
  <dimension ref="A1:Q20"/>
  <sheetViews>
    <sheetView tabSelected="1" zoomScale="85" zoomScaleNormal="85" workbookViewId="0">
      <selection activeCell="C8" sqref="C8"/>
    </sheetView>
  </sheetViews>
  <sheetFormatPr defaultRowHeight="17.25" x14ac:dyDescent="0.4"/>
  <cols>
    <col min="1" max="1" width="8" style="1" bestFit="1" customWidth="1"/>
    <col min="2" max="2" width="10" style="1" bestFit="1" customWidth="1"/>
    <col min="3" max="3" width="37.5" style="1" bestFit="1" customWidth="1"/>
    <col min="4" max="4" width="11.25" style="1" bestFit="1" customWidth="1"/>
    <col min="5" max="8" width="13.625" style="1" customWidth="1"/>
    <col min="9" max="9" width="6.875" style="1" customWidth="1"/>
    <col min="10" max="10" width="8.25" style="1" customWidth="1"/>
    <col min="11" max="12" width="86.375" style="1" customWidth="1"/>
    <col min="13" max="13" width="13.625" style="1" customWidth="1"/>
    <col min="14" max="14" width="17.125" style="1" customWidth="1"/>
    <col min="15" max="16" width="13.625" style="1" customWidth="1"/>
    <col min="17" max="17" width="12.5" style="1" bestFit="1" customWidth="1"/>
    <col min="18" max="16384" width="9" style="1"/>
  </cols>
  <sheetData>
    <row r="1" spans="1:17" x14ac:dyDescent="0.4">
      <c r="A1" s="1" t="s">
        <v>95</v>
      </c>
      <c r="B1" s="1" t="s">
        <v>71</v>
      </c>
      <c r="C1" s="1" t="s">
        <v>96</v>
      </c>
      <c r="D1" s="1" t="s">
        <v>97</v>
      </c>
      <c r="E1" s="1" t="s">
        <v>108</v>
      </c>
      <c r="F1" s="1" t="s">
        <v>107</v>
      </c>
      <c r="G1" s="1" t="s">
        <v>106</v>
      </c>
      <c r="H1" s="1" t="s">
        <v>105</v>
      </c>
      <c r="I1" s="1" t="s">
        <v>103</v>
      </c>
      <c r="J1" s="1" t="s">
        <v>104</v>
      </c>
      <c r="K1" s="1" t="s">
        <v>98</v>
      </c>
      <c r="L1" s="1" t="s">
        <v>99</v>
      </c>
      <c r="M1" s="1" t="s">
        <v>101</v>
      </c>
      <c r="N1" s="1" t="s">
        <v>100</v>
      </c>
      <c r="O1" s="1" t="s">
        <v>109</v>
      </c>
      <c r="P1" s="1" t="s">
        <v>110</v>
      </c>
      <c r="Q1" s="1" t="s">
        <v>102</v>
      </c>
    </row>
    <row r="2" spans="1:17" x14ac:dyDescent="0.4">
      <c r="A2" s="1">
        <v>1</v>
      </c>
      <c r="B2" s="1" t="str">
        <f>"17-"&amp;LEFT(RIGHTB(REPT(0,4)&amp;_xlfn.BASE(DB17_baselinesequence[[#This Row],[num]],36),4),2)&amp;"-"&amp;RIGHT(RIGHTB(REPT(0,4)&amp;_xlfn.BASE(DB17_baselinesequence[[#This Row],[num]],36),4),2)</f>
        <v>17-00-01</v>
      </c>
      <c r="C2" s="1" t="str" cm="1">
        <f t="array" ref="C2">VLOOKUP(DB17_baselinesequence[[#This Row],[ID]],calcd_DB17_baselinesequence[],COLUMN(calcd_DB17_baselinesequence[Name]),FALSE)</f>
        <v>Bace1(All-DNA)</v>
      </c>
      <c r="D2" s="1" t="str" cm="1">
        <f t="array" ref="D2">VLOOKUP(DB17_baselinesequence[[#This Row],[ID]],calcd_DB17_baselinesequence[],COLUMN(calcd_DB17_baselinesequence[手動調整？]),FALSE)</f>
        <v/>
      </c>
      <c r="E2" s="1" t="str" cm="1">
        <f t="array" ref="E2">VLOOKUP(DB17_baselinesequence[[#This Row],[ID]],calcd_DB17_baselinesequence[],COLUMN(calcd_DB17_baselinesequence[sugar_wing]),FALSE)</f>
        <v>DNA</v>
      </c>
      <c r="F2" s="1" t="str" cm="1">
        <f t="array" ref="F2">VLOOKUP(DB17_baselinesequence[[#This Row],[ID]],calcd_DB17_baselinesequence[],COLUMN(calcd_DB17_baselinesequence[sugar_gap]),FALSE)</f>
        <v>DNA</v>
      </c>
      <c r="G2" s="1" t="str" cm="1">
        <f t="array" ref="G2">VLOOKUP(DB17_baselinesequence[[#This Row],[ID]],calcd_DB17_baselinesequence[],COLUMN(calcd_DB17_baselinesequence[link_wing]),FALSE)</f>
        <v>PB</v>
      </c>
      <c r="H2" s="1" t="str" cm="1">
        <f t="array" ref="H2">VLOOKUP(DB17_baselinesequence[[#This Row],[ID]],calcd_DB17_baselinesequence[],COLUMN(calcd_DB17_baselinesequence[link_gap]),FALSE)</f>
        <v>PB</v>
      </c>
      <c r="I2" s="1" cm="1">
        <f t="array" ref="I2">VLOOKUP(DB17_baselinesequence[[#This Row],[ID]],calcd_DB17_baselinesequence[],COLUMN(calcd_DB17_baselinesequence[wing5]),FALSE)</f>
        <v>2</v>
      </c>
      <c r="J2" s="1" cm="1">
        <f t="array" ref="J2">VLOOKUP(DB17_baselinesequence[[#This Row],[ID]],calcd_DB17_baselinesequence[],COLUMN(calcd_DB17_baselinesequence[wing3]),FALSE)</f>
        <v>3</v>
      </c>
      <c r="K2" s="1" t="str" cm="1">
        <f t="array" ref="K2">VLOOKUP(DB17_baselinesequence[[#This Row],[ID]],calcd_DB17_baselinesequence[],COLUMN(calcd_DB17_baselinesequence[sequence_ns]),FALSE)</f>
        <v>G*T*A*T*T*G*C*T*G*A*G*G*A</v>
      </c>
      <c r="L2" s="1" t="str" cm="1">
        <f t="array" ref="L2">VLOOKUP(DB17_baselinesequence[[#This Row],[ID]],calcd_DB17_baselinesequence[],COLUMN(calcd_DB17_baselinesequence[sequence_gd]),FALSE)</f>
        <v>g*t*a*t*t*g*c*t*g*a*g*g*a</v>
      </c>
      <c r="M2" s="7">
        <v>44926</v>
      </c>
      <c r="Q2" s="6"/>
    </row>
    <row r="3" spans="1:17" x14ac:dyDescent="0.4">
      <c r="A3" s="1">
        <v>2</v>
      </c>
      <c r="B3" s="1" t="str">
        <f>"17-"&amp;LEFT(RIGHTB(REPT(0,4)&amp;_xlfn.BASE(DB17_baselinesequence[[#This Row],[num]],36),4),2)&amp;"-"&amp;RIGHT(RIGHTB(REPT(0,4)&amp;_xlfn.BASE(DB17_baselinesequence[[#This Row],[num]],36),4),2)</f>
        <v>17-00-02</v>
      </c>
      <c r="C3" s="1" t="str" cm="1">
        <f t="array" ref="C3">VLOOKUP(DB17_baselinesequence[[#This Row],[ID]],calcd_DB17_baselinesequence[],COLUMN(calcd_DB17_baselinesequence[Name]),FALSE)</f>
        <v>Bace1 gapmer</v>
      </c>
      <c r="D3" s="1" t="str" cm="1">
        <f t="array" ref="D3">VLOOKUP(DB17_baselinesequence[[#This Row],[ID]],calcd_DB17_baselinesequence[],COLUMN(calcd_DB17_baselinesequence[手動調整？]),FALSE)</f>
        <v/>
      </c>
      <c r="E3" s="1" t="str" cm="1">
        <f t="array" ref="E3">VLOOKUP(DB17_baselinesequence[[#This Row],[ID]],calcd_DB17_baselinesequence[],COLUMN(calcd_DB17_baselinesequence[sugar_wing]),FALSE)</f>
        <v>LNA</v>
      </c>
      <c r="F3" s="1" t="str" cm="1">
        <f t="array" ref="F3">VLOOKUP(DB17_baselinesequence[[#This Row],[ID]],calcd_DB17_baselinesequence[],COLUMN(calcd_DB17_baselinesequence[sugar_gap]),FALSE)</f>
        <v>DNA</v>
      </c>
      <c r="G3" s="1" t="str" cm="1">
        <f t="array" ref="G3">VLOOKUP(DB17_baselinesequence[[#This Row],[ID]],calcd_DB17_baselinesequence[],COLUMN(calcd_DB17_baselinesequence[link_wing]),FALSE)</f>
        <v>PB</v>
      </c>
      <c r="H3" s="1" t="str" cm="1">
        <f t="array" ref="H3">VLOOKUP(DB17_baselinesequence[[#This Row],[ID]],calcd_DB17_baselinesequence[],COLUMN(calcd_DB17_baselinesequence[link_gap]),FALSE)</f>
        <v>PB</v>
      </c>
      <c r="I3" s="1" cm="1">
        <f t="array" ref="I3">VLOOKUP(DB17_baselinesequence[[#This Row],[ID]],calcd_DB17_baselinesequence[],COLUMN(calcd_DB17_baselinesequence[wing5]),FALSE)</f>
        <v>2</v>
      </c>
      <c r="J3" s="1" cm="1">
        <f t="array" ref="J3">VLOOKUP(DB17_baselinesequence[[#This Row],[ID]],calcd_DB17_baselinesequence[],COLUMN(calcd_DB17_baselinesequence[wing3]),FALSE)</f>
        <v>3</v>
      </c>
      <c r="K3" s="1" t="str" cm="1">
        <f t="array" ref="K3">VLOOKUP(DB17_baselinesequence[[#This Row],[ID]],calcd_DB17_baselinesequence[],COLUMN(calcd_DB17_baselinesequence[sequence_ns]),FALSE)</f>
        <v>G(L)*T(L)*A*T*T*G*C*T*G*A*G(L)*G(L)*A(L)</v>
      </c>
      <c r="L3" s="1" t="str" cm="1">
        <f t="array" ref="L3">VLOOKUP(DB17_baselinesequence[[#This Row],[ID]],calcd_DB17_baselinesequence[],COLUMN(calcd_DB17_baselinesequence[sequence_gd]),FALSE)</f>
        <v>G(L)*T(L)*a*t*t*g*c*t*g*a*G(L)*G(L)*A(L)</v>
      </c>
      <c r="M3" s="7">
        <v>44926</v>
      </c>
      <c r="Q3" s="6"/>
    </row>
    <row r="4" spans="1:17" x14ac:dyDescent="0.4">
      <c r="A4" s="1">
        <v>3</v>
      </c>
      <c r="B4" s="1" t="str">
        <f>"17-"&amp;LEFT(RIGHTB(REPT(0,4)&amp;_xlfn.BASE(DB17_baselinesequence[[#This Row],[num]],36),4),2)&amp;"-"&amp;RIGHT(RIGHTB(REPT(0,4)&amp;_xlfn.BASE(DB17_baselinesequence[[#This Row],[num]],36),4),2)</f>
        <v>17-00-03</v>
      </c>
      <c r="C4" s="1" t="str" cm="1">
        <f t="array" ref="C4">VLOOKUP(DB17_baselinesequence[[#This Row],[ID]],calcd_DB17_baselinesequence[],COLUMN(calcd_DB17_baselinesequence[Name]),FALSE)</f>
        <v>SYNGAP1-24(All-DNA)</v>
      </c>
      <c r="D4" s="1" t="str" cm="1">
        <f t="array" ref="D4">VLOOKUP(DB17_baselinesequence[[#This Row],[ID]],calcd_DB17_baselinesequence[],COLUMN(calcd_DB17_baselinesequence[手動調整？]),FALSE)</f>
        <v/>
      </c>
      <c r="E4" s="1" t="str" cm="1">
        <f t="array" ref="E4">VLOOKUP(DB17_baselinesequence[[#This Row],[ID]],calcd_DB17_baselinesequence[],COLUMN(calcd_DB17_baselinesequence[sugar_wing]),FALSE)</f>
        <v>DNA</v>
      </c>
      <c r="F4" s="1" t="str" cm="1">
        <f t="array" ref="F4">VLOOKUP(DB17_baselinesequence[[#This Row],[ID]],calcd_DB17_baselinesequence[],COLUMN(calcd_DB17_baselinesequence[sugar_gap]),FALSE)</f>
        <v>DNA</v>
      </c>
      <c r="G4" s="1" t="str" cm="1">
        <f t="array" ref="G4">VLOOKUP(DB17_baselinesequence[[#This Row],[ID]],calcd_DB17_baselinesequence[],COLUMN(calcd_DB17_baselinesequence[link_wing]),FALSE)</f>
        <v>PB</v>
      </c>
      <c r="H4" s="1" t="str" cm="1">
        <f t="array" ref="H4">VLOOKUP(DB17_baselinesequence[[#This Row],[ID]],calcd_DB17_baselinesequence[],COLUMN(calcd_DB17_baselinesequence[link_gap]),FALSE)</f>
        <v>PB</v>
      </c>
      <c r="I4" s="1" cm="1">
        <f t="array" ref="I4">VLOOKUP(DB17_baselinesequence[[#This Row],[ID]],calcd_DB17_baselinesequence[],COLUMN(calcd_DB17_baselinesequence[wing5]),FALSE)</f>
        <v>0</v>
      </c>
      <c r="J4" s="1" cm="1">
        <f t="array" ref="J4">VLOOKUP(DB17_baselinesequence[[#This Row],[ID]],calcd_DB17_baselinesequence[],COLUMN(calcd_DB17_baselinesequence[wing3]),FALSE)</f>
        <v>0</v>
      </c>
      <c r="K4" s="1" t="str" cm="1">
        <f t="array" ref="K4">VLOOKUP(DB17_baselinesequence[[#This Row],[ID]],calcd_DB17_baselinesequence[],COLUMN(calcd_DB17_baselinesequence[sequence_ns]),FALSE)</f>
        <v>A*G*A*A*A*T*G*G*A*G*A*G*G*G*A*G*A*G</v>
      </c>
      <c r="L4" s="1" t="str" cm="1">
        <f t="array" ref="L4">VLOOKUP(DB17_baselinesequence[[#This Row],[ID]],calcd_DB17_baselinesequence[],COLUMN(calcd_DB17_baselinesequence[sequence_gd]),FALSE)</f>
        <v>a*g*a*a*a*t*g*g*a*g*a*g*g*g*a*g*a*g</v>
      </c>
      <c r="M4" s="7">
        <v>44926</v>
      </c>
      <c r="Q4" s="6"/>
    </row>
    <row r="5" spans="1:17" x14ac:dyDescent="0.4">
      <c r="A5" s="1">
        <v>4</v>
      </c>
      <c r="B5" s="1" t="str">
        <f>"17-"&amp;LEFT(RIGHTB(REPT(0,4)&amp;_xlfn.BASE(DB17_baselinesequence[[#This Row],[num]],36),4),2)&amp;"-"&amp;RIGHT(RIGHTB(REPT(0,4)&amp;_xlfn.BASE(DB17_baselinesequence[[#This Row],[num]],36),4),2)</f>
        <v>17-00-04</v>
      </c>
      <c r="C5" s="1" t="str" cm="1">
        <f t="array" ref="C5">VLOOKUP(DB17_baselinesequence[[#This Row],[ID]],calcd_DB17_baselinesequence[],COLUMN(calcd_DB17_baselinesequence[Name]),FALSE)</f>
        <v>SYNGAP1-24(Full MOE)</v>
      </c>
      <c r="D5" s="1" t="str" cm="1">
        <f t="array" ref="D5">VLOOKUP(DB17_baselinesequence[[#This Row],[ID]],calcd_DB17_baselinesequence[],COLUMN(calcd_DB17_baselinesequence[手動調整？]),FALSE)</f>
        <v/>
      </c>
      <c r="E5" s="1" t="str" cm="1">
        <f t="array" ref="E5">VLOOKUP(DB17_baselinesequence[[#This Row],[ID]],calcd_DB17_baselinesequence[],COLUMN(calcd_DB17_baselinesequence[sugar_wing]),FALSE)</f>
        <v>MOE</v>
      </c>
      <c r="F5" s="1" t="str" cm="1">
        <f t="array" ref="F5">VLOOKUP(DB17_baselinesequence[[#This Row],[ID]],calcd_DB17_baselinesequence[],COLUMN(calcd_DB17_baselinesequence[sugar_gap]),FALSE)</f>
        <v>MOE</v>
      </c>
      <c r="G5" s="1" t="str" cm="1">
        <f t="array" ref="G5">VLOOKUP(DB17_baselinesequence[[#This Row],[ID]],calcd_DB17_baselinesequence[],COLUMN(calcd_DB17_baselinesequence[link_wing]),FALSE)</f>
        <v>PB</v>
      </c>
      <c r="H5" s="1" t="str" cm="1">
        <f t="array" ref="H5">VLOOKUP(DB17_baselinesequence[[#This Row],[ID]],calcd_DB17_baselinesequence[],COLUMN(calcd_DB17_baselinesequence[link_gap]),FALSE)</f>
        <v>PB</v>
      </c>
      <c r="I5" s="1" cm="1">
        <f t="array" ref="I5">VLOOKUP(DB17_baselinesequence[[#This Row],[ID]],calcd_DB17_baselinesequence[],COLUMN(calcd_DB17_baselinesequence[wing5]),FALSE)</f>
        <v>0</v>
      </c>
      <c r="J5" s="1" cm="1">
        <f t="array" ref="J5">VLOOKUP(DB17_baselinesequence[[#This Row],[ID]],calcd_DB17_baselinesequence[],COLUMN(calcd_DB17_baselinesequence[wing3]),FALSE)</f>
        <v>0</v>
      </c>
      <c r="K5" s="1" t="str" cm="1">
        <f t="array" ref="K5">VLOOKUP(DB17_baselinesequence[[#This Row],[ID]],calcd_DB17_baselinesequence[],COLUMN(calcd_DB17_baselinesequence[sequence_ns]),FALSE)</f>
        <v>A(M)*G(M)*A(M)*A(M)*A(M)*T(M)*G(M)*G(M)*A(M)*G(M)*A(M)*G(M)*G(M)*G(M)*A(M)*G(M)*A(M)*G(M)</v>
      </c>
      <c r="L5" s="1" t="str" cm="1">
        <f t="array" ref="L5">VLOOKUP(DB17_baselinesequence[[#This Row],[ID]],calcd_DB17_baselinesequence[],COLUMN(calcd_DB17_baselinesequence[sequence_gd]),FALSE)</f>
        <v>A(m)*G(m)*A(m)*A(m)*A(m)*T(m)*G(m)*G(m)*A(m)*G(m)*A(m)*G(m)*G(m)*G(m)*A(m)*G(m)*A(m)*G(m)</v>
      </c>
      <c r="M5" s="7">
        <v>44926</v>
      </c>
      <c r="Q5" s="6"/>
    </row>
    <row r="6" spans="1:17" x14ac:dyDescent="0.4">
      <c r="A6" s="1">
        <v>5</v>
      </c>
      <c r="B6" s="1" t="str">
        <f>"17-"&amp;LEFT(RIGHTB(REPT(0,4)&amp;_xlfn.BASE(DB17_baselinesequence[[#This Row],[num]],36),4),2)&amp;"-"&amp;RIGHT(RIGHTB(REPT(0,4)&amp;_xlfn.BASE(DB17_baselinesequence[[#This Row],[num]],36),4),2)</f>
        <v>17-00-05</v>
      </c>
      <c r="C6" s="1" t="str" cm="1">
        <f t="array" ref="C6">VLOOKUP(DB17_baselinesequence[[#This Row],[ID]],calcd_DB17_baselinesequence[],COLUMN(calcd_DB17_baselinesequence[Name]),FALSE)</f>
        <v>SYNGAP1-5(All-DNA)</v>
      </c>
      <c r="D6" s="1" t="str" cm="1">
        <f t="array" ref="D6">VLOOKUP(DB17_baselinesequence[[#This Row],[ID]],calcd_DB17_baselinesequence[],COLUMN(calcd_DB17_baselinesequence[手動調整？]),FALSE)</f>
        <v/>
      </c>
      <c r="E6" s="1" t="str" cm="1">
        <f t="array" ref="E6">VLOOKUP(DB17_baselinesequence[[#This Row],[ID]],calcd_DB17_baselinesequence[],COLUMN(calcd_DB17_baselinesequence[sugar_wing]),FALSE)</f>
        <v>DNA</v>
      </c>
      <c r="F6" s="1" t="str" cm="1">
        <f t="array" ref="F6">VLOOKUP(DB17_baselinesequence[[#This Row],[ID]],calcd_DB17_baselinesequence[],COLUMN(calcd_DB17_baselinesequence[sugar_gap]),FALSE)</f>
        <v>DNA</v>
      </c>
      <c r="G6" s="1" t="str" cm="1">
        <f t="array" ref="G6">VLOOKUP(DB17_baselinesequence[[#This Row],[ID]],calcd_DB17_baselinesequence[],COLUMN(calcd_DB17_baselinesequence[link_wing]),FALSE)</f>
        <v>PB</v>
      </c>
      <c r="H6" s="1" t="str" cm="1">
        <f t="array" ref="H6">VLOOKUP(DB17_baselinesequence[[#This Row],[ID]],calcd_DB17_baselinesequence[],COLUMN(calcd_DB17_baselinesequence[link_gap]),FALSE)</f>
        <v>PB</v>
      </c>
      <c r="I6" s="1" cm="1">
        <f t="array" ref="I6">VLOOKUP(DB17_baselinesequence[[#This Row],[ID]],calcd_DB17_baselinesequence[],COLUMN(calcd_DB17_baselinesequence[wing5]),FALSE)</f>
        <v>0</v>
      </c>
      <c r="J6" s="1" cm="1">
        <f t="array" ref="J6">VLOOKUP(DB17_baselinesequence[[#This Row],[ID]],calcd_DB17_baselinesequence[],COLUMN(calcd_DB17_baselinesequence[wing3]),FALSE)</f>
        <v>0</v>
      </c>
      <c r="K6" s="1" t="str" cm="1">
        <f t="array" ref="K6">VLOOKUP(DB17_baselinesequence[[#This Row],[ID]],calcd_DB17_baselinesequence[],COLUMN(calcd_DB17_baselinesequence[sequence_ns]),FALSE)</f>
        <v>G*A*C*A*C*C*A*G*G*G*A*G*A*G*A*C*A*G</v>
      </c>
      <c r="L6" s="1" t="str" cm="1">
        <f t="array" ref="L6">VLOOKUP(DB17_baselinesequence[[#This Row],[ID]],calcd_DB17_baselinesequence[],COLUMN(calcd_DB17_baselinesequence[sequence_gd]),FALSE)</f>
        <v>g*a*c*a*c*c*a*g*g*g*a*g*a*g*a*c*a*g</v>
      </c>
      <c r="M6" s="7">
        <v>44926</v>
      </c>
      <c r="Q6" s="6"/>
    </row>
    <row r="7" spans="1:17" x14ac:dyDescent="0.4">
      <c r="A7" s="1">
        <v>6</v>
      </c>
      <c r="B7" s="1" t="str">
        <f>"17-"&amp;LEFT(RIGHTB(REPT(0,4)&amp;_xlfn.BASE(DB17_baselinesequence[[#This Row],[num]],36),4),2)&amp;"-"&amp;RIGHT(RIGHTB(REPT(0,4)&amp;_xlfn.BASE(DB17_baselinesequence[[#This Row],[num]],36),4),2)</f>
        <v>17-00-06</v>
      </c>
      <c r="C7" s="1" t="str" cm="1">
        <f t="array" ref="C7">VLOOKUP(DB17_baselinesequence[[#This Row],[ID]],calcd_DB17_baselinesequence[],COLUMN(calcd_DB17_baselinesequence[Name]),FALSE)</f>
        <v>SYNGAP1-5(Full MOE)</v>
      </c>
      <c r="D7" s="1" t="str" cm="1">
        <f t="array" ref="D7">VLOOKUP(DB17_baselinesequence[[#This Row],[ID]],calcd_DB17_baselinesequence[],COLUMN(calcd_DB17_baselinesequence[手動調整？]),FALSE)</f>
        <v/>
      </c>
      <c r="E7" s="1" t="str" cm="1">
        <f t="array" ref="E7">VLOOKUP(DB17_baselinesequence[[#This Row],[ID]],calcd_DB17_baselinesequence[],COLUMN(calcd_DB17_baselinesequence[sugar_wing]),FALSE)</f>
        <v>MOE</v>
      </c>
      <c r="F7" s="1" t="str" cm="1">
        <f t="array" ref="F7">VLOOKUP(DB17_baselinesequence[[#This Row],[ID]],calcd_DB17_baselinesequence[],COLUMN(calcd_DB17_baselinesequence[sugar_gap]),FALSE)</f>
        <v>MOE</v>
      </c>
      <c r="G7" s="1" t="str" cm="1">
        <f t="array" ref="G7">VLOOKUP(DB17_baselinesequence[[#This Row],[ID]],calcd_DB17_baselinesequence[],COLUMN(calcd_DB17_baselinesequence[link_wing]),FALSE)</f>
        <v>PB</v>
      </c>
      <c r="H7" s="1" t="str" cm="1">
        <f t="array" ref="H7">VLOOKUP(DB17_baselinesequence[[#This Row],[ID]],calcd_DB17_baselinesequence[],COLUMN(calcd_DB17_baselinesequence[link_gap]),FALSE)</f>
        <v>PB</v>
      </c>
      <c r="I7" s="1" cm="1">
        <f t="array" ref="I7">VLOOKUP(DB17_baselinesequence[[#This Row],[ID]],calcd_DB17_baselinesequence[],COLUMN(calcd_DB17_baselinesequence[wing5]),FALSE)</f>
        <v>0</v>
      </c>
      <c r="J7" s="1" cm="1">
        <f t="array" ref="J7">VLOOKUP(DB17_baselinesequence[[#This Row],[ID]],calcd_DB17_baselinesequence[],COLUMN(calcd_DB17_baselinesequence[wing3]),FALSE)</f>
        <v>0</v>
      </c>
      <c r="K7" s="1" t="str" cm="1">
        <f t="array" ref="K7">VLOOKUP(DB17_baselinesequence[[#This Row],[ID]],calcd_DB17_baselinesequence[],COLUMN(calcd_DB17_baselinesequence[sequence_ns]),FALSE)</f>
        <v>G(M)*A(M)*mC(M)*A(M)*mC(M)*mC(M)*A(M)*G(M)*G(M)*G(M)*A(M)*G(M)*A(M)*G(M)*A(M)*mC(M)*A(M)*G(M)</v>
      </c>
      <c r="L7" s="1" t="str" cm="1">
        <f t="array" ref="L7">VLOOKUP(DB17_baselinesequence[[#This Row],[ID]],calcd_DB17_baselinesequence[],COLUMN(calcd_DB17_baselinesequence[sequence_gd]),FALSE)</f>
        <v>G(m)*A(m)*5(m)*A(m)*5(m)*5(m)*A(m)*G(m)*G(m)*G(m)*A(m)*G(m)*A(m)*G(m)*A(m)*5(m)*A(m)*G(m)</v>
      </c>
      <c r="M7" s="7">
        <v>44926</v>
      </c>
      <c r="Q7" s="6"/>
    </row>
    <row r="8" spans="1:17" x14ac:dyDescent="0.4">
      <c r="A8" s="1">
        <v>7</v>
      </c>
      <c r="B8" s="1" t="str">
        <f>"17-"&amp;LEFT(RIGHTB(REPT(0,4)&amp;_xlfn.BASE(DB17_baselinesequence[[#This Row],[num]],36),4),2)&amp;"-"&amp;RIGHT(RIGHTB(REPT(0,4)&amp;_xlfn.BASE(DB17_baselinesequence[[#This Row],[num]],36),4),2)</f>
        <v>17-00-07</v>
      </c>
      <c r="C8" s="1" t="str" cm="1">
        <f t="array" ref="C8">VLOOKUP(DB17_baselinesequence[[#This Row],[ID]],calcd_DB17_baselinesequence[],COLUMN(calcd_DB17_baselinesequence[Name]),FALSE)</f>
        <v>mecp2-33(All-DNA)</v>
      </c>
      <c r="D8" s="1" t="str" cm="1">
        <f t="array" ref="D8">VLOOKUP(DB17_baselinesequence[[#This Row],[ID]],calcd_DB17_baselinesequence[],COLUMN(calcd_DB17_baselinesequence[手動調整？]),FALSE)</f>
        <v/>
      </c>
      <c r="E8" s="1" t="str" cm="1">
        <f t="array" ref="E8">VLOOKUP(DB17_baselinesequence[[#This Row],[ID]],calcd_DB17_baselinesequence[],COLUMN(calcd_DB17_baselinesequence[sugar_wing]),FALSE)</f>
        <v>DNA</v>
      </c>
      <c r="F8" s="1" t="str" cm="1">
        <f t="array" ref="F8">VLOOKUP(DB17_baselinesequence[[#This Row],[ID]],calcd_DB17_baselinesequence[],COLUMN(calcd_DB17_baselinesequence[sugar_gap]),FALSE)</f>
        <v>DNA</v>
      </c>
      <c r="G8" s="1" t="str" cm="1">
        <f t="array" ref="G8">VLOOKUP(DB17_baselinesequence[[#This Row],[ID]],calcd_DB17_baselinesequence[],COLUMN(calcd_DB17_baselinesequence[link_wing]),FALSE)</f>
        <v>PB</v>
      </c>
      <c r="H8" s="1" t="str" cm="1">
        <f t="array" ref="H8">VLOOKUP(DB17_baselinesequence[[#This Row],[ID]],calcd_DB17_baselinesequence[],COLUMN(calcd_DB17_baselinesequence[link_gap]),FALSE)</f>
        <v>PB</v>
      </c>
      <c r="I8" s="1" cm="1">
        <f t="array" ref="I8">VLOOKUP(DB17_baselinesequence[[#This Row],[ID]],calcd_DB17_baselinesequence[],COLUMN(calcd_DB17_baselinesequence[wing5]),FALSE)</f>
        <v>0</v>
      </c>
      <c r="J8" s="1" cm="1">
        <f t="array" ref="J8">VLOOKUP(DB17_baselinesequence[[#This Row],[ID]],calcd_DB17_baselinesequence[],COLUMN(calcd_DB17_baselinesequence[wing3]),FALSE)</f>
        <v>0</v>
      </c>
      <c r="K8" s="1" t="str" cm="1">
        <f t="array" ref="K8">VLOOKUP(DB17_baselinesequence[[#This Row],[ID]],calcd_DB17_baselinesequence[],COLUMN(calcd_DB17_baselinesequence[sequence_ns]),FALSE)</f>
        <v>T*C*T*A*C*A*G*A*A*G*C*A*A*G*G*T*G*T</v>
      </c>
      <c r="L8" s="1" t="str" cm="1">
        <f t="array" ref="L8">VLOOKUP(DB17_baselinesequence[[#This Row],[ID]],calcd_DB17_baselinesequence[],COLUMN(calcd_DB17_baselinesequence[sequence_gd]),FALSE)</f>
        <v>t*c*t*a*c*a*g*a*a*g*c*a*a*g*g*t*g*t</v>
      </c>
      <c r="M8" s="7">
        <v>44926</v>
      </c>
      <c r="Q8" s="6"/>
    </row>
    <row r="9" spans="1:17" x14ac:dyDescent="0.4">
      <c r="A9" s="1">
        <v>8</v>
      </c>
      <c r="B9" s="1" t="str">
        <f>"17-"&amp;LEFT(RIGHTB(REPT(0,4)&amp;_xlfn.BASE(DB17_baselinesequence[[#This Row],[num]],36),4),2)&amp;"-"&amp;RIGHT(RIGHTB(REPT(0,4)&amp;_xlfn.BASE(DB17_baselinesequence[[#This Row],[num]],36),4),2)</f>
        <v>17-00-08</v>
      </c>
      <c r="C9" s="1" t="str" cm="1">
        <f t="array" ref="C9">VLOOKUP(DB17_baselinesequence[[#This Row],[ID]],calcd_DB17_baselinesequence[],COLUMN(calcd_DB17_baselinesequence[Name]),FALSE)</f>
        <v>mecp2-33(Full MOE)</v>
      </c>
      <c r="D9" s="1" t="str" cm="1">
        <f t="array" ref="D9">VLOOKUP(DB17_baselinesequence[[#This Row],[ID]],calcd_DB17_baselinesequence[],COLUMN(calcd_DB17_baselinesequence[手動調整？]),FALSE)</f>
        <v/>
      </c>
      <c r="E9" s="1" t="str" cm="1">
        <f t="array" ref="E9">VLOOKUP(DB17_baselinesequence[[#This Row],[ID]],calcd_DB17_baselinesequence[],COLUMN(calcd_DB17_baselinesequence[sugar_wing]),FALSE)</f>
        <v>MOE</v>
      </c>
      <c r="F9" s="1" t="str" cm="1">
        <f t="array" ref="F9">VLOOKUP(DB17_baselinesequence[[#This Row],[ID]],calcd_DB17_baselinesequence[],COLUMN(calcd_DB17_baselinesequence[sugar_gap]),FALSE)</f>
        <v>MOE</v>
      </c>
      <c r="G9" s="1" t="str" cm="1">
        <f t="array" ref="G9">VLOOKUP(DB17_baselinesequence[[#This Row],[ID]],calcd_DB17_baselinesequence[],COLUMN(calcd_DB17_baselinesequence[link_wing]),FALSE)</f>
        <v>PB</v>
      </c>
      <c r="H9" s="1" t="str" cm="1">
        <f t="array" ref="H9">VLOOKUP(DB17_baselinesequence[[#This Row],[ID]],calcd_DB17_baselinesequence[],COLUMN(calcd_DB17_baselinesequence[link_gap]),FALSE)</f>
        <v>PB</v>
      </c>
      <c r="I9" s="1" cm="1">
        <f t="array" ref="I9">VLOOKUP(DB17_baselinesequence[[#This Row],[ID]],calcd_DB17_baselinesequence[],COLUMN(calcd_DB17_baselinesequence[wing5]),FALSE)</f>
        <v>0</v>
      </c>
      <c r="J9" s="1" cm="1">
        <f t="array" ref="J9">VLOOKUP(DB17_baselinesequence[[#This Row],[ID]],calcd_DB17_baselinesequence[],COLUMN(calcd_DB17_baselinesequence[wing3]),FALSE)</f>
        <v>0</v>
      </c>
      <c r="K9" s="1" t="str" cm="1">
        <f t="array" ref="K9">VLOOKUP(DB17_baselinesequence[[#This Row],[ID]],calcd_DB17_baselinesequence[],COLUMN(calcd_DB17_baselinesequence[sequence_ns]),FALSE)</f>
        <v>T(M)*mC(M)*T(M)*A(M)*mC(M)*A(M)*G(M)*A(M)*A(M)*G(M)*mC(M)*A(M)*A(M)*G(M)*G(M)*T(M)*G(M)*T(M)</v>
      </c>
      <c r="L9" s="1" t="str" cm="1">
        <f t="array" ref="L9">VLOOKUP(DB17_baselinesequence[[#This Row],[ID]],calcd_DB17_baselinesequence[],COLUMN(calcd_DB17_baselinesequence[sequence_gd]),FALSE)</f>
        <v>T(m)*5(m)*T(m)*A(m)*5(m)*A(m)*G(m)*A(m)*A(m)*G(m)*5(m)*A(m)*A(m)*G(m)*G(m)*T(m)*G(m)*T(m)</v>
      </c>
      <c r="M9" s="7">
        <v>44926</v>
      </c>
      <c r="Q9" s="6"/>
    </row>
    <row r="10" spans="1:17" x14ac:dyDescent="0.4">
      <c r="A10" s="1">
        <v>9</v>
      </c>
      <c r="B10" s="1" t="str">
        <f>"17-"&amp;LEFT(RIGHTB(REPT(0,4)&amp;_xlfn.BASE(DB17_baselinesequence[[#This Row],[num]],36),4),2)&amp;"-"&amp;RIGHT(RIGHTB(REPT(0,4)&amp;_xlfn.BASE(DB17_baselinesequence[[#This Row],[num]],36),4),2)</f>
        <v>17-00-09</v>
      </c>
      <c r="C10" s="1" t="str" cm="1">
        <f t="array" ref="C10">VLOOKUP(DB17_baselinesequence[[#This Row],[ID]],calcd_DB17_baselinesequence[],COLUMN(calcd_DB17_baselinesequence[Name]),FALSE)</f>
        <v>mecp2-52(All-DNA)</v>
      </c>
      <c r="D10" s="1" t="str" cm="1">
        <f t="array" ref="D10">VLOOKUP(DB17_baselinesequence[[#This Row],[ID]],calcd_DB17_baselinesequence[],COLUMN(calcd_DB17_baselinesequence[手動調整？]),FALSE)</f>
        <v/>
      </c>
      <c r="E10" s="1" t="str" cm="1">
        <f t="array" ref="E10">VLOOKUP(DB17_baselinesequence[[#This Row],[ID]],calcd_DB17_baselinesequence[],COLUMN(calcd_DB17_baselinesequence[sugar_wing]),FALSE)</f>
        <v>DNA</v>
      </c>
      <c r="F10" s="1" t="str" cm="1">
        <f t="array" ref="F10">VLOOKUP(DB17_baselinesequence[[#This Row],[ID]],calcd_DB17_baselinesequence[],COLUMN(calcd_DB17_baselinesequence[sugar_gap]),FALSE)</f>
        <v>DNA</v>
      </c>
      <c r="G10" s="1" t="str" cm="1">
        <f t="array" ref="G10">VLOOKUP(DB17_baselinesequence[[#This Row],[ID]],calcd_DB17_baselinesequence[],COLUMN(calcd_DB17_baselinesequence[link_wing]),FALSE)</f>
        <v>PB</v>
      </c>
      <c r="H10" s="1" t="str" cm="1">
        <f t="array" ref="H10">VLOOKUP(DB17_baselinesequence[[#This Row],[ID]],calcd_DB17_baselinesequence[],COLUMN(calcd_DB17_baselinesequence[link_gap]),FALSE)</f>
        <v>PB</v>
      </c>
      <c r="I10" s="1" cm="1">
        <f t="array" ref="I10">VLOOKUP(DB17_baselinesequence[[#This Row],[ID]],calcd_DB17_baselinesequence[],COLUMN(calcd_DB17_baselinesequence[wing5]),FALSE)</f>
        <v>0</v>
      </c>
      <c r="J10" s="1" cm="1">
        <f t="array" ref="J10">VLOOKUP(DB17_baselinesequence[[#This Row],[ID]],calcd_DB17_baselinesequence[],COLUMN(calcd_DB17_baselinesequence[wing3]),FALSE)</f>
        <v>0</v>
      </c>
      <c r="K10" s="1" t="str" cm="1">
        <f t="array" ref="K10">VLOOKUP(DB17_baselinesequence[[#This Row],[ID]],calcd_DB17_baselinesequence[],COLUMN(calcd_DB17_baselinesequence[sequence_ns]),FALSE)</f>
        <v>G*G*C*C*A*A*A*C*C*A*G*G*A*C*A*T*A*T</v>
      </c>
      <c r="L10" s="1" t="str" cm="1">
        <f t="array" ref="L10">VLOOKUP(DB17_baselinesequence[[#This Row],[ID]],calcd_DB17_baselinesequence[],COLUMN(calcd_DB17_baselinesequence[sequence_gd]),FALSE)</f>
        <v>g*g*c*c*a*a*a*c*c*a*g*g*a*c*a*t*a*t</v>
      </c>
      <c r="M10" s="7">
        <v>44926</v>
      </c>
      <c r="Q10" s="6"/>
    </row>
    <row r="11" spans="1:17" x14ac:dyDescent="0.4">
      <c r="A11" s="1">
        <v>10</v>
      </c>
      <c r="B11" s="1" t="str">
        <f>"17-"&amp;LEFT(RIGHTB(REPT(0,4)&amp;_xlfn.BASE(DB17_baselinesequence[[#This Row],[num]],36),4),2)&amp;"-"&amp;RIGHT(RIGHTB(REPT(0,4)&amp;_xlfn.BASE(DB17_baselinesequence[[#This Row],[num]],36),4),2)</f>
        <v>17-00-0A</v>
      </c>
      <c r="C11" s="1" t="str" cm="1">
        <f t="array" ref="C11">VLOOKUP(DB17_baselinesequence[[#This Row],[ID]],calcd_DB17_baselinesequence[],COLUMN(calcd_DB17_baselinesequence[Name]),FALSE)</f>
        <v>mecp2-52(Full MOE)</v>
      </c>
      <c r="D11" s="1" t="str" cm="1">
        <f t="array" ref="D11">VLOOKUP(DB17_baselinesequence[[#This Row],[ID]],calcd_DB17_baselinesequence[],COLUMN(calcd_DB17_baselinesequence[手動調整？]),FALSE)</f>
        <v/>
      </c>
      <c r="E11" s="1" t="str" cm="1">
        <f t="array" ref="E11">VLOOKUP(DB17_baselinesequence[[#This Row],[ID]],calcd_DB17_baselinesequence[],COLUMN(calcd_DB17_baselinesequence[sugar_wing]),FALSE)</f>
        <v>MOE</v>
      </c>
      <c r="F11" s="1" t="str" cm="1">
        <f t="array" ref="F11">VLOOKUP(DB17_baselinesequence[[#This Row],[ID]],calcd_DB17_baselinesequence[],COLUMN(calcd_DB17_baselinesequence[sugar_gap]),FALSE)</f>
        <v>MOE</v>
      </c>
      <c r="G11" s="1" t="str" cm="1">
        <f t="array" ref="G11">VLOOKUP(DB17_baselinesequence[[#This Row],[ID]],calcd_DB17_baselinesequence[],COLUMN(calcd_DB17_baselinesequence[link_wing]),FALSE)</f>
        <v>PB</v>
      </c>
      <c r="H11" s="1" t="str" cm="1">
        <f t="array" ref="H11">VLOOKUP(DB17_baselinesequence[[#This Row],[ID]],calcd_DB17_baselinesequence[],COLUMN(calcd_DB17_baselinesequence[link_gap]),FALSE)</f>
        <v>PB</v>
      </c>
      <c r="I11" s="1" cm="1">
        <f t="array" ref="I11">VLOOKUP(DB17_baselinesequence[[#This Row],[ID]],calcd_DB17_baselinesequence[],COLUMN(calcd_DB17_baselinesequence[wing5]),FALSE)</f>
        <v>0</v>
      </c>
      <c r="J11" s="1" cm="1">
        <f t="array" ref="J11">VLOOKUP(DB17_baselinesequence[[#This Row],[ID]],calcd_DB17_baselinesequence[],COLUMN(calcd_DB17_baselinesequence[wing3]),FALSE)</f>
        <v>0</v>
      </c>
      <c r="K11" s="1" t="str" cm="1">
        <f t="array" ref="K11">VLOOKUP(DB17_baselinesequence[[#This Row],[ID]],calcd_DB17_baselinesequence[],COLUMN(calcd_DB17_baselinesequence[sequence_ns]),FALSE)</f>
        <v>G(M)*G(M)*mC(M)*mC(M)*A(M)*A(M)*A(M)*mC(M)*mC(M)*A(M)*G(M)*G(M)*A(M)*mC(M)*A(M)*T(M)*A(M)*T(M)</v>
      </c>
      <c r="L11" s="1" t="str" cm="1">
        <f t="array" ref="L11">VLOOKUP(DB17_baselinesequence[[#This Row],[ID]],calcd_DB17_baselinesequence[],COLUMN(calcd_DB17_baselinesequence[sequence_gd]),FALSE)</f>
        <v>G(m)*G(m)*5(m)*5(m)*A(m)*A(m)*A(m)*5(m)*5(m)*A(m)*G(m)*G(m)*A(m)*5(m)*A(m)*T(m)*A(m)*T(m)</v>
      </c>
      <c r="M11" s="7">
        <v>44926</v>
      </c>
      <c r="Q11" s="6"/>
    </row>
    <row r="12" spans="1:17" x14ac:dyDescent="0.4">
      <c r="A12" s="1">
        <v>11</v>
      </c>
      <c r="B12" s="1" t="str">
        <f>"17-"&amp;LEFT(RIGHTB(REPT(0,4)&amp;_xlfn.BASE(DB17_baselinesequence[[#This Row],[num]],36),4),2)&amp;"-"&amp;RIGHT(RIGHTB(REPT(0,4)&amp;_xlfn.BASE(DB17_baselinesequence[[#This Row],[num]],36),4),2)</f>
        <v>17-00-0B</v>
      </c>
      <c r="C12" s="1" t="str" cm="1">
        <f t="array" ref="C12">VLOOKUP(DB17_baselinesequence[[#This Row],[ID]],calcd_DB17_baselinesequence[],COLUMN(calcd_DB17_baselinesequence[Name]),FALSE)</f>
        <v>T16(All-DNA)</v>
      </c>
      <c r="D12" s="1" t="str" cm="1">
        <f t="array" ref="D12">VLOOKUP(DB17_baselinesequence[[#This Row],[ID]],calcd_DB17_baselinesequence[],COLUMN(calcd_DB17_baselinesequence[手動調整？]),FALSE)</f>
        <v/>
      </c>
      <c r="E12" s="1" t="str" cm="1">
        <f t="array" ref="E12">VLOOKUP(DB17_baselinesequence[[#This Row],[ID]],calcd_DB17_baselinesequence[],COLUMN(calcd_DB17_baselinesequence[sugar_wing]),FALSE)</f>
        <v>DNA</v>
      </c>
      <c r="F12" s="1" t="str" cm="1">
        <f t="array" ref="F12">VLOOKUP(DB17_baselinesequence[[#This Row],[ID]],calcd_DB17_baselinesequence[],COLUMN(calcd_DB17_baselinesequence[sugar_gap]),FALSE)</f>
        <v>DNA</v>
      </c>
      <c r="G12" s="1" t="str" cm="1">
        <f t="array" ref="G12">VLOOKUP(DB17_baselinesequence[[#This Row],[ID]],calcd_DB17_baselinesequence[],COLUMN(calcd_DB17_baselinesequence[link_wing]),FALSE)</f>
        <v>PB</v>
      </c>
      <c r="H12" s="1" t="str" cm="1">
        <f t="array" ref="H12">VLOOKUP(DB17_baselinesequence[[#This Row],[ID]],calcd_DB17_baselinesequence[],COLUMN(calcd_DB17_baselinesequence[link_gap]),FALSE)</f>
        <v>PB</v>
      </c>
      <c r="I12" s="1" cm="1">
        <f t="array" ref="I12">VLOOKUP(DB17_baselinesequence[[#This Row],[ID]],calcd_DB17_baselinesequence[],COLUMN(calcd_DB17_baselinesequence[wing5]),FALSE)</f>
        <v>0</v>
      </c>
      <c r="J12" s="1" cm="1">
        <f t="array" ref="J12">VLOOKUP(DB17_baselinesequence[[#This Row],[ID]],calcd_DB17_baselinesequence[],COLUMN(calcd_DB17_baselinesequence[wing3]),FALSE)</f>
        <v>0</v>
      </c>
      <c r="K12" s="1" t="str" cm="1">
        <f t="array" ref="K12">VLOOKUP(DB17_baselinesequence[[#This Row],[ID]],calcd_DB17_baselinesequence[],COLUMN(calcd_DB17_baselinesequence[sequence_ns]),FALSE)</f>
        <v>T*T*T*T*T*T*T*T*T*T*T*T*T*T*T*T</v>
      </c>
      <c r="L12" s="1" t="str" cm="1">
        <f t="array" ref="L12">VLOOKUP(DB17_baselinesequence[[#This Row],[ID]],calcd_DB17_baselinesequence[],COLUMN(calcd_DB17_baselinesequence[sequence_gd]),FALSE)</f>
        <v>t*t*t*t*t*t*t*t*t*t*t*t*t*t*t*t</v>
      </c>
      <c r="M12" s="7">
        <v>44926</v>
      </c>
      <c r="Q12" s="6"/>
    </row>
    <row r="13" spans="1:17" x14ac:dyDescent="0.4">
      <c r="A13" s="1">
        <v>12</v>
      </c>
      <c r="B13" s="1" t="str">
        <f>"17-"&amp;LEFT(RIGHTB(REPT(0,4)&amp;_xlfn.BASE(DB17_baselinesequence[[#This Row],[num]],36),4),2)&amp;"-"&amp;RIGHT(RIGHTB(REPT(0,4)&amp;_xlfn.BASE(DB17_baselinesequence[[#This Row],[num]],36),4),2)</f>
        <v>17-00-0C</v>
      </c>
      <c r="C13" s="1" t="str" cm="1">
        <f t="array" ref="C13">VLOOKUP(DB17_baselinesequence[[#This Row],[ID]],calcd_DB17_baselinesequence[],COLUMN(calcd_DB17_baselinesequence[Name]),FALSE)</f>
        <v>CAGTCAGT</v>
      </c>
      <c r="D13" s="1" t="str" cm="1">
        <f t="array" ref="D13">VLOOKUP(DB17_baselinesequence[[#This Row],[ID]],calcd_DB17_baselinesequence[],COLUMN(calcd_DB17_baselinesequence[手動調整？]),FALSE)</f>
        <v/>
      </c>
      <c r="E13" s="1" t="str" cm="1">
        <f t="array" ref="E13">VLOOKUP(DB17_baselinesequence[[#This Row],[ID]],calcd_DB17_baselinesequence[],COLUMN(calcd_DB17_baselinesequence[sugar_wing]),FALSE)</f>
        <v>DNA</v>
      </c>
      <c r="F13" s="1" t="str" cm="1">
        <f t="array" ref="F13">VLOOKUP(DB17_baselinesequence[[#This Row],[ID]],calcd_DB17_baselinesequence[],COLUMN(calcd_DB17_baselinesequence[sugar_gap]),FALSE)</f>
        <v>DNA</v>
      </c>
      <c r="G13" s="1" t="str" cm="1">
        <f t="array" ref="G13">VLOOKUP(DB17_baselinesequence[[#This Row],[ID]],calcd_DB17_baselinesequence[],COLUMN(calcd_DB17_baselinesequence[link_wing]),FALSE)</f>
        <v>PB</v>
      </c>
      <c r="H13" s="1" t="str" cm="1">
        <f t="array" ref="H13">VLOOKUP(DB17_baselinesequence[[#This Row],[ID]],calcd_DB17_baselinesequence[],COLUMN(calcd_DB17_baselinesequence[link_gap]),FALSE)</f>
        <v>PB</v>
      </c>
      <c r="I13" s="1" cm="1">
        <f t="array" ref="I13">VLOOKUP(DB17_baselinesequence[[#This Row],[ID]],calcd_DB17_baselinesequence[],COLUMN(calcd_DB17_baselinesequence[wing5]),FALSE)</f>
        <v>0</v>
      </c>
      <c r="J13" s="1" cm="1">
        <f t="array" ref="J13">VLOOKUP(DB17_baselinesequence[[#This Row],[ID]],calcd_DB17_baselinesequence[],COLUMN(calcd_DB17_baselinesequence[wing3]),FALSE)</f>
        <v>0</v>
      </c>
      <c r="K13" s="1" t="str" cm="1">
        <f t="array" ref="K13">VLOOKUP(DB17_baselinesequence[[#This Row],[ID]],calcd_DB17_baselinesequence[],COLUMN(calcd_DB17_baselinesequence[sequence_ns]),FALSE)</f>
        <v>C*A*G*T*C*A*G*T</v>
      </c>
      <c r="L13" s="1" t="str" cm="1">
        <f t="array" ref="L13">VLOOKUP(DB17_baselinesequence[[#This Row],[ID]],calcd_DB17_baselinesequence[],COLUMN(calcd_DB17_baselinesequence[sequence_gd]),FALSE)</f>
        <v>c*a*g*t*c*a*g*t</v>
      </c>
      <c r="M13" s="7">
        <v>44926</v>
      </c>
      <c r="Q13" s="6"/>
    </row>
    <row r="14" spans="1:17" x14ac:dyDescent="0.4">
      <c r="A14" s="1">
        <v>13</v>
      </c>
      <c r="B14" s="1" t="str">
        <f>"17-"&amp;LEFT(RIGHTB(REPT(0,4)&amp;_xlfn.BASE(DB17_baselinesequence[[#This Row],[num]],36),4),2)&amp;"-"&amp;RIGHT(RIGHTB(REPT(0,4)&amp;_xlfn.BASE(DB17_baselinesequence[[#This Row],[num]],36),4),2)</f>
        <v>17-00-0D</v>
      </c>
      <c r="C14" s="1" t="str" cm="1">
        <f t="array" ref="C14">VLOOKUP(DB17_baselinesequence[[#This Row],[ID]],calcd_DB17_baselinesequence[],COLUMN(calcd_DB17_baselinesequence[Name]),FALSE)</f>
        <v>CAGT</v>
      </c>
      <c r="D14" s="1" t="str" cm="1">
        <f t="array" ref="D14">VLOOKUP(DB17_baselinesequence[[#This Row],[ID]],calcd_DB17_baselinesequence[],COLUMN(calcd_DB17_baselinesequence[手動調整？]),FALSE)</f>
        <v/>
      </c>
      <c r="E14" s="1" t="str" cm="1">
        <f t="array" ref="E14">VLOOKUP(DB17_baselinesequence[[#This Row],[ID]],calcd_DB17_baselinesequence[],COLUMN(calcd_DB17_baselinesequence[sugar_wing]),FALSE)</f>
        <v>DNA</v>
      </c>
      <c r="F14" s="1" t="str" cm="1">
        <f t="array" ref="F14">VLOOKUP(DB17_baselinesequence[[#This Row],[ID]],calcd_DB17_baselinesequence[],COLUMN(calcd_DB17_baselinesequence[sugar_gap]),FALSE)</f>
        <v>DNA</v>
      </c>
      <c r="G14" s="1" t="str" cm="1">
        <f t="array" ref="G14">VLOOKUP(DB17_baselinesequence[[#This Row],[ID]],calcd_DB17_baselinesequence[],COLUMN(calcd_DB17_baselinesequence[link_wing]),FALSE)</f>
        <v>PB</v>
      </c>
      <c r="H14" s="1" t="str" cm="1">
        <f t="array" ref="H14">VLOOKUP(DB17_baselinesequence[[#This Row],[ID]],calcd_DB17_baselinesequence[],COLUMN(calcd_DB17_baselinesequence[link_gap]),FALSE)</f>
        <v>PB</v>
      </c>
      <c r="I14" s="1" cm="1">
        <f t="array" ref="I14">VLOOKUP(DB17_baselinesequence[[#This Row],[ID]],calcd_DB17_baselinesequence[],COLUMN(calcd_DB17_baselinesequence[wing5]),FALSE)</f>
        <v>0</v>
      </c>
      <c r="J14" s="1" cm="1">
        <f t="array" ref="J14">VLOOKUP(DB17_baselinesequence[[#This Row],[ID]],calcd_DB17_baselinesequence[],COLUMN(calcd_DB17_baselinesequence[wing3]),FALSE)</f>
        <v>0</v>
      </c>
      <c r="K14" s="1" t="str" cm="1">
        <f t="array" ref="K14">VLOOKUP(DB17_baselinesequence[[#This Row],[ID]],calcd_DB17_baselinesequence[],COLUMN(calcd_DB17_baselinesequence[sequence_ns]),FALSE)</f>
        <v>C*A*G*T</v>
      </c>
      <c r="L14" s="1" t="str" cm="1">
        <f t="array" ref="L14">VLOOKUP(DB17_baselinesequence[[#This Row],[ID]],calcd_DB17_baselinesequence[],COLUMN(calcd_DB17_baselinesequence[sequence_gd]),FALSE)</f>
        <v>c*a*g*t</v>
      </c>
      <c r="M14" s="7">
        <v>44926</v>
      </c>
      <c r="Q14" s="6"/>
    </row>
    <row r="15" spans="1:17" x14ac:dyDescent="0.4">
      <c r="A15" s="1">
        <v>14</v>
      </c>
      <c r="B15" s="1" t="str">
        <f>"17-"&amp;LEFT(RIGHTB(REPT(0,4)&amp;_xlfn.BASE(DB17_baselinesequence[[#This Row],[num]],36),4),2)&amp;"-"&amp;RIGHT(RIGHTB(REPT(0,4)&amp;_xlfn.BASE(DB17_baselinesequence[[#This Row],[num]],36),4),2)</f>
        <v>17-00-0E</v>
      </c>
      <c r="C15" s="1" t="str" cm="1">
        <f t="array" ref="C15">VLOOKUP(DB17_baselinesequence[[#This Row],[ID]],calcd_DB17_baselinesequence[],COLUMN(calcd_DB17_baselinesequence[Name]),FALSE)</f>
        <v>TGT</v>
      </c>
      <c r="D15" s="1" t="str" cm="1">
        <f t="array" ref="D15">VLOOKUP(DB17_baselinesequence[[#This Row],[ID]],calcd_DB17_baselinesequence[],COLUMN(calcd_DB17_baselinesequence[手動調整？]),FALSE)</f>
        <v/>
      </c>
      <c r="E15" s="1" t="str" cm="1">
        <f t="array" ref="E15">VLOOKUP(DB17_baselinesequence[[#This Row],[ID]],calcd_DB17_baselinesequence[],COLUMN(calcd_DB17_baselinesequence[sugar_wing]),FALSE)</f>
        <v>DNA</v>
      </c>
      <c r="F15" s="1" t="str" cm="1">
        <f t="array" ref="F15">VLOOKUP(DB17_baselinesequence[[#This Row],[ID]],calcd_DB17_baselinesequence[],COLUMN(calcd_DB17_baselinesequence[sugar_gap]),FALSE)</f>
        <v>DNA</v>
      </c>
      <c r="G15" s="1" t="str" cm="1">
        <f t="array" ref="G15">VLOOKUP(DB17_baselinesequence[[#This Row],[ID]],calcd_DB17_baselinesequence[],COLUMN(calcd_DB17_baselinesequence[link_wing]),FALSE)</f>
        <v>PB</v>
      </c>
      <c r="H15" s="1" t="str" cm="1">
        <f t="array" ref="H15">VLOOKUP(DB17_baselinesequence[[#This Row],[ID]],calcd_DB17_baselinesequence[],COLUMN(calcd_DB17_baselinesequence[link_gap]),FALSE)</f>
        <v>PB</v>
      </c>
      <c r="I15" s="1" cm="1">
        <f t="array" ref="I15">VLOOKUP(DB17_baselinesequence[[#This Row],[ID]],calcd_DB17_baselinesequence[],COLUMN(calcd_DB17_baselinesequence[wing5]),FALSE)</f>
        <v>0</v>
      </c>
      <c r="J15" s="1" cm="1">
        <f t="array" ref="J15">VLOOKUP(DB17_baselinesequence[[#This Row],[ID]],calcd_DB17_baselinesequence[],COLUMN(calcd_DB17_baselinesequence[wing3]),FALSE)</f>
        <v>0</v>
      </c>
      <c r="K15" s="1" t="str" cm="1">
        <f t="array" ref="K15">VLOOKUP(DB17_baselinesequence[[#This Row],[ID]],calcd_DB17_baselinesequence[],COLUMN(calcd_DB17_baselinesequence[sequence_ns]),FALSE)</f>
        <v>T*G*T</v>
      </c>
      <c r="L15" s="1" t="str" cm="1">
        <f t="array" ref="L15">VLOOKUP(DB17_baselinesequence[[#This Row],[ID]],calcd_DB17_baselinesequence[],COLUMN(calcd_DB17_baselinesequence[sequence_gd]),FALSE)</f>
        <v>t*g*t</v>
      </c>
      <c r="M15" s="7">
        <v>44926</v>
      </c>
      <c r="Q15" s="6"/>
    </row>
    <row r="16" spans="1:17" x14ac:dyDescent="0.4">
      <c r="A16" s="1">
        <v>15</v>
      </c>
      <c r="B16" s="1" t="str">
        <f>"17-"&amp;LEFT(RIGHTB(REPT(0,4)&amp;_xlfn.BASE(DB17_baselinesequence[[#This Row],[num]],36),4),2)&amp;"-"&amp;RIGHT(RIGHTB(REPT(0,4)&amp;_xlfn.BASE(DB17_baselinesequence[[#This Row],[num]],36),4),2)</f>
        <v>17-00-0F</v>
      </c>
      <c r="C16" s="1" t="str" cm="1">
        <f t="array" ref="C16">VLOOKUP(DB17_baselinesequence[[#This Row],[ID]],calcd_DB17_baselinesequence[],COLUMN(calcd_DB17_baselinesequence[Name]),FALSE)</f>
        <v>GT</v>
      </c>
      <c r="D16" s="1" t="str" cm="1">
        <f t="array" ref="D16">VLOOKUP(DB17_baselinesequence[[#This Row],[ID]],calcd_DB17_baselinesequence[],COLUMN(calcd_DB17_baselinesequence[手動調整？]),FALSE)</f>
        <v/>
      </c>
      <c r="E16" s="1" t="str" cm="1">
        <f t="array" ref="E16">VLOOKUP(DB17_baselinesequence[[#This Row],[ID]],calcd_DB17_baselinesequence[],COLUMN(calcd_DB17_baselinesequence[sugar_wing]),FALSE)</f>
        <v>DNA</v>
      </c>
      <c r="F16" s="1" t="str" cm="1">
        <f t="array" ref="F16">VLOOKUP(DB17_baselinesequence[[#This Row],[ID]],calcd_DB17_baselinesequence[],COLUMN(calcd_DB17_baselinesequence[sugar_gap]),FALSE)</f>
        <v>DNA</v>
      </c>
      <c r="G16" s="1" t="str" cm="1">
        <f t="array" ref="G16">VLOOKUP(DB17_baselinesequence[[#This Row],[ID]],calcd_DB17_baselinesequence[],COLUMN(calcd_DB17_baselinesequence[link_wing]),FALSE)</f>
        <v>PB</v>
      </c>
      <c r="H16" s="1" t="str" cm="1">
        <f t="array" ref="H16">VLOOKUP(DB17_baselinesequence[[#This Row],[ID]],calcd_DB17_baselinesequence[],COLUMN(calcd_DB17_baselinesequence[link_gap]),FALSE)</f>
        <v>PB</v>
      </c>
      <c r="I16" s="1" cm="1">
        <f t="array" ref="I16">VLOOKUP(DB17_baselinesequence[[#This Row],[ID]],calcd_DB17_baselinesequence[],COLUMN(calcd_DB17_baselinesequence[wing5]),FALSE)</f>
        <v>0</v>
      </c>
      <c r="J16" s="1" cm="1">
        <f t="array" ref="J16">VLOOKUP(DB17_baselinesequence[[#This Row],[ID]],calcd_DB17_baselinesequence[],COLUMN(calcd_DB17_baselinesequence[wing3]),FALSE)</f>
        <v>0</v>
      </c>
      <c r="K16" s="1" t="str" cm="1">
        <f t="array" ref="K16">VLOOKUP(DB17_baselinesequence[[#This Row],[ID]],calcd_DB17_baselinesequence[],COLUMN(calcd_DB17_baselinesequence[sequence_ns]),FALSE)</f>
        <v>G*T</v>
      </c>
      <c r="L16" s="1" t="str" cm="1">
        <f t="array" ref="L16">VLOOKUP(DB17_baselinesequence[[#This Row],[ID]],calcd_DB17_baselinesequence[],COLUMN(calcd_DB17_baselinesequence[sequence_gd]),FALSE)</f>
        <v>g*t</v>
      </c>
      <c r="M16" s="7">
        <v>44926</v>
      </c>
      <c r="Q16" s="6"/>
    </row>
    <row r="17" spans="1:17" x14ac:dyDescent="0.4">
      <c r="A17" s="1">
        <v>16</v>
      </c>
      <c r="B17" s="1" t="str">
        <f>"17-"&amp;LEFT(RIGHTB(REPT(0,4)&amp;_xlfn.BASE(DB17_baselinesequence[[#This Row],[num]],36),4),2)&amp;"-"&amp;RIGHT(RIGHTB(REPT(0,4)&amp;_xlfn.BASE(DB17_baselinesequence[[#This Row],[num]],36),4),2)</f>
        <v>17-00-0G</v>
      </c>
      <c r="C17" s="1" t="str" cm="1">
        <f t="array" ref="C17">VLOOKUP(DB17_baselinesequence[[#This Row],[ID]],calcd_DB17_baselinesequence[],COLUMN(calcd_DB17_baselinesequence[Name]),FALSE)</f>
        <v>AT</v>
      </c>
      <c r="D17" s="1" t="str" cm="1">
        <f t="array" ref="D17">VLOOKUP(DB17_baselinesequence[[#This Row],[ID]],calcd_DB17_baselinesequence[],COLUMN(calcd_DB17_baselinesequence[手動調整？]),FALSE)</f>
        <v/>
      </c>
      <c r="E17" s="1" t="str" cm="1">
        <f t="array" ref="E17">VLOOKUP(DB17_baselinesequence[[#This Row],[ID]],calcd_DB17_baselinesequence[],COLUMN(calcd_DB17_baselinesequence[sugar_wing]),FALSE)</f>
        <v>DNA</v>
      </c>
      <c r="F17" s="1" t="str" cm="1">
        <f t="array" ref="F17">VLOOKUP(DB17_baselinesequence[[#This Row],[ID]],calcd_DB17_baselinesequence[],COLUMN(calcd_DB17_baselinesequence[sugar_gap]),FALSE)</f>
        <v>DNA</v>
      </c>
      <c r="G17" s="1" t="str" cm="1">
        <f t="array" ref="G17">VLOOKUP(DB17_baselinesequence[[#This Row],[ID]],calcd_DB17_baselinesequence[],COLUMN(calcd_DB17_baselinesequence[link_wing]),FALSE)</f>
        <v>PB</v>
      </c>
      <c r="H17" s="1" t="str" cm="1">
        <f t="array" ref="H17">VLOOKUP(DB17_baselinesequence[[#This Row],[ID]],calcd_DB17_baselinesequence[],COLUMN(calcd_DB17_baselinesequence[link_gap]),FALSE)</f>
        <v>PB</v>
      </c>
      <c r="I17" s="1" cm="1">
        <f t="array" ref="I17">VLOOKUP(DB17_baselinesequence[[#This Row],[ID]],calcd_DB17_baselinesequence[],COLUMN(calcd_DB17_baselinesequence[wing5]),FALSE)</f>
        <v>0</v>
      </c>
      <c r="J17" s="1" cm="1">
        <f t="array" ref="J17">VLOOKUP(DB17_baselinesequence[[#This Row],[ID]],calcd_DB17_baselinesequence[],COLUMN(calcd_DB17_baselinesequence[wing3]),FALSE)</f>
        <v>0</v>
      </c>
      <c r="K17" s="1" t="str" cm="1">
        <f t="array" ref="K17">VLOOKUP(DB17_baselinesequence[[#This Row],[ID]],calcd_DB17_baselinesequence[],COLUMN(calcd_DB17_baselinesequence[sequence_ns]),FALSE)</f>
        <v>A*T</v>
      </c>
      <c r="L17" s="1" t="str" cm="1">
        <f t="array" ref="L17">VLOOKUP(DB17_baselinesequence[[#This Row],[ID]],calcd_DB17_baselinesequence[],COLUMN(calcd_DB17_baselinesequence[sequence_gd]),FALSE)</f>
        <v>a*t</v>
      </c>
      <c r="M17" s="7">
        <v>44614</v>
      </c>
      <c r="N17" s="6"/>
      <c r="Q17" s="6"/>
    </row>
    <row r="18" spans="1:17" x14ac:dyDescent="0.4">
      <c r="A18" s="1">
        <v>17</v>
      </c>
      <c r="B18" s="1" t="str">
        <f>"17-"&amp;LEFT(RIGHTB(REPT(0,4)&amp;_xlfn.BASE(DB17_baselinesequence[[#This Row],[num]],36),4),2)&amp;"-"&amp;RIGHT(RIGHTB(REPT(0,4)&amp;_xlfn.BASE(DB17_baselinesequence[[#This Row],[num]],36),4),2)</f>
        <v>17-00-0H</v>
      </c>
      <c r="C18" s="1" t="str" cm="1">
        <f t="array" ref="C18">VLOOKUP(DB17_baselinesequence[[#This Row],[ID]],calcd_DB17_baselinesequence[],COLUMN(calcd_DB17_baselinesequence[Name]),FALSE)</f>
        <v>CT</v>
      </c>
      <c r="D18" s="1" t="str" cm="1">
        <f t="array" ref="D18">VLOOKUP(DB17_baselinesequence[[#This Row],[ID]],calcd_DB17_baselinesequence[],COLUMN(calcd_DB17_baselinesequence[手動調整？]),FALSE)</f>
        <v/>
      </c>
      <c r="E18" s="1" t="str" cm="1">
        <f t="array" ref="E18">VLOOKUP(DB17_baselinesequence[[#This Row],[ID]],calcd_DB17_baselinesequence[],COLUMN(calcd_DB17_baselinesequence[sugar_wing]),FALSE)</f>
        <v>DNA</v>
      </c>
      <c r="F18" s="1" t="str" cm="1">
        <f t="array" ref="F18">VLOOKUP(DB17_baselinesequence[[#This Row],[ID]],calcd_DB17_baselinesequence[],COLUMN(calcd_DB17_baselinesequence[sugar_gap]),FALSE)</f>
        <v>DNA</v>
      </c>
      <c r="G18" s="1" t="str" cm="1">
        <f t="array" ref="G18">VLOOKUP(DB17_baselinesequence[[#This Row],[ID]],calcd_DB17_baselinesequence[],COLUMN(calcd_DB17_baselinesequence[link_wing]),FALSE)</f>
        <v>PB</v>
      </c>
      <c r="H18" s="1" t="str" cm="1">
        <f t="array" ref="H18">VLOOKUP(DB17_baselinesequence[[#This Row],[ID]],calcd_DB17_baselinesequence[],COLUMN(calcd_DB17_baselinesequence[link_gap]),FALSE)</f>
        <v>PB</v>
      </c>
      <c r="I18" s="1" cm="1">
        <f t="array" ref="I18">VLOOKUP(DB17_baselinesequence[[#This Row],[ID]],calcd_DB17_baselinesequence[],COLUMN(calcd_DB17_baselinesequence[wing5]),FALSE)</f>
        <v>0</v>
      </c>
      <c r="J18" s="1" cm="1">
        <f t="array" ref="J18">VLOOKUP(DB17_baselinesequence[[#This Row],[ID]],calcd_DB17_baselinesequence[],COLUMN(calcd_DB17_baselinesequence[wing3]),FALSE)</f>
        <v>0</v>
      </c>
      <c r="K18" s="1" t="str" cm="1">
        <f t="array" ref="K18">VLOOKUP(DB17_baselinesequence[[#This Row],[ID]],calcd_DB17_baselinesequence[],COLUMN(calcd_DB17_baselinesequence[sequence_ns]),FALSE)</f>
        <v>C*T</v>
      </c>
      <c r="L18" s="1" t="str" cm="1">
        <f t="array" ref="L18">VLOOKUP(DB17_baselinesequence[[#This Row],[ID]],calcd_DB17_baselinesequence[],COLUMN(calcd_DB17_baselinesequence[sequence_gd]),FALSE)</f>
        <v>c*t</v>
      </c>
      <c r="M18" s="7">
        <v>44614</v>
      </c>
      <c r="N18" s="6"/>
      <c r="Q18" s="6"/>
    </row>
    <row r="19" spans="1:17" x14ac:dyDescent="0.4">
      <c r="A19" s="1">
        <v>18</v>
      </c>
      <c r="B19" s="1" t="str">
        <f>"17-"&amp;LEFT(RIGHTB(REPT(0,4)&amp;_xlfn.BASE(DB17_baselinesequence[[#This Row],[num]],36),4),2)&amp;"-"&amp;RIGHT(RIGHTB(REPT(0,4)&amp;_xlfn.BASE(DB17_baselinesequence[[#This Row],[num]],36),4),2)</f>
        <v>17-00-0I</v>
      </c>
      <c r="C19" s="1" t="str" cm="1">
        <f t="array" ref="C19">VLOOKUP(DB17_baselinesequence[[#This Row],[ID]],calcd_DB17_baselinesequence[],COLUMN(calcd_DB17_baselinesequence[Name]),FALSE)</f>
        <v>TT</v>
      </c>
      <c r="D19" s="1" t="str" cm="1">
        <f t="array" ref="D19">VLOOKUP(DB17_baselinesequence[[#This Row],[ID]],calcd_DB17_baselinesequence[],COLUMN(calcd_DB17_baselinesequence[手動調整？]),FALSE)</f>
        <v/>
      </c>
      <c r="E19" s="1" t="str" cm="1">
        <f t="array" ref="E19">VLOOKUP(DB17_baselinesequence[[#This Row],[ID]],calcd_DB17_baselinesequence[],COLUMN(calcd_DB17_baselinesequence[sugar_wing]),FALSE)</f>
        <v>DNA</v>
      </c>
      <c r="F19" s="1" t="str" cm="1">
        <f t="array" ref="F19">VLOOKUP(DB17_baselinesequence[[#This Row],[ID]],calcd_DB17_baselinesequence[],COLUMN(calcd_DB17_baselinesequence[sugar_gap]),FALSE)</f>
        <v>DNA</v>
      </c>
      <c r="G19" s="1" t="str" cm="1">
        <f t="array" ref="G19">VLOOKUP(DB17_baselinesequence[[#This Row],[ID]],calcd_DB17_baselinesequence[],COLUMN(calcd_DB17_baselinesequence[link_wing]),FALSE)</f>
        <v>PB</v>
      </c>
      <c r="H19" s="1" t="str" cm="1">
        <f t="array" ref="H19">VLOOKUP(DB17_baselinesequence[[#This Row],[ID]],calcd_DB17_baselinesequence[],COLUMN(calcd_DB17_baselinesequence[link_gap]),FALSE)</f>
        <v>PB</v>
      </c>
      <c r="I19" s="1" cm="1">
        <f t="array" ref="I19">VLOOKUP(DB17_baselinesequence[[#This Row],[ID]],calcd_DB17_baselinesequence[],COLUMN(calcd_DB17_baselinesequence[wing5]),FALSE)</f>
        <v>0</v>
      </c>
      <c r="J19" s="1" cm="1">
        <f t="array" ref="J19">VLOOKUP(DB17_baselinesequence[[#This Row],[ID]],calcd_DB17_baselinesequence[],COLUMN(calcd_DB17_baselinesequence[wing3]),FALSE)</f>
        <v>0</v>
      </c>
      <c r="K19" s="1" t="str" cm="1">
        <f t="array" ref="K19">VLOOKUP(DB17_baselinesequence[[#This Row],[ID]],calcd_DB17_baselinesequence[],COLUMN(calcd_DB17_baselinesequence[sequence_ns]),FALSE)</f>
        <v>T*T</v>
      </c>
      <c r="L19" s="1" t="str" cm="1">
        <f t="array" ref="L19">VLOOKUP(DB17_baselinesequence[[#This Row],[ID]],calcd_DB17_baselinesequence[],COLUMN(calcd_DB17_baselinesequence[sequence_gd]),FALSE)</f>
        <v>t*t</v>
      </c>
      <c r="M19" s="7">
        <v>44614</v>
      </c>
      <c r="N19" s="6"/>
      <c r="Q19" s="6"/>
    </row>
    <row r="20" spans="1:17" x14ac:dyDescent="0.4">
      <c r="A20" s="1">
        <v>19</v>
      </c>
      <c r="B20" s="1" t="str">
        <f>"17-"&amp;LEFT(RIGHTB(REPT(0,4)&amp;_xlfn.BASE(DB17_baselinesequence[[#This Row],[num]],36),4),2)&amp;"-"&amp;RIGHT(RIGHTB(REPT(0,4)&amp;_xlfn.BASE(DB17_baselinesequence[[#This Row],[num]],36),4),2)</f>
        <v>17-00-0J</v>
      </c>
      <c r="C20" s="1" t="str" cm="1">
        <f t="array" ref="C20">VLOOKUP(DB17_baselinesequence[[#This Row],[ID]],calcd_DB17_baselinesequence[],COLUMN(calcd_DB17_baselinesequence[Name]),FALSE)</f>
        <v>Malat1-ASO</v>
      </c>
      <c r="D20" s="1" t="str" cm="1">
        <f t="array" ref="D20">VLOOKUP(DB17_baselinesequence[[#This Row],[ID]],calcd_DB17_baselinesequence[],COLUMN(calcd_DB17_baselinesequence[手動調整？]),FALSE)</f>
        <v/>
      </c>
      <c r="E20" s="1" t="str" cm="1">
        <f t="array" ref="E20">VLOOKUP(DB17_baselinesequence[[#This Row],[ID]],calcd_DB17_baselinesequence[],COLUMN(calcd_DB17_baselinesequence[sugar_wing]),FALSE)</f>
        <v>LNA</v>
      </c>
      <c r="F20" s="1" t="str" cm="1">
        <f t="array" ref="F20">VLOOKUP(DB17_baselinesequence[[#This Row],[ID]],calcd_DB17_baselinesequence[],COLUMN(calcd_DB17_baselinesequence[sugar_gap]),FALSE)</f>
        <v>DNA</v>
      </c>
      <c r="G20" s="1" t="str" cm="1">
        <f t="array" ref="G20">VLOOKUP(DB17_baselinesequence[[#This Row],[ID]],calcd_DB17_baselinesequence[],COLUMN(calcd_DB17_baselinesequence[link_wing]),FALSE)</f>
        <v>PB</v>
      </c>
      <c r="H20" s="1" t="str" cm="1">
        <f t="array" ref="H20">VLOOKUP(DB17_baselinesequence[[#This Row],[ID]],calcd_DB17_baselinesequence[],COLUMN(calcd_DB17_baselinesequence[link_gap]),FALSE)</f>
        <v>PB</v>
      </c>
      <c r="I20" s="1" cm="1">
        <f t="array" ref="I20">VLOOKUP(DB17_baselinesequence[[#This Row],[ID]],calcd_DB17_baselinesequence[],COLUMN(calcd_DB17_baselinesequence[wing5]),FALSE)</f>
        <v>3</v>
      </c>
      <c r="J20" s="1" cm="1">
        <f t="array" ref="J20">VLOOKUP(DB17_baselinesequence[[#This Row],[ID]],calcd_DB17_baselinesequence[],COLUMN(calcd_DB17_baselinesequence[wing3]),FALSE)</f>
        <v>3</v>
      </c>
      <c r="K20" s="1" t="str" cm="1">
        <f t="array" ref="K20">VLOOKUP(DB17_baselinesequence[[#This Row],[ID]],calcd_DB17_baselinesequence[],COLUMN(calcd_DB17_baselinesequence[sequence_ns]),FALSE)</f>
        <v>mC(L)*T(L)*A(L)*G*T*T*C*A*C*T*G*A*A*T(L)*G(L)*mC(L)</v>
      </c>
      <c r="L20" s="1" t="str" cm="1">
        <f t="array" ref="L20">VLOOKUP(DB17_baselinesequence[[#This Row],[ID]],calcd_DB17_baselinesequence[],COLUMN(calcd_DB17_baselinesequence[sequence_gd]),FALSE)</f>
        <v>5(L)*T(L)*A(L)*g*t*t*c*a*c*t*g*a*a*T(L)*G(L)*5(L)</v>
      </c>
      <c r="M20" s="7"/>
      <c r="N20" s="6"/>
      <c r="Q20" s="6"/>
    </row>
  </sheetData>
  <phoneticPr fontId="1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9895E-C0BD-4E04-8A0B-C6E408591F27}">
  <dimension ref="A1"/>
  <sheetViews>
    <sheetView workbookViewId="0"/>
  </sheetViews>
  <sheetFormatPr defaultRowHeight="18.75" x14ac:dyDescent="0.4"/>
  <sheetData/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0"/>
  <sheetViews>
    <sheetView zoomScale="55" zoomScaleNormal="55" workbookViewId="0">
      <selection activeCell="C5" sqref="C5"/>
    </sheetView>
  </sheetViews>
  <sheetFormatPr defaultRowHeight="17.25" x14ac:dyDescent="0.4"/>
  <cols>
    <col min="1" max="1" width="12.125" style="3" bestFit="1" customWidth="1"/>
    <col min="2" max="2" width="10.375" style="3" bestFit="1" customWidth="1"/>
    <col min="3" max="3" width="43.5" style="3" bestFit="1" customWidth="1"/>
    <col min="4" max="4" width="16.5" style="3" customWidth="1"/>
    <col min="5" max="5" width="19.5" style="3" customWidth="1"/>
    <col min="6" max="6" width="26.75" style="3" bestFit="1" customWidth="1"/>
    <col min="7" max="7" width="17.125" style="3" bestFit="1" customWidth="1"/>
    <col min="8" max="8" width="18.375" style="3" bestFit="1" customWidth="1"/>
    <col min="9" max="9" width="30.125" style="3" customWidth="1"/>
    <col min="10" max="10" width="7.75" style="3" bestFit="1" customWidth="1"/>
    <col min="11" max="11" width="22.75" style="3" bestFit="1" customWidth="1"/>
    <col min="12" max="12" width="16.5" style="3" bestFit="1" customWidth="1"/>
    <col min="13" max="13" width="15.25" style="3" bestFit="1" customWidth="1"/>
    <col min="14" max="14" width="14.25" style="3" bestFit="1" customWidth="1"/>
    <col min="15" max="15" width="13.125" style="3" bestFit="1" customWidth="1"/>
    <col min="16" max="17" width="10.875" style="3" bestFit="1" customWidth="1"/>
    <col min="18" max="24" width="5.625" style="3" customWidth="1"/>
    <col min="25" max="38" width="9" style="1" customWidth="1"/>
    <col min="39" max="16384" width="9" style="1"/>
  </cols>
  <sheetData>
    <row r="1" spans="1:24" x14ac:dyDescent="0.4">
      <c r="A1" s="1" t="s">
        <v>71</v>
      </c>
      <c r="B1" s="1" t="s">
        <v>0</v>
      </c>
      <c r="C1" s="1" t="s">
        <v>72</v>
      </c>
      <c r="D1" s="1" t="s">
        <v>54</v>
      </c>
      <c r="E1" s="1" t="s">
        <v>55</v>
      </c>
      <c r="F1" s="1" t="s">
        <v>51</v>
      </c>
      <c r="G1" s="4" t="s">
        <v>52</v>
      </c>
      <c r="H1" s="4" t="s">
        <v>2</v>
      </c>
      <c r="I1" s="1" t="s">
        <v>3</v>
      </c>
      <c r="J1" s="1" t="s">
        <v>56</v>
      </c>
      <c r="K1" s="2" t="s">
        <v>73</v>
      </c>
      <c r="L1" s="2" t="s">
        <v>4</v>
      </c>
      <c r="M1" s="2" t="s">
        <v>5</v>
      </c>
      <c r="N1" s="2" t="s">
        <v>6</v>
      </c>
      <c r="O1" s="2" t="s">
        <v>7</v>
      </c>
      <c r="P1" s="2" t="s">
        <v>8</v>
      </c>
      <c r="Q1" s="2" t="s">
        <v>9</v>
      </c>
      <c r="R1" s="4"/>
      <c r="S1" s="4"/>
      <c r="T1" s="4"/>
      <c r="U1" s="4"/>
      <c r="V1" s="4"/>
      <c r="W1" s="4"/>
      <c r="X1" s="4"/>
    </row>
    <row r="2" spans="1:24" ht="18.75" customHeight="1" x14ac:dyDescent="0.4">
      <c r="A2" s="1" t="str">
        <f>"17-"&amp;LEFT(RIGHTB(REPT(0,4)&amp;_xlfn.BASE(converter_fm06_to07[[#This Row],[num]],36),4),2)&amp;"-"&amp;RIGHT(RIGHTB(REPT(0,4)&amp;_xlfn.BASE(converter_fm06_to07[[#This Row],[num]],36),4),2)</f>
        <v>17-00-01</v>
      </c>
      <c r="B2" s="1">
        <v>1</v>
      </c>
      <c r="C2" s="1" t="s">
        <v>149</v>
      </c>
      <c r="D2" s="1"/>
      <c r="E2" s="1"/>
      <c r="F2" s="1" t="s">
        <v>138</v>
      </c>
      <c r="G2" s="1" t="str">
        <f>LEFT(converter_fm06_to07[[#This Row],[sequence]],8)</f>
        <v>16-00-03</v>
      </c>
      <c r="H2" s="1" t="str">
        <f>IF(converter_fm06_to07[[#This Row],[sequence]]="","",RIGHT(converter_fm06_to07[[#This Row],[sequence]],LEN(converter_fm06_to07[[#This Row],[sequence]])-9))</f>
        <v>Bace1</v>
      </c>
      <c r="I2" s="1" t="str" cm="1">
        <f t="array" ref="I2">VLOOKUP(converter_fm06_to07[[#This Row],[id_sequence]],DB16_baseline_for_PB[],COLUMN(DB16_baseline_for_PB[Baseline]),FALSE)</f>
        <v>GTATTGCTGAGGA</v>
      </c>
      <c r="J2" s="1">
        <f>LEN(converter_fm06_to07[[#This Row],[baseline]])</f>
        <v>13</v>
      </c>
      <c r="K2" s="1" t="s">
        <v>11</v>
      </c>
      <c r="L2" s="1" t="s">
        <v>13</v>
      </c>
      <c r="M2" s="1" t="s">
        <v>13</v>
      </c>
      <c r="N2" s="5" t="s">
        <v>46</v>
      </c>
      <c r="O2" s="5" t="s">
        <v>46</v>
      </c>
      <c r="P2" s="1">
        <v>2</v>
      </c>
      <c r="Q2" s="1">
        <v>3</v>
      </c>
      <c r="R2" s="1"/>
      <c r="S2" s="1"/>
      <c r="T2" s="1"/>
      <c r="U2" s="1"/>
      <c r="V2" s="1"/>
      <c r="W2" s="1"/>
      <c r="X2" s="1"/>
    </row>
    <row r="3" spans="1:24" ht="18.75" customHeight="1" x14ac:dyDescent="0.4">
      <c r="A3" s="1" t="str">
        <f>"17-"&amp;LEFT(RIGHTB(REPT(0,4)&amp;_xlfn.BASE(converter_fm06_to07[[#This Row],[num]],36),4),2)&amp;"-"&amp;RIGHT(RIGHTB(REPT(0,4)&amp;_xlfn.BASE(converter_fm06_to07[[#This Row],[num]],36),4),2)</f>
        <v>17-00-02</v>
      </c>
      <c r="B3" s="1">
        <v>2</v>
      </c>
      <c r="C3" s="1" t="s">
        <v>150</v>
      </c>
      <c r="D3" s="1"/>
      <c r="E3" s="1"/>
      <c r="F3" s="1" t="s">
        <v>138</v>
      </c>
      <c r="G3" s="1" t="str">
        <f>LEFT(converter_fm06_to07[[#This Row],[sequence]],8)</f>
        <v>16-00-03</v>
      </c>
      <c r="H3" s="1" t="str">
        <f>IF(converter_fm06_to07[[#This Row],[sequence]]="","",RIGHT(converter_fm06_to07[[#This Row],[sequence]],LEN(converter_fm06_to07[[#This Row],[sequence]])-9))</f>
        <v>Bace1</v>
      </c>
      <c r="I3" s="1" t="str" cm="1">
        <f t="array" ref="I3">VLOOKUP(converter_fm06_to07[[#This Row],[id_sequence]],DB16_baseline_for_PB[],COLUMN(DB16_baseline_for_PB[Baseline]),FALSE)</f>
        <v>GTATTGCTGAGGA</v>
      </c>
      <c r="J3" s="1">
        <f>LEN(converter_fm06_to07[[#This Row],[baseline]])</f>
        <v>13</v>
      </c>
      <c r="K3" s="1" t="s">
        <v>11</v>
      </c>
      <c r="L3" s="1" t="s">
        <v>12</v>
      </c>
      <c r="M3" s="1" t="s">
        <v>13</v>
      </c>
      <c r="N3" s="5" t="s">
        <v>46</v>
      </c>
      <c r="O3" s="5" t="s">
        <v>46</v>
      </c>
      <c r="P3" s="1">
        <v>2</v>
      </c>
      <c r="Q3" s="1">
        <v>3</v>
      </c>
      <c r="R3" s="1"/>
      <c r="S3" s="1"/>
      <c r="T3" s="1"/>
      <c r="U3" s="1"/>
      <c r="V3" s="1"/>
      <c r="W3" s="1"/>
      <c r="X3" s="1"/>
    </row>
    <row r="4" spans="1:24" ht="18.75" customHeight="1" x14ac:dyDescent="0.4">
      <c r="A4" s="1" t="str">
        <f>"17-"&amp;LEFT(RIGHTB(REPT(0,4)&amp;_xlfn.BASE(converter_fm06_to07[[#This Row],[num]],36),4),2)&amp;"-"&amp;RIGHT(RIGHTB(REPT(0,4)&amp;_xlfn.BASE(converter_fm06_to07[[#This Row],[num]],36),4),2)</f>
        <v>17-00-03</v>
      </c>
      <c r="B4" s="1">
        <v>3</v>
      </c>
      <c r="C4" s="1" t="s">
        <v>146</v>
      </c>
      <c r="D4" s="1"/>
      <c r="E4" s="1"/>
      <c r="F4" s="1" t="s">
        <v>139</v>
      </c>
      <c r="G4" s="1" t="str">
        <f>LEFT(converter_fm06_to07[[#This Row],[sequence]],8)</f>
        <v>16-00-04</v>
      </c>
      <c r="H4" s="1" t="str">
        <f>IF(converter_fm06_to07[[#This Row],[sequence]]="","",RIGHT(converter_fm06_to07[[#This Row],[sequence]],LEN(converter_fm06_to07[[#This Row],[sequence]])-9))</f>
        <v>SYNGAP1-24</v>
      </c>
      <c r="I4" s="1" t="str" cm="1">
        <f t="array" ref="I4">VLOOKUP(converter_fm06_to07[[#This Row],[id_sequence]],DB16_baseline_for_PB[],COLUMN(DB16_baseline_for_PB[Baseline]),FALSE)</f>
        <v>AGAAATGGAGAGGGAGAG</v>
      </c>
      <c r="J4" s="1">
        <f>LEN(converter_fm06_to07[[#This Row],[baseline]])</f>
        <v>18</v>
      </c>
      <c r="K4" s="1" t="s">
        <v>11</v>
      </c>
      <c r="L4" s="1" t="s">
        <v>13</v>
      </c>
      <c r="M4" s="1" t="s">
        <v>13</v>
      </c>
      <c r="N4" s="5" t="s">
        <v>46</v>
      </c>
      <c r="O4" s="5" t="s">
        <v>46</v>
      </c>
      <c r="P4" s="1">
        <v>0</v>
      </c>
      <c r="Q4" s="1">
        <v>0</v>
      </c>
      <c r="R4" s="1"/>
      <c r="S4" s="1"/>
      <c r="T4" s="1"/>
      <c r="U4" s="1"/>
      <c r="V4" s="1"/>
      <c r="W4" s="1"/>
      <c r="X4" s="1"/>
    </row>
    <row r="5" spans="1:24" ht="18.75" customHeight="1" x14ac:dyDescent="0.4">
      <c r="A5" s="1" t="str">
        <f>"17-"&amp;LEFT(RIGHTB(REPT(0,4)&amp;_xlfn.BASE(converter_fm06_to07[[#This Row],[num]],36),4),2)&amp;"-"&amp;RIGHT(RIGHTB(REPT(0,4)&amp;_xlfn.BASE(converter_fm06_to07[[#This Row],[num]],36),4),2)</f>
        <v>17-00-04</v>
      </c>
      <c r="B5" s="1">
        <v>4</v>
      </c>
      <c r="C5" s="1" t="s">
        <v>151</v>
      </c>
      <c r="D5" s="1"/>
      <c r="E5" s="1"/>
      <c r="F5" s="1" t="s">
        <v>139</v>
      </c>
      <c r="G5" s="1" t="str">
        <f>LEFT(converter_fm06_to07[[#This Row],[sequence]],8)</f>
        <v>16-00-04</v>
      </c>
      <c r="H5" s="1" t="str">
        <f>IF(converter_fm06_to07[[#This Row],[sequence]]="","",RIGHT(converter_fm06_to07[[#This Row],[sequence]],LEN(converter_fm06_to07[[#This Row],[sequence]])-9))</f>
        <v>SYNGAP1-24</v>
      </c>
      <c r="I5" s="1" t="str" cm="1">
        <f t="array" ref="I5">VLOOKUP(converter_fm06_to07[[#This Row],[id_sequence]],DB16_baseline_for_PB[],COLUMN(DB16_baseline_for_PB[Baseline]),FALSE)</f>
        <v>AGAAATGGAGAGGGAGAG</v>
      </c>
      <c r="J5" s="1">
        <f>LEN(converter_fm06_to07[[#This Row],[baseline]])</f>
        <v>18</v>
      </c>
      <c r="K5" s="1" t="s">
        <v>11</v>
      </c>
      <c r="L5" s="1" t="s">
        <v>18</v>
      </c>
      <c r="M5" s="1" t="s">
        <v>18</v>
      </c>
      <c r="N5" s="5" t="s">
        <v>46</v>
      </c>
      <c r="O5" s="5" t="s">
        <v>46</v>
      </c>
      <c r="P5" s="1">
        <v>0</v>
      </c>
      <c r="Q5" s="1">
        <v>0</v>
      </c>
      <c r="R5" s="1"/>
      <c r="S5" s="1"/>
      <c r="T5" s="1"/>
      <c r="U5" s="1"/>
      <c r="V5" s="1"/>
      <c r="W5" s="1"/>
      <c r="X5" s="1"/>
    </row>
    <row r="6" spans="1:24" x14ac:dyDescent="0.4">
      <c r="A6" s="1" t="str">
        <f>"17-"&amp;LEFT(RIGHTB(REPT(0,4)&amp;_xlfn.BASE(converter_fm06_to07[[#This Row],[num]],36),4),2)&amp;"-"&amp;RIGHT(RIGHTB(REPT(0,4)&amp;_xlfn.BASE(converter_fm06_to07[[#This Row],[num]],36),4),2)</f>
        <v>17-00-05</v>
      </c>
      <c r="B6" s="1">
        <v>5</v>
      </c>
      <c r="C6" s="1" t="s">
        <v>147</v>
      </c>
      <c r="D6" s="1"/>
      <c r="E6" s="1"/>
      <c r="F6" s="1" t="s">
        <v>140</v>
      </c>
      <c r="G6" s="1" t="str">
        <f>LEFT(converter_fm06_to07[[#This Row],[sequence]],8)</f>
        <v>16-00-05</v>
      </c>
      <c r="H6" s="1" t="str">
        <f>IF(converter_fm06_to07[[#This Row],[sequence]]="","",RIGHT(converter_fm06_to07[[#This Row],[sequence]],LEN(converter_fm06_to07[[#This Row],[sequence]])-9))</f>
        <v>SYNGAP1-5</v>
      </c>
      <c r="I6" s="1" t="str" cm="1">
        <f t="array" ref="I6">VLOOKUP(converter_fm06_to07[[#This Row],[id_sequence]],DB16_baseline_for_PB[],COLUMN(DB16_baseline_for_PB[Baseline]),FALSE)</f>
        <v>GACACCAGGGAGAGACAG</v>
      </c>
      <c r="J6" s="1">
        <f>LEN(converter_fm06_to07[[#This Row],[baseline]])</f>
        <v>18</v>
      </c>
      <c r="K6" s="1" t="s">
        <v>11</v>
      </c>
      <c r="L6" s="1" t="s">
        <v>13</v>
      </c>
      <c r="M6" s="1" t="s">
        <v>13</v>
      </c>
      <c r="N6" s="5" t="s">
        <v>46</v>
      </c>
      <c r="O6" s="5" t="s">
        <v>46</v>
      </c>
      <c r="P6" s="1">
        <v>0</v>
      </c>
      <c r="Q6" s="1">
        <v>0</v>
      </c>
    </row>
    <row r="7" spans="1:24" x14ac:dyDescent="0.4">
      <c r="A7" s="1" t="str">
        <f>"17-"&amp;LEFT(RIGHTB(REPT(0,4)&amp;_xlfn.BASE(converter_fm06_to07[[#This Row],[num]],36),4),2)&amp;"-"&amp;RIGHT(RIGHTB(REPT(0,4)&amp;_xlfn.BASE(converter_fm06_to07[[#This Row],[num]],36),4),2)</f>
        <v>17-00-06</v>
      </c>
      <c r="B7" s="1">
        <v>6</v>
      </c>
      <c r="C7" s="1" t="s">
        <v>152</v>
      </c>
      <c r="D7" s="1"/>
      <c r="E7" s="1"/>
      <c r="F7" s="1" t="s">
        <v>140</v>
      </c>
      <c r="G7" s="1" t="str">
        <f>LEFT(converter_fm06_to07[[#This Row],[sequence]],8)</f>
        <v>16-00-05</v>
      </c>
      <c r="H7" s="1" t="str">
        <f>IF(converter_fm06_to07[[#This Row],[sequence]]="","",RIGHT(converter_fm06_to07[[#This Row],[sequence]],LEN(converter_fm06_to07[[#This Row],[sequence]])-9))</f>
        <v>SYNGAP1-5</v>
      </c>
      <c r="I7" s="1" t="str" cm="1">
        <f t="array" ref="I7">VLOOKUP(converter_fm06_to07[[#This Row],[id_sequence]],DB16_baseline_for_PB[],COLUMN(DB16_baseline_for_PB[Baseline]),FALSE)</f>
        <v>GACACCAGGGAGAGACAG</v>
      </c>
      <c r="J7" s="1">
        <f>LEN(converter_fm06_to07[[#This Row],[baseline]])</f>
        <v>18</v>
      </c>
      <c r="K7" s="1" t="s">
        <v>11</v>
      </c>
      <c r="L7" s="1" t="s">
        <v>18</v>
      </c>
      <c r="M7" s="1" t="s">
        <v>18</v>
      </c>
      <c r="N7" s="5" t="s">
        <v>46</v>
      </c>
      <c r="O7" s="5" t="s">
        <v>46</v>
      </c>
      <c r="P7" s="1">
        <v>0</v>
      </c>
      <c r="Q7" s="1">
        <v>0</v>
      </c>
    </row>
    <row r="8" spans="1:24" x14ac:dyDescent="0.4">
      <c r="A8" s="1" t="str">
        <f>"17-"&amp;LEFT(RIGHTB(REPT(0,4)&amp;_xlfn.BASE(converter_fm06_to07[[#This Row],[num]],36),4),2)&amp;"-"&amp;RIGHT(RIGHTB(REPT(0,4)&amp;_xlfn.BASE(converter_fm06_to07[[#This Row],[num]],36),4),2)</f>
        <v>17-00-07</v>
      </c>
      <c r="B8" s="1">
        <v>7</v>
      </c>
      <c r="C8" s="1" t="s">
        <v>219</v>
      </c>
      <c r="D8" s="1"/>
      <c r="E8" s="1"/>
      <c r="F8" s="1" t="s">
        <v>217</v>
      </c>
      <c r="G8" s="3" t="str">
        <f>LEFT(converter_fm06_to07[[#This Row],[sequence]],8)</f>
        <v>16-00-09</v>
      </c>
      <c r="H8" s="3" t="str">
        <f>IF(converter_fm06_to07[[#This Row],[sequence]]="","",RIGHT(converter_fm06_to07[[#This Row],[sequence]],LEN(converter_fm06_to07[[#This Row],[sequence]])-9))</f>
        <v>mecp2-33</v>
      </c>
      <c r="I8" s="3" t="str" cm="1">
        <f t="array" ref="I8">VLOOKUP(converter_fm06_to07[[#This Row],[id_sequence]],DB16_baseline_for_PB[],COLUMN(DB16_baseline_for_PB[Baseline]),FALSE)</f>
        <v>TCTACAGAAGCAAGGTGT</v>
      </c>
      <c r="J8" s="3">
        <f>LEN(converter_fm06_to07[[#This Row],[baseline]])</f>
        <v>18</v>
      </c>
      <c r="K8" s="1" t="s">
        <v>11</v>
      </c>
      <c r="L8" s="1" t="s">
        <v>13</v>
      </c>
      <c r="M8" s="1" t="s">
        <v>13</v>
      </c>
      <c r="N8" s="5" t="s">
        <v>46</v>
      </c>
      <c r="O8" s="5" t="s">
        <v>46</v>
      </c>
      <c r="P8" s="1">
        <v>0</v>
      </c>
      <c r="Q8" s="1">
        <v>0</v>
      </c>
    </row>
    <row r="9" spans="1:24" x14ac:dyDescent="0.4">
      <c r="A9" s="1" t="str">
        <f>"17-"&amp;LEFT(RIGHTB(REPT(0,4)&amp;_xlfn.BASE(converter_fm06_to07[[#This Row],[num]],36),4),2)&amp;"-"&amp;RIGHT(RIGHTB(REPT(0,4)&amp;_xlfn.BASE(converter_fm06_to07[[#This Row],[num]],36),4),2)</f>
        <v>17-00-08</v>
      </c>
      <c r="B9" s="1">
        <v>8</v>
      </c>
      <c r="C9" s="1" t="s">
        <v>220</v>
      </c>
      <c r="D9" s="1"/>
      <c r="E9" s="1"/>
      <c r="F9" s="1" t="s">
        <v>217</v>
      </c>
      <c r="G9" s="3" t="str">
        <f>LEFT(converter_fm06_to07[[#This Row],[sequence]],8)</f>
        <v>16-00-09</v>
      </c>
      <c r="H9" s="3" t="str">
        <f>IF(converter_fm06_to07[[#This Row],[sequence]]="","",RIGHT(converter_fm06_to07[[#This Row],[sequence]],LEN(converter_fm06_to07[[#This Row],[sequence]])-9))</f>
        <v>mecp2-33</v>
      </c>
      <c r="I9" s="3" t="str" cm="1">
        <f t="array" ref="I9">VLOOKUP(converter_fm06_to07[[#This Row],[id_sequence]],DB16_baseline_for_PB[],COLUMN(DB16_baseline_for_PB[Baseline]),FALSE)</f>
        <v>TCTACAGAAGCAAGGTGT</v>
      </c>
      <c r="J9" s="3">
        <f>LEN(converter_fm06_to07[[#This Row],[baseline]])</f>
        <v>18</v>
      </c>
      <c r="K9" s="1" t="s">
        <v>11</v>
      </c>
      <c r="L9" s="1" t="s">
        <v>18</v>
      </c>
      <c r="M9" s="1" t="s">
        <v>18</v>
      </c>
      <c r="N9" s="5" t="s">
        <v>46</v>
      </c>
      <c r="O9" s="5" t="s">
        <v>46</v>
      </c>
      <c r="P9" s="1">
        <v>0</v>
      </c>
      <c r="Q9" s="1">
        <v>0</v>
      </c>
    </row>
    <row r="10" spans="1:24" x14ac:dyDescent="0.4">
      <c r="A10" s="1" t="str">
        <f>"17-"&amp;LEFT(RIGHTB(REPT(0,4)&amp;_xlfn.BASE(converter_fm06_to07[[#This Row],[num]],36),4),2)&amp;"-"&amp;RIGHT(RIGHTB(REPT(0,4)&amp;_xlfn.BASE(converter_fm06_to07[[#This Row],[num]],36),4),2)</f>
        <v>17-00-09</v>
      </c>
      <c r="B10" s="1">
        <v>9</v>
      </c>
      <c r="C10" s="3" t="s">
        <v>221</v>
      </c>
      <c r="F10" s="3" t="s">
        <v>218</v>
      </c>
      <c r="G10" s="3" t="str">
        <f>LEFT(converter_fm06_to07[[#This Row],[sequence]],8)</f>
        <v>16-00-0A</v>
      </c>
      <c r="H10" s="3" t="str">
        <f>IF(converter_fm06_to07[[#This Row],[sequence]]="","",RIGHT(converter_fm06_to07[[#This Row],[sequence]],LEN(converter_fm06_to07[[#This Row],[sequence]])-9))</f>
        <v>mecp2-52</v>
      </c>
      <c r="I10" s="3" t="str" cm="1">
        <f t="array" ref="I10">VLOOKUP(converter_fm06_to07[[#This Row],[id_sequence]],DB16_baseline_for_PB[],COLUMN(DB16_baseline_for_PB[Baseline]),FALSE)</f>
        <v>GGCCAAACCAGGACATAT</v>
      </c>
      <c r="J10" s="3">
        <f>LEN(converter_fm06_to07[[#This Row],[baseline]])</f>
        <v>18</v>
      </c>
      <c r="K10" s="1" t="s">
        <v>11</v>
      </c>
      <c r="L10" s="1" t="s">
        <v>13</v>
      </c>
      <c r="M10" s="1" t="s">
        <v>13</v>
      </c>
      <c r="N10" s="5" t="s">
        <v>46</v>
      </c>
      <c r="O10" s="5" t="s">
        <v>46</v>
      </c>
      <c r="P10" s="1">
        <v>0</v>
      </c>
      <c r="Q10" s="1">
        <v>0</v>
      </c>
    </row>
    <row r="11" spans="1:24" x14ac:dyDescent="0.4">
      <c r="A11" s="1" t="str">
        <f>"17-"&amp;LEFT(RIGHTB(REPT(0,4)&amp;_xlfn.BASE(converter_fm06_to07[[#This Row],[num]],36),4),2)&amp;"-"&amp;RIGHT(RIGHTB(REPT(0,4)&amp;_xlfn.BASE(converter_fm06_to07[[#This Row],[num]],36),4),2)</f>
        <v>17-00-0A</v>
      </c>
      <c r="B11" s="1">
        <v>10</v>
      </c>
      <c r="C11" s="3" t="s">
        <v>222</v>
      </c>
      <c r="F11" s="3" t="s">
        <v>218</v>
      </c>
      <c r="G11" s="3" t="str">
        <f>LEFT(converter_fm06_to07[[#This Row],[sequence]],8)</f>
        <v>16-00-0A</v>
      </c>
      <c r="H11" s="3" t="str">
        <f>IF(converter_fm06_to07[[#This Row],[sequence]]="","",RIGHT(converter_fm06_to07[[#This Row],[sequence]],LEN(converter_fm06_to07[[#This Row],[sequence]])-9))</f>
        <v>mecp2-52</v>
      </c>
      <c r="I11" s="3" t="str" cm="1">
        <f t="array" ref="I11">VLOOKUP(converter_fm06_to07[[#This Row],[id_sequence]],DB16_baseline_for_PB[],COLUMN(DB16_baseline_for_PB[Baseline]),FALSE)</f>
        <v>GGCCAAACCAGGACATAT</v>
      </c>
      <c r="J11" s="3">
        <f>LEN(converter_fm06_to07[[#This Row],[baseline]])</f>
        <v>18</v>
      </c>
      <c r="K11" s="1" t="s">
        <v>11</v>
      </c>
      <c r="L11" s="1" t="s">
        <v>18</v>
      </c>
      <c r="M11" s="1" t="s">
        <v>18</v>
      </c>
      <c r="N11" s="5" t="s">
        <v>46</v>
      </c>
      <c r="O11" s="5" t="s">
        <v>46</v>
      </c>
      <c r="P11" s="1">
        <v>0</v>
      </c>
      <c r="Q11" s="1">
        <v>0</v>
      </c>
    </row>
    <row r="12" spans="1:24" x14ac:dyDescent="0.4">
      <c r="A12" s="1" t="str">
        <f>"17-"&amp;LEFT(RIGHTB(REPT(0,4)&amp;_xlfn.BASE(converter_fm06_to07[[#This Row],[num]],36),4),2)&amp;"-"&amp;RIGHT(RIGHTB(REPT(0,4)&amp;_xlfn.BASE(converter_fm06_to07[[#This Row],[num]],36),4),2)</f>
        <v>17-00-0B</v>
      </c>
      <c r="B12" s="1">
        <v>11</v>
      </c>
      <c r="C12" s="3" t="s">
        <v>148</v>
      </c>
      <c r="F12" s="3" t="s">
        <v>141</v>
      </c>
      <c r="G12" s="3" t="str">
        <f>LEFT(converter_fm06_to07[[#This Row],[sequence]],8)</f>
        <v>16-00-0B</v>
      </c>
      <c r="H12" s="3" t="str">
        <f>IF(converter_fm06_to07[[#This Row],[sequence]]="","",RIGHT(converter_fm06_to07[[#This Row],[sequence]],LEN(converter_fm06_to07[[#This Row],[sequence]])-9))</f>
        <v>T16</v>
      </c>
      <c r="I12" s="3" t="str" cm="1">
        <f t="array" ref="I12">VLOOKUP(converter_fm06_to07[[#This Row],[id_sequence]],DB16_baseline_for_PB[],COLUMN(DB16_baseline_for_PB[Baseline]),FALSE)</f>
        <v>TTTTTTTTTTTTTTTT</v>
      </c>
      <c r="J12" s="3">
        <f>LEN(converter_fm06_to07[[#This Row],[baseline]])</f>
        <v>16</v>
      </c>
      <c r="K12" s="1" t="s">
        <v>11</v>
      </c>
      <c r="L12" s="1" t="s">
        <v>13</v>
      </c>
      <c r="M12" s="1" t="s">
        <v>13</v>
      </c>
      <c r="N12" s="5" t="s">
        <v>46</v>
      </c>
      <c r="O12" s="5" t="s">
        <v>46</v>
      </c>
      <c r="P12" s="1">
        <v>0</v>
      </c>
      <c r="Q12" s="1">
        <v>0</v>
      </c>
    </row>
    <row r="13" spans="1:24" x14ac:dyDescent="0.4">
      <c r="A13" s="1" t="str">
        <f>"17-"&amp;LEFT(RIGHTB(REPT(0,4)&amp;_xlfn.BASE(converter_fm06_to07[[#This Row],[num]],36),4),2)&amp;"-"&amp;RIGHT(RIGHTB(REPT(0,4)&amp;_xlfn.BASE(converter_fm06_to07[[#This Row],[num]],36),4),2)</f>
        <v>17-00-0C</v>
      </c>
      <c r="B13" s="1">
        <v>12</v>
      </c>
      <c r="C13" s="3" t="str" cm="1">
        <f t="array" ref="C13">VLOOKUP(converter_fm06_to07[[#This Row],[id_sequence]],DB16_baseline_for_PB[],COLUMN(DB16_baseline_for_PB[Baseline]),FALSE)</f>
        <v>CAGTCAGT</v>
      </c>
      <c r="F13" s="3" t="s">
        <v>142</v>
      </c>
      <c r="G13" s="3" t="str">
        <f>LEFT(converter_fm06_to07[[#This Row],[sequence]],8)</f>
        <v>16-00-0C</v>
      </c>
      <c r="H13" s="3" t="str">
        <f>IF(converter_fm06_to07[[#This Row],[sequence]]="","",RIGHT(converter_fm06_to07[[#This Row],[sequence]],LEN(converter_fm06_to07[[#This Row],[sequence]])-9))</f>
        <v>ACGTACGT</v>
      </c>
      <c r="I13" s="3" t="str" cm="1">
        <f t="array" ref="I13">VLOOKUP(converter_fm06_to07[[#This Row],[id_sequence]],DB16_baseline_for_PB[],COLUMN(DB16_baseline_for_PB[Baseline]),FALSE)</f>
        <v>CAGTCAGT</v>
      </c>
      <c r="J13" s="3">
        <f>LEN(converter_fm06_to07[[#This Row],[baseline]])</f>
        <v>8</v>
      </c>
      <c r="K13" s="1" t="s">
        <v>11</v>
      </c>
      <c r="L13" s="1" t="s">
        <v>13</v>
      </c>
      <c r="M13" s="1" t="s">
        <v>13</v>
      </c>
      <c r="N13" s="5" t="s">
        <v>46</v>
      </c>
      <c r="O13" s="5" t="s">
        <v>46</v>
      </c>
      <c r="P13" s="1">
        <v>0</v>
      </c>
      <c r="Q13" s="1">
        <v>0</v>
      </c>
    </row>
    <row r="14" spans="1:24" x14ac:dyDescent="0.4">
      <c r="A14" s="1" t="str">
        <f>"17-"&amp;LEFT(RIGHTB(REPT(0,4)&amp;_xlfn.BASE(converter_fm06_to07[[#This Row],[num]],36),4),2)&amp;"-"&amp;RIGHT(RIGHTB(REPT(0,4)&amp;_xlfn.BASE(converter_fm06_to07[[#This Row],[num]],36),4),2)</f>
        <v>17-00-0D</v>
      </c>
      <c r="B14" s="1">
        <v>13</v>
      </c>
      <c r="C14" s="3" t="str" cm="1">
        <f t="array" ref="C14">VLOOKUP(converter_fm06_to07[[#This Row],[id_sequence]],DB16_baseline_for_PB[],COLUMN(DB16_baseline_for_PB[Baseline]),FALSE)</f>
        <v>CAGT</v>
      </c>
      <c r="F14" s="3" t="s">
        <v>143</v>
      </c>
      <c r="G14" s="3" t="str">
        <f>LEFT(converter_fm06_to07[[#This Row],[sequence]],8)</f>
        <v>16-00-0D</v>
      </c>
      <c r="H14" s="3" t="str">
        <f>IF(converter_fm06_to07[[#This Row],[sequence]]="","",RIGHT(converter_fm06_to07[[#This Row],[sequence]],LEN(converter_fm06_to07[[#This Row],[sequence]])-9))</f>
        <v>ACGT</v>
      </c>
      <c r="I14" s="3" t="str" cm="1">
        <f t="array" ref="I14">VLOOKUP(converter_fm06_to07[[#This Row],[id_sequence]],DB16_baseline_for_PB[],COLUMN(DB16_baseline_for_PB[Baseline]),FALSE)</f>
        <v>CAGT</v>
      </c>
      <c r="J14" s="3">
        <f>LEN(converter_fm06_to07[[#This Row],[baseline]])</f>
        <v>4</v>
      </c>
      <c r="K14" s="1" t="s">
        <v>11</v>
      </c>
      <c r="L14" s="1" t="s">
        <v>13</v>
      </c>
      <c r="M14" s="1" t="s">
        <v>13</v>
      </c>
      <c r="N14" s="5" t="s">
        <v>46</v>
      </c>
      <c r="O14" s="5" t="s">
        <v>46</v>
      </c>
      <c r="P14" s="1">
        <v>0</v>
      </c>
      <c r="Q14" s="1">
        <v>0</v>
      </c>
    </row>
    <row r="15" spans="1:24" x14ac:dyDescent="0.4">
      <c r="A15" s="1" t="str">
        <f>"17-"&amp;LEFT(RIGHTB(REPT(0,4)&amp;_xlfn.BASE(converter_fm06_to07[[#This Row],[num]],36),4),2)&amp;"-"&amp;RIGHT(RIGHTB(REPT(0,4)&amp;_xlfn.BASE(converter_fm06_to07[[#This Row],[num]],36),4),2)</f>
        <v>17-00-0E</v>
      </c>
      <c r="B15" s="1">
        <v>14</v>
      </c>
      <c r="C15" s="3" t="str" cm="1">
        <f t="array" ref="C15">VLOOKUP(converter_fm06_to07[[#This Row],[id_sequence]],DB16_baseline_for_PB[],COLUMN(DB16_baseline_for_PB[Baseline]),FALSE)</f>
        <v>TGT</v>
      </c>
      <c r="F15" s="3" t="s">
        <v>144</v>
      </c>
      <c r="G15" s="3" t="str">
        <f>LEFT(converter_fm06_to07[[#This Row],[sequence]],8)</f>
        <v>16-00-0E</v>
      </c>
      <c r="H15" s="3" t="str">
        <f>IF(converter_fm06_to07[[#This Row],[sequence]]="","",RIGHT(converter_fm06_to07[[#This Row],[sequence]],LEN(converter_fm06_to07[[#This Row],[sequence]])-9))</f>
        <v>TGT</v>
      </c>
      <c r="I15" s="3" t="str" cm="1">
        <f t="array" ref="I15">VLOOKUP(converter_fm06_to07[[#This Row],[id_sequence]],DB16_baseline_for_PB[],COLUMN(DB16_baseline_for_PB[Baseline]),FALSE)</f>
        <v>TGT</v>
      </c>
      <c r="J15" s="3">
        <f>LEN(converter_fm06_to07[[#This Row],[baseline]])</f>
        <v>3</v>
      </c>
      <c r="K15" s="1" t="s">
        <v>11</v>
      </c>
      <c r="L15" s="1" t="s">
        <v>13</v>
      </c>
      <c r="M15" s="1" t="s">
        <v>13</v>
      </c>
      <c r="N15" s="5" t="s">
        <v>46</v>
      </c>
      <c r="O15" s="5" t="s">
        <v>46</v>
      </c>
      <c r="P15" s="1">
        <v>0</v>
      </c>
      <c r="Q15" s="1">
        <v>0</v>
      </c>
    </row>
    <row r="16" spans="1:24" x14ac:dyDescent="0.4">
      <c r="A16" s="1" t="str">
        <f>"17-"&amp;LEFT(RIGHTB(REPT(0,4)&amp;_xlfn.BASE(converter_fm06_to07[[#This Row],[num]],36),4),2)&amp;"-"&amp;RIGHT(RIGHTB(REPT(0,4)&amp;_xlfn.BASE(converter_fm06_to07[[#This Row],[num]],36),4),2)</f>
        <v>17-00-0F</v>
      </c>
      <c r="B16" s="1">
        <v>15</v>
      </c>
      <c r="C16" s="3" t="str" cm="1">
        <f t="array" ref="C16">VLOOKUP(converter_fm06_to07[[#This Row],[id_sequence]],DB16_baseline_for_PB[],COLUMN(DB16_baseline_for_PB[Baseline]),FALSE)</f>
        <v>GT</v>
      </c>
      <c r="F16" s="3" t="s">
        <v>145</v>
      </c>
      <c r="G16" s="3" t="str">
        <f>LEFT(converter_fm06_to07[[#This Row],[sequence]],8)</f>
        <v>16-00-0F</v>
      </c>
      <c r="H16" s="3" t="str">
        <f>IF(converter_fm06_to07[[#This Row],[sequence]]="","",RIGHT(converter_fm06_to07[[#This Row],[sequence]],LEN(converter_fm06_to07[[#This Row],[sequence]])-9))</f>
        <v>GT</v>
      </c>
      <c r="I16" s="3" t="str" cm="1">
        <f t="array" ref="I16">VLOOKUP(converter_fm06_to07[[#This Row],[id_sequence]],DB16_baseline_for_PB[],COLUMN(DB16_baseline_for_PB[Baseline]),FALSE)</f>
        <v>GT</v>
      </c>
      <c r="J16" s="3">
        <f>LEN(converter_fm06_to07[[#This Row],[baseline]])</f>
        <v>2</v>
      </c>
      <c r="K16" s="1" t="s">
        <v>11</v>
      </c>
      <c r="L16" s="1" t="s">
        <v>13</v>
      </c>
      <c r="M16" s="1" t="s">
        <v>13</v>
      </c>
      <c r="N16" s="5" t="s">
        <v>46</v>
      </c>
      <c r="O16" s="5" t="s">
        <v>46</v>
      </c>
      <c r="P16" s="1">
        <v>0</v>
      </c>
      <c r="Q16" s="1">
        <v>0</v>
      </c>
    </row>
    <row r="17" spans="1:17" x14ac:dyDescent="0.4">
      <c r="A17" s="3" t="str">
        <f>"17-"&amp;LEFT(RIGHTB(REPT(0,4)&amp;_xlfn.BASE(converter_fm06_to07[[#This Row],[num]],36),4),2)&amp;"-"&amp;RIGHT(RIGHTB(REPT(0,4)&amp;_xlfn.BASE(converter_fm06_to07[[#This Row],[num]],36),4),2)</f>
        <v>17-00-0G</v>
      </c>
      <c r="B17" s="1">
        <v>16</v>
      </c>
      <c r="C17" s="3" t="str">
        <f>IF(converter_fm06_to07[[#This Row],[sequence]]="","",RIGHT(converter_fm06_to07[[#This Row],[sequence]],LEN(converter_fm06_to07[[#This Row],[sequence]])-9))</f>
        <v>AT</v>
      </c>
      <c r="F17" s="3" t="s">
        <v>197</v>
      </c>
      <c r="G17" s="3" t="str">
        <f>LEFT(converter_fm06_to07[[#This Row],[sequence]],8)</f>
        <v>16-00-0G</v>
      </c>
      <c r="H17" s="3" t="str">
        <f>IF(converter_fm06_to07[[#This Row],[sequence]]="","",RIGHT(converter_fm06_to07[[#This Row],[sequence]],LEN(converter_fm06_to07[[#This Row],[sequence]])-9))</f>
        <v>AT</v>
      </c>
      <c r="I17" s="3" t="str" cm="1">
        <f t="array" ref="I17">VLOOKUP(converter_fm06_to07[[#This Row],[id_sequence]],DB16_baseline_for_PB[],COLUMN(DB16_baseline_for_PB[Baseline]),FALSE)</f>
        <v>AT</v>
      </c>
      <c r="J17" s="3">
        <f>LEN(converter_fm06_to07[[#This Row],[baseline]])</f>
        <v>2</v>
      </c>
      <c r="K17" s="1" t="s">
        <v>11</v>
      </c>
      <c r="L17" s="1" t="s">
        <v>13</v>
      </c>
      <c r="M17" s="1" t="s">
        <v>13</v>
      </c>
      <c r="N17" s="5" t="s">
        <v>46</v>
      </c>
      <c r="O17" s="5" t="s">
        <v>46</v>
      </c>
      <c r="P17" s="1">
        <v>0</v>
      </c>
      <c r="Q17" s="1">
        <v>0</v>
      </c>
    </row>
    <row r="18" spans="1:17" x14ac:dyDescent="0.4">
      <c r="A18" s="3" t="str">
        <f>"17-"&amp;LEFT(RIGHTB(REPT(0,4)&amp;_xlfn.BASE(converter_fm06_to07[[#This Row],[num]],36),4),2)&amp;"-"&amp;RIGHT(RIGHTB(REPT(0,4)&amp;_xlfn.BASE(converter_fm06_to07[[#This Row],[num]],36),4),2)</f>
        <v>17-00-0H</v>
      </c>
      <c r="B18" s="1">
        <v>17</v>
      </c>
      <c r="C18" s="3" t="str">
        <f>IF(converter_fm06_to07[[#This Row],[sequence]]="","",RIGHT(converter_fm06_to07[[#This Row],[sequence]],LEN(converter_fm06_to07[[#This Row],[sequence]])-9))</f>
        <v>CT</v>
      </c>
      <c r="F18" s="3" t="s">
        <v>198</v>
      </c>
      <c r="G18" s="3" t="str">
        <f>LEFT(converter_fm06_to07[[#This Row],[sequence]],8)</f>
        <v>16-00-0H</v>
      </c>
      <c r="H18" s="3" t="str">
        <f>IF(converter_fm06_to07[[#This Row],[sequence]]="","",RIGHT(converter_fm06_to07[[#This Row],[sequence]],LEN(converter_fm06_to07[[#This Row],[sequence]])-9))</f>
        <v>CT</v>
      </c>
      <c r="I18" s="3" t="str" cm="1">
        <f t="array" ref="I18">VLOOKUP(converter_fm06_to07[[#This Row],[id_sequence]],DB16_baseline_for_PB[],COLUMN(DB16_baseline_for_PB[Baseline]),FALSE)</f>
        <v>CT</v>
      </c>
      <c r="J18" s="3">
        <f>LEN(converter_fm06_to07[[#This Row],[baseline]])</f>
        <v>2</v>
      </c>
      <c r="K18" s="1" t="s">
        <v>11</v>
      </c>
      <c r="L18" s="1" t="s">
        <v>13</v>
      </c>
      <c r="M18" s="1" t="s">
        <v>13</v>
      </c>
      <c r="N18" s="5" t="s">
        <v>46</v>
      </c>
      <c r="O18" s="5" t="s">
        <v>46</v>
      </c>
      <c r="P18" s="1">
        <v>0</v>
      </c>
      <c r="Q18" s="1">
        <v>0</v>
      </c>
    </row>
    <row r="19" spans="1:17" x14ac:dyDescent="0.4">
      <c r="A19" s="3" t="str">
        <f>"17-"&amp;LEFT(RIGHTB(REPT(0,4)&amp;_xlfn.BASE(converter_fm06_to07[[#This Row],[num]],36),4),2)&amp;"-"&amp;RIGHT(RIGHTB(REPT(0,4)&amp;_xlfn.BASE(converter_fm06_to07[[#This Row],[num]],36),4),2)</f>
        <v>17-00-0I</v>
      </c>
      <c r="B19" s="1">
        <v>18</v>
      </c>
      <c r="C19" s="3" t="str">
        <f>IF(converter_fm06_to07[[#This Row],[sequence]]="","",RIGHT(converter_fm06_to07[[#This Row],[sequence]],LEN(converter_fm06_to07[[#This Row],[sequence]])-9))</f>
        <v>TT</v>
      </c>
      <c r="F19" s="3" t="s">
        <v>199</v>
      </c>
      <c r="G19" s="3" t="str">
        <f>LEFT(converter_fm06_to07[[#This Row],[sequence]],8)</f>
        <v>16-00-0I</v>
      </c>
      <c r="H19" s="3" t="str">
        <f>IF(converter_fm06_to07[[#This Row],[sequence]]="","",RIGHT(converter_fm06_to07[[#This Row],[sequence]],LEN(converter_fm06_to07[[#This Row],[sequence]])-9))</f>
        <v>TT</v>
      </c>
      <c r="I19" s="3" t="str" cm="1">
        <f t="array" ref="I19">VLOOKUP(converter_fm06_to07[[#This Row],[id_sequence]],DB16_baseline_for_PB[],COLUMN(DB16_baseline_for_PB[Baseline]),FALSE)</f>
        <v>TT</v>
      </c>
      <c r="J19" s="3">
        <f>LEN(converter_fm06_to07[[#This Row],[baseline]])</f>
        <v>2</v>
      </c>
      <c r="K19" s="1" t="s">
        <v>11</v>
      </c>
      <c r="L19" s="1" t="s">
        <v>13</v>
      </c>
      <c r="M19" s="1" t="s">
        <v>13</v>
      </c>
      <c r="N19" s="5" t="s">
        <v>46</v>
      </c>
      <c r="O19" s="5" t="s">
        <v>46</v>
      </c>
      <c r="P19" s="1">
        <v>0</v>
      </c>
      <c r="Q19" s="1">
        <v>0</v>
      </c>
    </row>
    <row r="20" spans="1:17" x14ac:dyDescent="0.4">
      <c r="A20" s="3" t="str">
        <f>"17-"&amp;LEFT(RIGHTB(REPT(0,4)&amp;_xlfn.BASE(converter_fm06_to07[[#This Row],[num]],36),4),2)&amp;"-"&amp;RIGHT(RIGHTB(REPT(0,4)&amp;_xlfn.BASE(converter_fm06_to07[[#This Row],[num]],36),4),2)</f>
        <v>17-00-0J</v>
      </c>
      <c r="B20" s="1">
        <v>19</v>
      </c>
      <c r="C20" s="3" t="s">
        <v>210</v>
      </c>
      <c r="F20" s="3" t="s">
        <v>209</v>
      </c>
      <c r="G20" s="3" t="str">
        <f>LEFT(converter_fm06_to07[[#This Row],[sequence]],8)</f>
        <v>16-00-02</v>
      </c>
      <c r="H20" s="3" t="str">
        <f>IF(converter_fm06_to07[[#This Row],[sequence]]="","",RIGHT(converter_fm06_to07[[#This Row],[sequence]],LEN(converter_fm06_to07[[#This Row],[sequence]])-9))</f>
        <v>malat1</v>
      </c>
      <c r="I20" s="3" t="str" cm="1">
        <f t="array" ref="I20">VLOOKUP(converter_fm06_to07[[#This Row],[id_sequence]],DB16_baseline_for_PB[],COLUMN(DB16_baseline_for_PB[Baseline]),FALSE)</f>
        <v>CTAGTTCACTGAATGC</v>
      </c>
      <c r="J20" s="3">
        <f>LEN(converter_fm06_to07[[#This Row],[baseline]])</f>
        <v>16</v>
      </c>
      <c r="K20" s="1" t="s">
        <v>11</v>
      </c>
      <c r="L20" s="1" t="s">
        <v>12</v>
      </c>
      <c r="M20" s="1" t="s">
        <v>13</v>
      </c>
      <c r="N20" s="5" t="s">
        <v>46</v>
      </c>
      <c r="O20" s="5" t="s">
        <v>46</v>
      </c>
      <c r="P20" s="1">
        <v>3</v>
      </c>
      <c r="Q20" s="1">
        <v>3</v>
      </c>
    </row>
  </sheetData>
  <phoneticPr fontId="1"/>
  <dataValidations count="4">
    <dataValidation type="list" allowBlank="1" showInputMessage="1" showErrorMessage="1" sqref="L2:M20" xr:uid="{00000000-0002-0000-0000-000000000000}">
      <formula1>INDIRECT("table_sugar[name]")</formula1>
    </dataValidation>
    <dataValidation type="list" allowBlank="1" showInputMessage="1" showErrorMessage="1" sqref="N2:O20" xr:uid="{3BBF0EDA-D70A-4376-92A6-72A4A6530297}">
      <formula1>INDIRECT("table_linker[name]")</formula1>
    </dataValidation>
    <dataValidation type="list" allowBlank="1" showInputMessage="1" showErrorMessage="1" sqref="K2:K20" xr:uid="{97E44147-0D39-4E78-A1D9-FC471A755885}">
      <formula1>INDIRECT("table_type[name]")</formula1>
    </dataValidation>
    <dataValidation type="list" allowBlank="1" showInputMessage="1" showErrorMessage="1" sqref="F2:F20" xr:uid="{5D8C30FA-74E2-482D-B748-B320835DCE0C}">
      <formula1>_xlfn.ANCHORARRAY(idname)</formula1>
    </dataValidation>
  </dataValidations>
  <pageMargins left="0.7" right="0.7" top="0.75" bottom="0.75" header="0.3" footer="0.3"/>
  <pageSetup paperSize="9" orientation="portrait" verticalDpi="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6"/>
  <sheetViews>
    <sheetView workbookViewId="0">
      <selection activeCell="C2" sqref="C2"/>
    </sheetView>
  </sheetViews>
  <sheetFormatPr defaultRowHeight="17.25" x14ac:dyDescent="0.4"/>
  <cols>
    <col min="1" max="1" width="13.5" style="3" bestFit="1" customWidth="1"/>
    <col min="2" max="16384" width="9" style="1"/>
  </cols>
  <sheetData>
    <row r="1" spans="1:6" x14ac:dyDescent="0.4">
      <c r="A1" s="1" t="s">
        <v>1</v>
      </c>
      <c r="C1" s="1" t="str" cm="1">
        <f t="array" ref="C1:C18">DB16_baseline_for_PB[ID]&amp;" "&amp;DB16_baseline_for_PB[配列名]</f>
        <v>16-00-01 malat1-hm</v>
      </c>
      <c r="F1" s="1" t="str" cm="1">
        <f t="array" aca="1" ref="F1" ca="1">LEFT(CELL("filename",$A$1),FIND("[",CELL("filename",$A$1),1)-1)</f>
        <v>G:\マイドライブ\共有用\オリゴ管理\データベース\</v>
      </c>
    </row>
    <row r="2" spans="1:6" x14ac:dyDescent="0.4">
      <c r="A2" s="1" t="s">
        <v>13</v>
      </c>
      <c r="C2" s="1" t="str">
        <v>16-00-02 malat1</v>
      </c>
    </row>
    <row r="3" spans="1:6" x14ac:dyDescent="0.4">
      <c r="A3" s="1" t="s">
        <v>16</v>
      </c>
      <c r="C3" s="1" t="str">
        <v>16-00-03 Bace1</v>
      </c>
    </row>
    <row r="4" spans="1:6" x14ac:dyDescent="0.4">
      <c r="A4" s="1" t="s">
        <v>12</v>
      </c>
      <c r="C4" s="1" t="str">
        <v>16-00-04 SYNGAP1-24</v>
      </c>
    </row>
    <row r="5" spans="1:6" x14ac:dyDescent="0.4">
      <c r="A5" s="1" t="s">
        <v>39</v>
      </c>
      <c r="C5" s="1" t="str">
        <v>16-00-05 SYNGAP1-5</v>
      </c>
    </row>
    <row r="6" spans="1:6" x14ac:dyDescent="0.4">
      <c r="A6" s="1" t="s">
        <v>40</v>
      </c>
      <c r="C6" s="1" t="str">
        <v>16-00-06 Apob</v>
      </c>
    </row>
    <row r="7" spans="1:6" x14ac:dyDescent="0.4">
      <c r="A7" s="1" t="s">
        <v>41</v>
      </c>
      <c r="C7" s="1" t="str">
        <v>16-00-07 PTEN</v>
      </c>
    </row>
    <row r="8" spans="1:6" x14ac:dyDescent="0.4">
      <c r="A8" s="1" t="s">
        <v>42</v>
      </c>
      <c r="C8" s="1" t="str">
        <v>16-00-08 malat1(INGOT)</v>
      </c>
    </row>
    <row r="9" spans="1:6" x14ac:dyDescent="0.4">
      <c r="A9" s="1" t="s">
        <v>15</v>
      </c>
      <c r="C9" s="1" t="str">
        <v>16-00-09 mecp2-33</v>
      </c>
    </row>
    <row r="10" spans="1:6" x14ac:dyDescent="0.4">
      <c r="A10" s="1" t="s">
        <v>18</v>
      </c>
      <c r="C10" s="1" t="str">
        <v>16-00-0A mecp2-52</v>
      </c>
    </row>
    <row r="11" spans="1:6" x14ac:dyDescent="0.4">
      <c r="A11" s="1" t="s">
        <v>43</v>
      </c>
      <c r="C11" s="1" t="str">
        <v>16-00-0B T16</v>
      </c>
    </row>
    <row r="12" spans="1:6" x14ac:dyDescent="0.4">
      <c r="A12" s="1" t="s">
        <v>44</v>
      </c>
      <c r="C12" s="1" t="str">
        <v>16-00-0C ACGTACGT</v>
      </c>
    </row>
    <row r="13" spans="1:6" x14ac:dyDescent="0.4">
      <c r="A13" s="1" t="s">
        <v>45</v>
      </c>
      <c r="C13" s="1" t="str">
        <v>16-00-0D ACGT</v>
      </c>
    </row>
    <row r="14" spans="1:6" x14ac:dyDescent="0.4">
      <c r="A14" s="1" t="s">
        <v>19</v>
      </c>
      <c r="C14" s="1" t="str">
        <v>16-00-0E TGT</v>
      </c>
    </row>
    <row r="15" spans="1:6" x14ac:dyDescent="0.4">
      <c r="C15" s="1" t="str">
        <v>16-00-0F GT</v>
      </c>
    </row>
    <row r="16" spans="1:6" x14ac:dyDescent="0.4">
      <c r="A16" s="1" t="s">
        <v>1</v>
      </c>
      <c r="C16" s="1" t="str">
        <v>16-00-0G AT</v>
      </c>
    </row>
    <row r="17" spans="1:3" x14ac:dyDescent="0.4">
      <c r="A17" s="1" t="s">
        <v>17</v>
      </c>
      <c r="C17" s="1" t="str">
        <v>16-00-0H CT</v>
      </c>
    </row>
    <row r="18" spans="1:3" x14ac:dyDescent="0.4">
      <c r="A18" s="1" t="s">
        <v>14</v>
      </c>
      <c r="C18" s="1" t="str">
        <v>16-00-0I TT</v>
      </c>
    </row>
    <row r="19" spans="1:3" x14ac:dyDescent="0.4">
      <c r="A19" s="1" t="s">
        <v>46</v>
      </c>
    </row>
    <row r="21" spans="1:3" x14ac:dyDescent="0.4">
      <c r="A21" s="1" t="s">
        <v>1</v>
      </c>
    </row>
    <row r="22" spans="1:3" x14ac:dyDescent="0.4">
      <c r="A22" s="1" t="s">
        <v>11</v>
      </c>
    </row>
    <row r="23" spans="1:3" x14ac:dyDescent="0.4">
      <c r="A23" s="1" t="s">
        <v>23</v>
      </c>
    </row>
    <row r="24" spans="1:3" x14ac:dyDescent="0.4">
      <c r="A24" s="1" t="s">
        <v>53</v>
      </c>
    </row>
    <row r="25" spans="1:3" x14ac:dyDescent="0.4">
      <c r="A25" s="1" t="s">
        <v>47</v>
      </c>
    </row>
    <row r="26" spans="1:3" x14ac:dyDescent="0.4">
      <c r="A26" s="1" t="s">
        <v>48</v>
      </c>
    </row>
  </sheetData>
  <phoneticPr fontId="1"/>
  <pageMargins left="0.7" right="0.7" top="0.75" bottom="0.75" header="0.3" footer="0.3"/>
  <tableParts count="3">
    <tablePart r:id="rId1"/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DCA02-2020-42A4-83B9-820AC5564DD8}">
  <dimension ref="A1:K19"/>
  <sheetViews>
    <sheetView workbookViewId="0">
      <selection activeCell="C10" sqref="C10"/>
    </sheetView>
  </sheetViews>
  <sheetFormatPr defaultRowHeight="17.25" x14ac:dyDescent="0.4"/>
  <cols>
    <col min="1" max="1" width="10.125" style="1" bestFit="1" customWidth="1"/>
    <col min="2" max="2" width="8" style="1" bestFit="1" customWidth="1"/>
    <col min="3" max="3" width="15.375" style="1" bestFit="1" customWidth="1"/>
    <col min="4" max="4" width="26.75" style="1" bestFit="1" customWidth="1"/>
    <col min="5" max="5" width="9.75" style="1" bestFit="1" customWidth="1"/>
    <col min="6" max="6" width="9.625" style="1" bestFit="1" customWidth="1"/>
    <col min="7" max="7" width="9" style="1" bestFit="1" customWidth="1"/>
    <col min="8" max="8" width="20.25" style="1" bestFit="1" customWidth="1"/>
    <col min="9" max="9" width="9" style="1" bestFit="1" customWidth="1"/>
    <col min="10" max="10" width="16.375" style="1" bestFit="1" customWidth="1"/>
    <col min="11" max="11" width="12.5" style="1" bestFit="1" customWidth="1"/>
    <col min="12" max="16384" width="9" style="1"/>
  </cols>
  <sheetData>
    <row r="1" spans="1:11" x14ac:dyDescent="0.4">
      <c r="A1" s="1" t="s">
        <v>50</v>
      </c>
      <c r="B1" s="1" t="s">
        <v>0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49</v>
      </c>
      <c r="H1" s="1" t="s">
        <v>28</v>
      </c>
      <c r="I1" s="1" t="s">
        <v>57</v>
      </c>
      <c r="J1" s="1" t="s">
        <v>29</v>
      </c>
      <c r="K1" s="1" t="s">
        <v>30</v>
      </c>
    </row>
    <row r="2" spans="1:11" x14ac:dyDescent="0.4">
      <c r="A2" s="1" t="s">
        <v>119</v>
      </c>
      <c r="B2" s="1">
        <v>1</v>
      </c>
      <c r="C2" s="1" t="s">
        <v>59</v>
      </c>
      <c r="D2" s="1" t="s">
        <v>36</v>
      </c>
      <c r="E2" s="1">
        <v>16</v>
      </c>
      <c r="F2" s="1" t="s">
        <v>31</v>
      </c>
      <c r="G2" s="1" t="b">
        <v>1</v>
      </c>
      <c r="I2" s="1" t="s">
        <v>58</v>
      </c>
      <c r="K2" s="6">
        <v>44853</v>
      </c>
    </row>
    <row r="3" spans="1:11" x14ac:dyDescent="0.4">
      <c r="A3" s="1" t="s">
        <v>120</v>
      </c>
      <c r="B3" s="1">
        <v>2</v>
      </c>
      <c r="C3" s="1" t="s">
        <v>60</v>
      </c>
      <c r="D3" s="1" t="s">
        <v>10</v>
      </c>
      <c r="E3" s="1">
        <v>16</v>
      </c>
      <c r="F3" s="1" t="s">
        <v>31</v>
      </c>
      <c r="G3" s="1" t="b">
        <v>1</v>
      </c>
      <c r="I3" s="1" t="s">
        <v>58</v>
      </c>
      <c r="K3" s="6">
        <v>44853</v>
      </c>
    </row>
    <row r="4" spans="1:11" x14ac:dyDescent="0.4">
      <c r="A4" s="1" t="s">
        <v>121</v>
      </c>
      <c r="B4" s="1">
        <v>3</v>
      </c>
      <c r="C4" s="1" t="s">
        <v>61</v>
      </c>
      <c r="D4" s="1" t="s">
        <v>34</v>
      </c>
      <c r="E4" s="1">
        <v>13</v>
      </c>
      <c r="F4" s="1" t="s">
        <v>31</v>
      </c>
      <c r="G4" s="1" t="b">
        <v>1</v>
      </c>
      <c r="H4" s="1" t="s">
        <v>35</v>
      </c>
      <c r="I4" s="1" t="s">
        <v>58</v>
      </c>
      <c r="K4" s="6">
        <v>44853</v>
      </c>
    </row>
    <row r="5" spans="1:11" x14ac:dyDescent="0.4">
      <c r="A5" s="1" t="s">
        <v>122</v>
      </c>
      <c r="B5" s="1">
        <v>4</v>
      </c>
      <c r="C5" s="1" t="s">
        <v>62</v>
      </c>
      <c r="D5" s="1" t="s">
        <v>63</v>
      </c>
      <c r="E5" s="1">
        <v>18</v>
      </c>
      <c r="F5" s="1" t="s">
        <v>31</v>
      </c>
      <c r="G5" s="1" t="b">
        <v>1</v>
      </c>
      <c r="H5" s="1" t="s">
        <v>64</v>
      </c>
      <c r="I5" s="1" t="s">
        <v>58</v>
      </c>
      <c r="K5" s="6">
        <v>44853</v>
      </c>
    </row>
    <row r="6" spans="1:11" x14ac:dyDescent="0.4">
      <c r="A6" s="1" t="s">
        <v>123</v>
      </c>
      <c r="B6" s="1">
        <v>5</v>
      </c>
      <c r="C6" s="1" t="s">
        <v>65</v>
      </c>
      <c r="D6" s="1" t="s">
        <v>38</v>
      </c>
      <c r="E6" s="1">
        <v>18</v>
      </c>
      <c r="F6" s="1" t="s">
        <v>31</v>
      </c>
      <c r="G6" s="1" t="b">
        <v>1</v>
      </c>
      <c r="H6" s="1" t="s">
        <v>64</v>
      </c>
      <c r="I6" s="1" t="s">
        <v>58</v>
      </c>
      <c r="K6" s="6">
        <v>44853</v>
      </c>
    </row>
    <row r="7" spans="1:11" x14ac:dyDescent="0.4">
      <c r="A7" s="1" t="s">
        <v>124</v>
      </c>
      <c r="B7" s="1">
        <v>6</v>
      </c>
      <c r="C7" s="1" t="s">
        <v>66</v>
      </c>
      <c r="D7" s="1" t="s">
        <v>22</v>
      </c>
      <c r="E7" s="1">
        <v>13</v>
      </c>
      <c r="F7" s="1" t="s">
        <v>31</v>
      </c>
      <c r="G7" s="1" t="b">
        <v>1</v>
      </c>
      <c r="H7" s="1" t="s">
        <v>32</v>
      </c>
      <c r="I7" s="1" t="s">
        <v>58</v>
      </c>
      <c r="J7" s="1" t="s">
        <v>33</v>
      </c>
      <c r="K7" s="6">
        <v>44853</v>
      </c>
    </row>
    <row r="8" spans="1:11" x14ac:dyDescent="0.4">
      <c r="A8" s="1" t="s">
        <v>125</v>
      </c>
      <c r="B8" s="1">
        <v>7</v>
      </c>
      <c r="C8" s="1" t="s">
        <v>67</v>
      </c>
      <c r="D8" s="1" t="s">
        <v>20</v>
      </c>
      <c r="E8" s="1">
        <v>14</v>
      </c>
      <c r="F8" s="1" t="s">
        <v>31</v>
      </c>
      <c r="G8" s="1" t="b">
        <v>1</v>
      </c>
      <c r="H8" s="1" t="s">
        <v>37</v>
      </c>
      <c r="I8" s="1" t="s">
        <v>58</v>
      </c>
      <c r="J8" s="1" t="s">
        <v>33</v>
      </c>
      <c r="K8" s="6">
        <v>44853</v>
      </c>
    </row>
    <row r="9" spans="1:11" x14ac:dyDescent="0.4">
      <c r="A9" s="1" t="s">
        <v>126</v>
      </c>
      <c r="B9" s="1">
        <v>8</v>
      </c>
      <c r="C9" s="1" t="s">
        <v>68</v>
      </c>
      <c r="D9" s="1" t="s">
        <v>21</v>
      </c>
      <c r="E9" s="1">
        <v>20</v>
      </c>
      <c r="F9" s="1" t="s">
        <v>31</v>
      </c>
      <c r="G9" s="1" t="b">
        <v>1</v>
      </c>
      <c r="I9" s="1" t="s">
        <v>58</v>
      </c>
      <c r="K9" s="6"/>
    </row>
    <row r="10" spans="1:11" x14ac:dyDescent="0.4">
      <c r="A10" s="1" t="s">
        <v>127</v>
      </c>
      <c r="B10" s="1">
        <v>9</v>
      </c>
      <c r="C10" s="1" t="s">
        <v>215</v>
      </c>
      <c r="D10" s="1" t="s">
        <v>69</v>
      </c>
      <c r="E10" s="1">
        <v>18</v>
      </c>
      <c r="F10" s="1" t="s">
        <v>31</v>
      </c>
      <c r="G10" s="1" t="b">
        <v>0</v>
      </c>
      <c r="H10" s="1" t="s">
        <v>64</v>
      </c>
      <c r="I10" s="1" t="s">
        <v>58</v>
      </c>
      <c r="K10" s="6">
        <v>44960</v>
      </c>
    </row>
    <row r="11" spans="1:11" x14ac:dyDescent="0.4">
      <c r="A11" s="1" t="s">
        <v>128</v>
      </c>
      <c r="B11" s="1">
        <v>10</v>
      </c>
      <c r="C11" s="1" t="s">
        <v>216</v>
      </c>
      <c r="D11" s="1" t="s">
        <v>70</v>
      </c>
      <c r="E11" s="1">
        <v>18</v>
      </c>
      <c r="F11" s="1" t="s">
        <v>31</v>
      </c>
      <c r="G11" s="1" t="b">
        <v>0</v>
      </c>
      <c r="H11" s="1" t="s">
        <v>64</v>
      </c>
      <c r="I11" s="1" t="s">
        <v>58</v>
      </c>
      <c r="K11" s="6">
        <v>44960</v>
      </c>
    </row>
    <row r="12" spans="1:11" x14ac:dyDescent="0.4">
      <c r="A12" s="1" t="s">
        <v>129</v>
      </c>
      <c r="B12" s="1">
        <v>11</v>
      </c>
      <c r="C12" s="1" t="s">
        <v>111</v>
      </c>
      <c r="D12" s="1" t="s">
        <v>112</v>
      </c>
      <c r="E12" s="1">
        <v>16</v>
      </c>
      <c r="F12" s="1" t="s">
        <v>31</v>
      </c>
      <c r="G12" s="1" t="b">
        <v>1</v>
      </c>
      <c r="H12" s="1" t="s">
        <v>113</v>
      </c>
      <c r="I12" s="1" t="s">
        <v>58</v>
      </c>
      <c r="J12" s="1" t="s">
        <v>114</v>
      </c>
      <c r="K12" s="6">
        <v>44965</v>
      </c>
    </row>
    <row r="13" spans="1:11" x14ac:dyDescent="0.4">
      <c r="A13" s="1" t="s">
        <v>130</v>
      </c>
      <c r="B13" s="1">
        <v>12</v>
      </c>
      <c r="C13" s="1" t="s">
        <v>131</v>
      </c>
      <c r="D13" s="1" t="s">
        <v>185</v>
      </c>
      <c r="E13" s="1">
        <v>8</v>
      </c>
      <c r="F13" s="1" t="s">
        <v>31</v>
      </c>
      <c r="G13" s="1" t="b">
        <v>1</v>
      </c>
      <c r="H13" s="1" t="s">
        <v>113</v>
      </c>
      <c r="I13" s="1" t="s">
        <v>58</v>
      </c>
      <c r="K13" s="6">
        <v>44972</v>
      </c>
    </row>
    <row r="14" spans="1:11" x14ac:dyDescent="0.4">
      <c r="A14" s="1" t="s">
        <v>132</v>
      </c>
      <c r="B14" s="1">
        <v>13</v>
      </c>
      <c r="C14" s="1" t="s">
        <v>133</v>
      </c>
      <c r="D14" s="1" t="s">
        <v>186</v>
      </c>
      <c r="E14" s="1">
        <v>4</v>
      </c>
      <c r="F14" s="1" t="s">
        <v>31</v>
      </c>
      <c r="G14" s="1" t="b">
        <v>1</v>
      </c>
      <c r="H14" s="1" t="s">
        <v>113</v>
      </c>
      <c r="I14" s="1" t="s">
        <v>58</v>
      </c>
      <c r="K14" s="6">
        <v>44972</v>
      </c>
    </row>
    <row r="15" spans="1:11" x14ac:dyDescent="0.4">
      <c r="A15" s="1" t="s">
        <v>134</v>
      </c>
      <c r="B15" s="1">
        <v>14</v>
      </c>
      <c r="C15" s="1" t="s">
        <v>135</v>
      </c>
      <c r="D15" s="1" t="s">
        <v>135</v>
      </c>
      <c r="E15" s="1">
        <v>3</v>
      </c>
      <c r="F15" s="1" t="s">
        <v>31</v>
      </c>
      <c r="G15" s="1" t="b">
        <v>1</v>
      </c>
      <c r="H15" s="1" t="s">
        <v>113</v>
      </c>
      <c r="I15" s="1" t="s">
        <v>58</v>
      </c>
      <c r="K15" s="6">
        <v>44972</v>
      </c>
    </row>
    <row r="16" spans="1:11" x14ac:dyDescent="0.4">
      <c r="A16" s="1" t="s">
        <v>136</v>
      </c>
      <c r="B16" s="1">
        <v>15</v>
      </c>
      <c r="C16" s="1" t="s">
        <v>137</v>
      </c>
      <c r="D16" s="1" t="s">
        <v>137</v>
      </c>
      <c r="E16" s="1">
        <v>2</v>
      </c>
      <c r="F16" s="1" t="s">
        <v>31</v>
      </c>
      <c r="G16" s="1" t="b">
        <v>1</v>
      </c>
      <c r="H16" s="1" t="s">
        <v>113</v>
      </c>
      <c r="I16" s="1" t="s">
        <v>58</v>
      </c>
      <c r="K16" s="6">
        <v>44972</v>
      </c>
    </row>
    <row r="17" spans="1:11" x14ac:dyDescent="0.4">
      <c r="A17" s="1" t="s">
        <v>191</v>
      </c>
      <c r="B17" s="1">
        <v>16</v>
      </c>
      <c r="C17" s="1" t="s">
        <v>192</v>
      </c>
      <c r="D17" s="1" t="s">
        <v>192</v>
      </c>
      <c r="E17" s="1">
        <v>2</v>
      </c>
      <c r="F17" s="1" t="s">
        <v>31</v>
      </c>
      <c r="G17" s="1" t="b">
        <v>1</v>
      </c>
      <c r="H17" s="1" t="s">
        <v>113</v>
      </c>
      <c r="I17" s="1" t="s">
        <v>58</v>
      </c>
      <c r="K17" s="6">
        <v>44979</v>
      </c>
    </row>
    <row r="18" spans="1:11" x14ac:dyDescent="0.4">
      <c r="A18" s="1" t="s">
        <v>193</v>
      </c>
      <c r="B18" s="1">
        <v>17</v>
      </c>
      <c r="C18" s="1" t="s">
        <v>194</v>
      </c>
      <c r="D18" s="1" t="s">
        <v>194</v>
      </c>
      <c r="E18" s="1">
        <v>2</v>
      </c>
      <c r="F18" s="1" t="s">
        <v>31</v>
      </c>
      <c r="G18" s="1" t="b">
        <v>1</v>
      </c>
      <c r="H18" s="1" t="s">
        <v>113</v>
      </c>
      <c r="I18" s="1" t="s">
        <v>58</v>
      </c>
      <c r="K18" s="6">
        <v>44979</v>
      </c>
    </row>
    <row r="19" spans="1:11" x14ac:dyDescent="0.4">
      <c r="A19" s="1" t="s">
        <v>195</v>
      </c>
      <c r="B19" s="1">
        <v>18</v>
      </c>
      <c r="C19" s="1" t="s">
        <v>196</v>
      </c>
      <c r="D19" s="1" t="s">
        <v>196</v>
      </c>
      <c r="E19" s="1">
        <v>2</v>
      </c>
      <c r="F19" s="1" t="s">
        <v>31</v>
      </c>
      <c r="G19" s="1" t="b">
        <v>1</v>
      </c>
      <c r="H19" s="1" t="s">
        <v>113</v>
      </c>
      <c r="I19" s="1" t="s">
        <v>58</v>
      </c>
      <c r="K19" s="6">
        <v>44979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66DB8-7B5D-4AC9-9D3C-38E653BE9EDF}">
  <dimension ref="A1:Q20"/>
  <sheetViews>
    <sheetView workbookViewId="0">
      <selection activeCell="C7" sqref="C7"/>
    </sheetView>
  </sheetViews>
  <sheetFormatPr defaultRowHeight="18.75" x14ac:dyDescent="0.4"/>
  <cols>
    <col min="1" max="1" width="9.625" bestFit="1" customWidth="1"/>
    <col min="2" max="2" width="23.875" bestFit="1" customWidth="1"/>
    <col min="3" max="3" width="7.875" bestFit="1" customWidth="1"/>
    <col min="4" max="4" width="15.375" bestFit="1" customWidth="1"/>
    <col min="5" max="5" width="17" bestFit="1" customWidth="1"/>
    <col min="6" max="6" width="26.625" bestFit="1" customWidth="1"/>
    <col min="7" max="7" width="6.5" bestFit="1" customWidth="1"/>
    <col min="8" max="8" width="21" bestFit="1" customWidth="1"/>
    <col min="9" max="9" width="14.5" bestFit="1" customWidth="1"/>
    <col min="10" max="10" width="13.375" bestFit="1" customWidth="1"/>
    <col min="11" max="11" width="12.375" bestFit="1" customWidth="1"/>
    <col min="12" max="12" width="11.375" bestFit="1" customWidth="1"/>
    <col min="13" max="14" width="9.25" bestFit="1" customWidth="1"/>
    <col min="15" max="16" width="81" bestFit="1" customWidth="1"/>
    <col min="17" max="17" width="13.25" bestFit="1" customWidth="1"/>
  </cols>
  <sheetData>
    <row r="1" spans="1:17" x14ac:dyDescent="0.4">
      <c r="A1" t="s">
        <v>50</v>
      </c>
      <c r="B1" t="s">
        <v>74</v>
      </c>
      <c r="C1" t="s">
        <v>75</v>
      </c>
      <c r="D1" t="s">
        <v>76</v>
      </c>
      <c r="E1" t="s">
        <v>2</v>
      </c>
      <c r="F1" t="s">
        <v>3</v>
      </c>
      <c r="G1" t="s">
        <v>77</v>
      </c>
      <c r="H1" t="s">
        <v>78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79</v>
      </c>
      <c r="P1" t="s">
        <v>80</v>
      </c>
      <c r="Q1" t="s">
        <v>81</v>
      </c>
    </row>
    <row r="2" spans="1:17" x14ac:dyDescent="0.4">
      <c r="A2" t="s">
        <v>170</v>
      </c>
      <c r="B2" t="s">
        <v>153</v>
      </c>
      <c r="C2" t="s">
        <v>82</v>
      </c>
      <c r="D2" t="s">
        <v>121</v>
      </c>
      <c r="E2" t="s">
        <v>61</v>
      </c>
      <c r="F2" t="s">
        <v>34</v>
      </c>
      <c r="G2">
        <v>13</v>
      </c>
      <c r="H2" t="s">
        <v>11</v>
      </c>
      <c r="I2" t="s">
        <v>13</v>
      </c>
      <c r="J2" t="s">
        <v>13</v>
      </c>
      <c r="K2" t="s">
        <v>46</v>
      </c>
      <c r="L2" t="s">
        <v>46</v>
      </c>
      <c r="M2">
        <v>2</v>
      </c>
      <c r="N2">
        <v>3</v>
      </c>
      <c r="O2" t="s">
        <v>154</v>
      </c>
      <c r="P2" t="s">
        <v>155</v>
      </c>
      <c r="Q2" t="s">
        <v>82</v>
      </c>
    </row>
    <row r="3" spans="1:17" x14ac:dyDescent="0.4">
      <c r="A3" t="s">
        <v>171</v>
      </c>
      <c r="B3" t="s">
        <v>156</v>
      </c>
      <c r="C3" t="s">
        <v>82</v>
      </c>
      <c r="D3" t="s">
        <v>121</v>
      </c>
      <c r="E3" t="s">
        <v>61</v>
      </c>
      <c r="F3" t="s">
        <v>34</v>
      </c>
      <c r="G3">
        <v>13</v>
      </c>
      <c r="H3" t="s">
        <v>11</v>
      </c>
      <c r="I3" t="s">
        <v>12</v>
      </c>
      <c r="J3" t="s">
        <v>13</v>
      </c>
      <c r="K3" t="s">
        <v>46</v>
      </c>
      <c r="L3" t="s">
        <v>46</v>
      </c>
      <c r="M3">
        <v>2</v>
      </c>
      <c r="N3">
        <v>3</v>
      </c>
      <c r="O3" t="s">
        <v>117</v>
      </c>
      <c r="P3" t="s">
        <v>118</v>
      </c>
      <c r="Q3" t="s">
        <v>82</v>
      </c>
    </row>
    <row r="4" spans="1:17" x14ac:dyDescent="0.4">
      <c r="A4" t="s">
        <v>172</v>
      </c>
      <c r="B4" t="s">
        <v>157</v>
      </c>
      <c r="C4" t="s">
        <v>82</v>
      </c>
      <c r="D4" t="s">
        <v>122</v>
      </c>
      <c r="E4" t="s">
        <v>62</v>
      </c>
      <c r="F4" t="s">
        <v>63</v>
      </c>
      <c r="G4">
        <v>18</v>
      </c>
      <c r="H4" t="s">
        <v>11</v>
      </c>
      <c r="I4" t="s">
        <v>13</v>
      </c>
      <c r="J4" t="s">
        <v>13</v>
      </c>
      <c r="K4" t="s">
        <v>46</v>
      </c>
      <c r="L4" t="s">
        <v>46</v>
      </c>
      <c r="M4">
        <v>0</v>
      </c>
      <c r="N4">
        <v>0</v>
      </c>
      <c r="O4" t="s">
        <v>83</v>
      </c>
      <c r="P4" t="s">
        <v>84</v>
      </c>
      <c r="Q4" t="s">
        <v>82</v>
      </c>
    </row>
    <row r="5" spans="1:17" x14ac:dyDescent="0.4">
      <c r="A5" t="s">
        <v>173</v>
      </c>
      <c r="B5" t="s">
        <v>158</v>
      </c>
      <c r="C5" t="s">
        <v>82</v>
      </c>
      <c r="D5" t="s">
        <v>122</v>
      </c>
      <c r="E5" t="s">
        <v>62</v>
      </c>
      <c r="F5" t="s">
        <v>63</v>
      </c>
      <c r="G5">
        <v>18</v>
      </c>
      <c r="H5" t="s">
        <v>11</v>
      </c>
      <c r="I5" t="s">
        <v>18</v>
      </c>
      <c r="J5" t="s">
        <v>18</v>
      </c>
      <c r="K5" t="s">
        <v>46</v>
      </c>
      <c r="L5" t="s">
        <v>46</v>
      </c>
      <c r="M5">
        <v>0</v>
      </c>
      <c r="N5">
        <v>0</v>
      </c>
      <c r="O5" t="s">
        <v>85</v>
      </c>
      <c r="P5" t="s">
        <v>86</v>
      </c>
      <c r="Q5" t="s">
        <v>82</v>
      </c>
    </row>
    <row r="6" spans="1:17" x14ac:dyDescent="0.4">
      <c r="A6" t="s">
        <v>174</v>
      </c>
      <c r="B6" t="s">
        <v>159</v>
      </c>
      <c r="C6" t="s">
        <v>82</v>
      </c>
      <c r="D6" t="s">
        <v>123</v>
      </c>
      <c r="E6" t="s">
        <v>65</v>
      </c>
      <c r="F6" t="s">
        <v>38</v>
      </c>
      <c r="G6">
        <v>18</v>
      </c>
      <c r="H6" t="s">
        <v>11</v>
      </c>
      <c r="I6" t="s">
        <v>13</v>
      </c>
      <c r="J6" t="s">
        <v>13</v>
      </c>
      <c r="K6" t="s">
        <v>46</v>
      </c>
      <c r="L6" t="s">
        <v>46</v>
      </c>
      <c r="M6">
        <v>0</v>
      </c>
      <c r="N6">
        <v>0</v>
      </c>
      <c r="O6" t="s">
        <v>87</v>
      </c>
      <c r="P6" t="s">
        <v>88</v>
      </c>
      <c r="Q6" t="s">
        <v>82</v>
      </c>
    </row>
    <row r="7" spans="1:17" x14ac:dyDescent="0.4">
      <c r="A7" t="s">
        <v>175</v>
      </c>
      <c r="B7" t="s">
        <v>160</v>
      </c>
      <c r="C7" t="s">
        <v>82</v>
      </c>
      <c r="D7" t="s">
        <v>123</v>
      </c>
      <c r="E7" t="s">
        <v>65</v>
      </c>
      <c r="F7" t="s">
        <v>38</v>
      </c>
      <c r="G7">
        <v>18</v>
      </c>
      <c r="H7" t="s">
        <v>11</v>
      </c>
      <c r="I7" t="s">
        <v>18</v>
      </c>
      <c r="J7" t="s">
        <v>18</v>
      </c>
      <c r="K7" t="s">
        <v>46</v>
      </c>
      <c r="L7" t="s">
        <v>46</v>
      </c>
      <c r="M7">
        <v>0</v>
      </c>
      <c r="N7">
        <v>0</v>
      </c>
      <c r="O7" t="s">
        <v>89</v>
      </c>
      <c r="P7" t="s">
        <v>90</v>
      </c>
      <c r="Q7" t="s">
        <v>82</v>
      </c>
    </row>
    <row r="8" spans="1:17" x14ac:dyDescent="0.4">
      <c r="A8" t="s">
        <v>176</v>
      </c>
      <c r="B8" t="s">
        <v>223</v>
      </c>
      <c r="C8" t="s">
        <v>82</v>
      </c>
      <c r="D8" t="s">
        <v>127</v>
      </c>
      <c r="E8" t="s">
        <v>215</v>
      </c>
      <c r="F8" t="s">
        <v>69</v>
      </c>
      <c r="G8">
        <v>18</v>
      </c>
      <c r="H8" t="s">
        <v>11</v>
      </c>
      <c r="I8" t="s">
        <v>13</v>
      </c>
      <c r="J8" t="s">
        <v>13</v>
      </c>
      <c r="K8" t="s">
        <v>46</v>
      </c>
      <c r="L8" t="s">
        <v>46</v>
      </c>
      <c r="M8">
        <v>0</v>
      </c>
      <c r="N8">
        <v>0</v>
      </c>
      <c r="O8" t="s">
        <v>161</v>
      </c>
      <c r="P8" t="s">
        <v>162</v>
      </c>
      <c r="Q8" t="s">
        <v>82</v>
      </c>
    </row>
    <row r="9" spans="1:17" x14ac:dyDescent="0.4">
      <c r="A9" t="s">
        <v>177</v>
      </c>
      <c r="B9" t="s">
        <v>224</v>
      </c>
      <c r="C9" t="s">
        <v>82</v>
      </c>
      <c r="D9" t="s">
        <v>127</v>
      </c>
      <c r="E9" t="s">
        <v>215</v>
      </c>
      <c r="F9" t="s">
        <v>69</v>
      </c>
      <c r="G9">
        <v>18</v>
      </c>
      <c r="H9" t="s">
        <v>11</v>
      </c>
      <c r="I9" t="s">
        <v>18</v>
      </c>
      <c r="J9" t="s">
        <v>18</v>
      </c>
      <c r="K9" t="s">
        <v>46</v>
      </c>
      <c r="L9" t="s">
        <v>46</v>
      </c>
      <c r="M9">
        <v>0</v>
      </c>
      <c r="N9">
        <v>0</v>
      </c>
      <c r="O9" t="s">
        <v>91</v>
      </c>
      <c r="P9" t="s">
        <v>92</v>
      </c>
      <c r="Q9" t="s">
        <v>82</v>
      </c>
    </row>
    <row r="10" spans="1:17" x14ac:dyDescent="0.4">
      <c r="A10" t="s">
        <v>178</v>
      </c>
      <c r="B10" t="s">
        <v>225</v>
      </c>
      <c r="C10" t="s">
        <v>82</v>
      </c>
      <c r="D10" t="s">
        <v>128</v>
      </c>
      <c r="E10" t="s">
        <v>216</v>
      </c>
      <c r="F10" t="s">
        <v>70</v>
      </c>
      <c r="G10">
        <v>18</v>
      </c>
      <c r="H10" t="s">
        <v>11</v>
      </c>
      <c r="I10" t="s">
        <v>13</v>
      </c>
      <c r="J10" t="s">
        <v>13</v>
      </c>
      <c r="K10" t="s">
        <v>46</v>
      </c>
      <c r="L10" t="s">
        <v>46</v>
      </c>
      <c r="M10">
        <v>0</v>
      </c>
      <c r="N10">
        <v>0</v>
      </c>
      <c r="O10" t="s">
        <v>163</v>
      </c>
      <c r="P10" t="s">
        <v>164</v>
      </c>
      <c r="Q10" t="s">
        <v>82</v>
      </c>
    </row>
    <row r="11" spans="1:17" x14ac:dyDescent="0.4">
      <c r="A11" t="s">
        <v>179</v>
      </c>
      <c r="B11" t="s">
        <v>226</v>
      </c>
      <c r="C11" t="s">
        <v>82</v>
      </c>
      <c r="D11" t="s">
        <v>128</v>
      </c>
      <c r="E11" t="s">
        <v>216</v>
      </c>
      <c r="F11" t="s">
        <v>70</v>
      </c>
      <c r="G11">
        <v>18</v>
      </c>
      <c r="H11" t="s">
        <v>11</v>
      </c>
      <c r="I11" t="s">
        <v>18</v>
      </c>
      <c r="J11" t="s">
        <v>18</v>
      </c>
      <c r="K11" t="s">
        <v>46</v>
      </c>
      <c r="L11" t="s">
        <v>46</v>
      </c>
      <c r="M11">
        <v>0</v>
      </c>
      <c r="N11">
        <v>0</v>
      </c>
      <c r="O11" t="s">
        <v>93</v>
      </c>
      <c r="P11" t="s">
        <v>94</v>
      </c>
      <c r="Q11" t="s">
        <v>82</v>
      </c>
    </row>
    <row r="12" spans="1:17" x14ac:dyDescent="0.4">
      <c r="A12" t="s">
        <v>180</v>
      </c>
      <c r="B12" t="s">
        <v>165</v>
      </c>
      <c r="C12" t="s">
        <v>82</v>
      </c>
      <c r="D12" t="s">
        <v>129</v>
      </c>
      <c r="E12" t="s">
        <v>111</v>
      </c>
      <c r="F12" t="s">
        <v>112</v>
      </c>
      <c r="G12">
        <v>16</v>
      </c>
      <c r="H12" t="s">
        <v>11</v>
      </c>
      <c r="I12" t="s">
        <v>13</v>
      </c>
      <c r="J12" t="s">
        <v>13</v>
      </c>
      <c r="K12" t="s">
        <v>46</v>
      </c>
      <c r="L12" t="s">
        <v>46</v>
      </c>
      <c r="M12">
        <v>0</v>
      </c>
      <c r="N12">
        <v>0</v>
      </c>
      <c r="O12" t="s">
        <v>115</v>
      </c>
      <c r="P12" t="s">
        <v>116</v>
      </c>
      <c r="Q12" t="s">
        <v>82</v>
      </c>
    </row>
    <row r="13" spans="1:17" x14ac:dyDescent="0.4">
      <c r="A13" t="s">
        <v>181</v>
      </c>
      <c r="B13" t="s">
        <v>185</v>
      </c>
      <c r="C13" t="s">
        <v>82</v>
      </c>
      <c r="D13" t="s">
        <v>130</v>
      </c>
      <c r="E13" t="s">
        <v>131</v>
      </c>
      <c r="F13" t="s">
        <v>185</v>
      </c>
      <c r="G13">
        <v>8</v>
      </c>
      <c r="H13" t="s">
        <v>11</v>
      </c>
      <c r="I13" t="s">
        <v>13</v>
      </c>
      <c r="J13" t="s">
        <v>13</v>
      </c>
      <c r="K13" t="s">
        <v>46</v>
      </c>
      <c r="L13" t="s">
        <v>46</v>
      </c>
      <c r="M13">
        <v>0</v>
      </c>
      <c r="N13">
        <v>0</v>
      </c>
      <c r="O13" t="s">
        <v>187</v>
      </c>
      <c r="P13" t="s">
        <v>188</v>
      </c>
      <c r="Q13" t="s">
        <v>82</v>
      </c>
    </row>
    <row r="14" spans="1:17" x14ac:dyDescent="0.4">
      <c r="A14" t="s">
        <v>182</v>
      </c>
      <c r="B14" t="s">
        <v>186</v>
      </c>
      <c r="C14" t="s">
        <v>82</v>
      </c>
      <c r="D14" t="s">
        <v>132</v>
      </c>
      <c r="E14" t="s">
        <v>133</v>
      </c>
      <c r="F14" t="s">
        <v>186</v>
      </c>
      <c r="G14">
        <v>4</v>
      </c>
      <c r="H14" t="s">
        <v>11</v>
      </c>
      <c r="I14" t="s">
        <v>13</v>
      </c>
      <c r="J14" t="s">
        <v>13</v>
      </c>
      <c r="K14" t="s">
        <v>46</v>
      </c>
      <c r="L14" t="s">
        <v>46</v>
      </c>
      <c r="M14">
        <v>0</v>
      </c>
      <c r="N14">
        <v>0</v>
      </c>
      <c r="O14" t="s">
        <v>189</v>
      </c>
      <c r="P14" t="s">
        <v>190</v>
      </c>
      <c r="Q14" t="s">
        <v>82</v>
      </c>
    </row>
    <row r="15" spans="1:17" x14ac:dyDescent="0.4">
      <c r="A15" t="s">
        <v>183</v>
      </c>
      <c r="B15" t="s">
        <v>135</v>
      </c>
      <c r="C15" t="s">
        <v>82</v>
      </c>
      <c r="D15" t="s">
        <v>134</v>
      </c>
      <c r="E15" t="s">
        <v>135</v>
      </c>
      <c r="F15" t="s">
        <v>135</v>
      </c>
      <c r="G15">
        <v>3</v>
      </c>
      <c r="H15" t="s">
        <v>11</v>
      </c>
      <c r="I15" t="s">
        <v>13</v>
      </c>
      <c r="J15" t="s">
        <v>13</v>
      </c>
      <c r="K15" t="s">
        <v>46</v>
      </c>
      <c r="L15" t="s">
        <v>46</v>
      </c>
      <c r="M15">
        <v>0</v>
      </c>
      <c r="N15">
        <v>0</v>
      </c>
      <c r="O15" t="s">
        <v>166</v>
      </c>
      <c r="P15" t="s">
        <v>167</v>
      </c>
      <c r="Q15" t="s">
        <v>82</v>
      </c>
    </row>
    <row r="16" spans="1:17" x14ac:dyDescent="0.4">
      <c r="A16" t="s">
        <v>184</v>
      </c>
      <c r="B16" t="s">
        <v>137</v>
      </c>
      <c r="C16" t="s">
        <v>82</v>
      </c>
      <c r="D16" t="s">
        <v>136</v>
      </c>
      <c r="E16" t="s">
        <v>137</v>
      </c>
      <c r="F16" t="s">
        <v>137</v>
      </c>
      <c r="G16">
        <v>2</v>
      </c>
      <c r="H16" t="s">
        <v>11</v>
      </c>
      <c r="I16" t="s">
        <v>13</v>
      </c>
      <c r="J16" t="s">
        <v>13</v>
      </c>
      <c r="K16" t="s">
        <v>46</v>
      </c>
      <c r="L16" t="s">
        <v>46</v>
      </c>
      <c r="M16">
        <v>0</v>
      </c>
      <c r="N16">
        <v>0</v>
      </c>
      <c r="O16" t="s">
        <v>168</v>
      </c>
      <c r="P16" t="s">
        <v>169</v>
      </c>
      <c r="Q16" t="s">
        <v>82</v>
      </c>
    </row>
    <row r="17" spans="1:17" x14ac:dyDescent="0.4">
      <c r="A17" t="s">
        <v>200</v>
      </c>
      <c r="B17" t="s">
        <v>192</v>
      </c>
      <c r="C17" t="s">
        <v>82</v>
      </c>
      <c r="D17" t="s">
        <v>191</v>
      </c>
      <c r="E17" t="s">
        <v>192</v>
      </c>
      <c r="F17" t="s">
        <v>192</v>
      </c>
      <c r="G17">
        <v>2</v>
      </c>
      <c r="H17" t="s">
        <v>11</v>
      </c>
      <c r="I17" t="s">
        <v>13</v>
      </c>
      <c r="J17" t="s">
        <v>13</v>
      </c>
      <c r="K17" t="s">
        <v>46</v>
      </c>
      <c r="L17" t="s">
        <v>46</v>
      </c>
      <c r="M17">
        <v>0</v>
      </c>
      <c r="N17">
        <v>0</v>
      </c>
      <c r="O17" t="s">
        <v>201</v>
      </c>
      <c r="P17" t="s">
        <v>202</v>
      </c>
      <c r="Q17" t="s">
        <v>82</v>
      </c>
    </row>
    <row r="18" spans="1:17" x14ac:dyDescent="0.4">
      <c r="A18" t="s">
        <v>203</v>
      </c>
      <c r="B18" t="s">
        <v>194</v>
      </c>
      <c r="C18" t="s">
        <v>82</v>
      </c>
      <c r="D18" t="s">
        <v>193</v>
      </c>
      <c r="E18" t="s">
        <v>194</v>
      </c>
      <c r="F18" t="s">
        <v>194</v>
      </c>
      <c r="G18">
        <v>2</v>
      </c>
      <c r="H18" t="s">
        <v>11</v>
      </c>
      <c r="I18" t="s">
        <v>13</v>
      </c>
      <c r="J18" t="s">
        <v>13</v>
      </c>
      <c r="K18" t="s">
        <v>46</v>
      </c>
      <c r="L18" t="s">
        <v>46</v>
      </c>
      <c r="M18">
        <v>0</v>
      </c>
      <c r="N18">
        <v>0</v>
      </c>
      <c r="O18" t="s">
        <v>204</v>
      </c>
      <c r="P18" t="s">
        <v>205</v>
      </c>
      <c r="Q18" t="s">
        <v>82</v>
      </c>
    </row>
    <row r="19" spans="1:17" x14ac:dyDescent="0.4">
      <c r="A19" t="s">
        <v>206</v>
      </c>
      <c r="B19" t="s">
        <v>196</v>
      </c>
      <c r="C19" t="s">
        <v>82</v>
      </c>
      <c r="D19" t="s">
        <v>195</v>
      </c>
      <c r="E19" t="s">
        <v>196</v>
      </c>
      <c r="F19" t="s">
        <v>196</v>
      </c>
      <c r="G19">
        <v>2</v>
      </c>
      <c r="H19" t="s">
        <v>11</v>
      </c>
      <c r="I19" t="s">
        <v>13</v>
      </c>
      <c r="J19" t="s">
        <v>13</v>
      </c>
      <c r="K19" t="s">
        <v>46</v>
      </c>
      <c r="L19" t="s">
        <v>46</v>
      </c>
      <c r="M19">
        <v>0</v>
      </c>
      <c r="N19">
        <v>0</v>
      </c>
      <c r="O19" t="s">
        <v>207</v>
      </c>
      <c r="P19" t="s">
        <v>208</v>
      </c>
      <c r="Q19" t="s">
        <v>82</v>
      </c>
    </row>
    <row r="20" spans="1:17" x14ac:dyDescent="0.4">
      <c r="A20" t="s">
        <v>211</v>
      </c>
      <c r="B20" t="s">
        <v>212</v>
      </c>
      <c r="C20" t="s">
        <v>82</v>
      </c>
      <c r="D20" t="s">
        <v>120</v>
      </c>
      <c r="E20" t="s">
        <v>60</v>
      </c>
      <c r="F20" t="s">
        <v>10</v>
      </c>
      <c r="G20">
        <v>16</v>
      </c>
      <c r="H20" t="s">
        <v>11</v>
      </c>
      <c r="I20" t="s">
        <v>12</v>
      </c>
      <c r="J20" t="s">
        <v>13</v>
      </c>
      <c r="K20" t="s">
        <v>46</v>
      </c>
      <c r="L20" t="s">
        <v>46</v>
      </c>
      <c r="M20">
        <v>3</v>
      </c>
      <c r="N20">
        <v>3</v>
      </c>
      <c r="O20" t="s">
        <v>213</v>
      </c>
      <c r="P20" t="s">
        <v>214</v>
      </c>
      <c r="Q20" t="s">
        <v>82</v>
      </c>
    </row>
  </sheetData>
  <phoneticPr fontId="1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F4EDB7F-2DA9-46BF-B2C1-867AA4D0F61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3</vt:i4>
      </vt:variant>
    </vt:vector>
  </HeadingPairs>
  <TitlesOfParts>
    <vt:vector size="9" baseType="lpstr">
      <vt:lpstr>DB07_baseline</vt:lpstr>
      <vt:lpstr>-&gt;Input</vt:lpstr>
      <vt:lpstr>converter</vt:lpstr>
      <vt:lpstr>ref_data-&gt;</vt:lpstr>
      <vt:lpstr>DB16_baseline_for_PB</vt:lpstr>
      <vt:lpstr>calcd_DB17_baselinesequence</vt:lpstr>
      <vt:lpstr>filepath</vt:lpstr>
      <vt:lpstr>idname</vt:lpstr>
      <vt:lpstr>path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Hiroshi OKAMOTO</dc:creator>
  <cp:lastModifiedBy>Hiroshi OKAMOTO</cp:lastModifiedBy>
  <dcterms:created xsi:type="dcterms:W3CDTF">2022-10-19T01:25:22Z</dcterms:created>
  <dcterms:modified xsi:type="dcterms:W3CDTF">2023-04-24T02:49:06Z</dcterms:modified>
</cp:coreProperties>
</file>